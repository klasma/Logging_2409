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46283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46283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46283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46283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46283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Kyrkan</t>
        </is>
      </c>
      <c r="I10" t="n">
        <v>7.7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15</v>
      </c>
      <c r="U10" t="n">
        <v>15</v>
      </c>
      <c r="V10" s="2" t="inlineStr">
        <is>
          <t>Garnlav
Doftskinn
Gammelgransskål
Talltita
Tretåig hackspett
Vedticka
Spillkråka</t>
        </is>
      </c>
      <c r="W10">
        <f>HYPERLINK("https://klasma.github.io/Logging_2409/artfynd/A 49710-2025 artfynd.xlsx", "A 49710-2025")</f>
        <v/>
      </c>
      <c r="X10">
        <f>HYPERLINK("https://klasma.github.io/Logging_2409/kartor/A 49710-2025 karta.png", "A 49710-2025")</f>
        <v/>
      </c>
      <c r="Y10">
        <f>HYPERLINK("https://klasma.github.io/Logging_2409/kartor_geotiff/A 49710-2025 georefererad karta.tif", "A 49710-2025")</f>
        <v/>
      </c>
      <c r="AA10">
        <f>HYPERLINK("https://klasma.github.io/Logging_2409/klagomål/A 49710-2025 FSC-klagomål.docx", "A 49710-2025")</f>
        <v/>
      </c>
      <c r="AB10">
        <f>HYPERLINK("https://klasma.github.io/Logging_2409/klagomålsmail/A 49710-2025 FSC-klagomål mail.docx", "A 49710-2025")</f>
        <v/>
      </c>
      <c r="AC10">
        <f>HYPERLINK("https://klasma.github.io/Logging_2409/tillsyn/A 49710-2025 tillsynsbegäran.docx", "A 49710-2025")</f>
        <v/>
      </c>
      <c r="AD10">
        <f>HYPERLINK("https://klasma.github.io/Logging_2409/tillsynsmail/A 49710-2025 tillsynsbegäran mail.docx", "A 49710-2025")</f>
        <v/>
      </c>
      <c r="AE10">
        <f>HYPERLINK("https://klasma.github.io/Logging_2409/fåglar/A 49710-2025 prioriterade fågelarter.docx", "A 49710-2025")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46283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46283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46283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46283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46283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46283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46283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46283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Gråspett
Tjäder</t>
        </is>
      </c>
      <c r="W23">
        <f>HYPERLINK("https://klasma.github.io/Logging_2409/artfynd/A 24241-2022 artfynd.xlsx", "A 24241-2022")</f>
        <v/>
      </c>
      <c r="X23">
        <f>HYPERLINK("https://klasma.github.io/Logging_2409/kartor/A 24241-2022 karta.png", "A 24241-2022")</f>
        <v/>
      </c>
      <c r="Y23">
        <f>HYPERLINK("https://klasma.github.io/Logging_2409/kartor_geotiff/A 24241-2022 georefererad karta.tif", "A 24241-2022")</f>
        <v/>
      </c>
      <c r="AA23">
        <f>HYPERLINK("https://klasma.github.io/Logging_2409/klagomål/A 24241-2022 FSC-klagomål.docx", "A 24241-2022")</f>
        <v/>
      </c>
      <c r="AB23">
        <f>HYPERLINK("https://klasma.github.io/Logging_2409/klagomålsmail/A 24241-2022 FSC-klagomål mail.docx", "A 24241-2022")</f>
        <v/>
      </c>
      <c r="AC23">
        <f>HYPERLINK("https://klasma.github.io/Logging_2409/tillsyn/A 24241-2022 tillsynsbegäran.docx", "A 24241-2022")</f>
        <v/>
      </c>
      <c r="AD23">
        <f>HYPERLINK("https://klasma.github.io/Logging_2409/tillsynsmail/A 24241-2022 tillsynsbegäran mail.docx", "A 24241-2022")</f>
        <v/>
      </c>
      <c r="AE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46283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46283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46283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46283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31320-2024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45504</v>
      </c>
      <c r="E29" s="1" t="n">
        <v>46283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4.9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Kolflarnlav
Vedflamlav</t>
        </is>
      </c>
      <c r="W29">
        <f>HYPERLINK("https://klasma.github.io/Logging_2409/artfynd/A 31320-2024 artfynd.xlsx", "A 31320-2024")</f>
        <v/>
      </c>
      <c r="X29">
        <f>HYPERLINK("https://klasma.github.io/Logging_2409/kartor/A 31320-2024 karta.png", "A 31320-2024")</f>
        <v/>
      </c>
      <c r="Y29">
        <f>HYPERLINK("https://klasma.github.io/Logging_2409/kartor_geotiff/A 31320-2024 georefererad karta.tif", "A 31320-2024")</f>
        <v/>
      </c>
      <c r="AA29">
        <f>HYPERLINK("https://klasma.github.io/Logging_2409/klagomål/A 31320-2024 FSC-klagomål.docx", "A 31320-2024")</f>
        <v/>
      </c>
      <c r="AB29">
        <f>HYPERLINK("https://klasma.github.io/Logging_2409/klagomålsmail/A 31320-2024 FSC-klagomål mail.docx", "A 31320-2024")</f>
        <v/>
      </c>
      <c r="AC29">
        <f>HYPERLINK("https://klasma.github.io/Logging_2409/tillsyn/A 31320-2024 tillsynsbegäran.docx", "A 31320-2024")</f>
        <v/>
      </c>
      <c r="AD29">
        <f>HYPERLINK("https://klasma.github.io/Logging_2409/tillsynsmail/A 31320-2024 tillsynsbegäran mail.docx", "A 31320-2024")</f>
        <v/>
      </c>
    </row>
    <row r="30" ht="15" customHeight="1">
      <c r="A30" t="inlineStr">
        <is>
          <t>A 41962-2023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45177</v>
      </c>
      <c r="E30" s="1" t="n">
        <v>46283</v>
      </c>
      <c r="F30" t="inlineStr">
        <is>
          <t>VÄSTERBOTTENS LÄN</t>
        </is>
      </c>
      <c r="G30" t="inlineStr">
        <is>
          <t>ROBERTSFORS</t>
        </is>
      </c>
      <c r="I30" t="n">
        <v>0.3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Vedticka</t>
        </is>
      </c>
      <c r="W30">
        <f>HYPERLINK("https://klasma.github.io/Logging_2409/artfynd/A 41962-2023 artfynd.xlsx", "A 41962-2023")</f>
        <v/>
      </c>
      <c r="X30">
        <f>HYPERLINK("https://klasma.github.io/Logging_2409/kartor/A 41962-2023 karta.png", "A 41962-2023")</f>
        <v/>
      </c>
      <c r="Y30">
        <f>HYPERLINK("https://klasma.github.io/Logging_2409/kartor_geotiff/A 41962-2023 georefererad karta.tif", "A 41962-2023")</f>
        <v/>
      </c>
      <c r="AA30">
        <f>HYPERLINK("https://klasma.github.io/Logging_2409/klagomål/A 41962-2023 FSC-klagomål.docx", "A 41962-2023")</f>
        <v/>
      </c>
      <c r="AB30">
        <f>HYPERLINK("https://klasma.github.io/Logging_2409/klagomålsmail/A 41962-2023 FSC-klagomål mail.docx", "A 41962-2023")</f>
        <v/>
      </c>
      <c r="AC30">
        <f>HYPERLINK("https://klasma.github.io/Logging_2409/tillsyn/A 41962-2023 tillsynsbegäran.docx", "A 41962-2023")</f>
        <v/>
      </c>
      <c r="AD30">
        <f>HYPERLINK("https://klasma.github.io/Logging_2409/tillsynsmail/A 41962-2023 tillsynsbegäran mail.docx", "A 41962-2023")</f>
        <v/>
      </c>
    </row>
    <row r="31" ht="15" customHeight="1">
      <c r="A31" t="inlineStr">
        <is>
          <t>A 43094-2023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46283</v>
      </c>
      <c r="F31" t="inlineStr">
        <is>
          <t>VÄSTERBOTTENS LÄN</t>
        </is>
      </c>
      <c r="G31" t="inlineStr">
        <is>
          <t>ROBERTSFORS</t>
        </is>
      </c>
      <c r="I31" t="n">
        <v>7.7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Svartvit flugsnappare
Ärtsångare</t>
        </is>
      </c>
      <c r="W31">
        <f>HYPERLINK("https://klasma.github.io/Logging_2409/artfynd/A 43094-2023 artfynd.xlsx", "A 43094-2023")</f>
        <v/>
      </c>
      <c r="X31">
        <f>HYPERLINK("https://klasma.github.io/Logging_2409/kartor/A 43094-2023 karta.png", "A 43094-2023")</f>
        <v/>
      </c>
      <c r="Y31">
        <f>HYPERLINK("https://klasma.github.io/Logging_2409/kartor_geotiff/A 43094-2023 georefererad karta.tif", "A 43094-2023")</f>
        <v/>
      </c>
      <c r="AA31">
        <f>HYPERLINK("https://klasma.github.io/Logging_2409/klagomål/A 43094-2023 FSC-klagomål.docx", "A 43094-2023")</f>
        <v/>
      </c>
      <c r="AB31">
        <f>HYPERLINK("https://klasma.github.io/Logging_2409/klagomålsmail/A 43094-2023 FSC-klagomål mail.docx", "A 43094-2023")</f>
        <v/>
      </c>
      <c r="AC31">
        <f>HYPERLINK("https://klasma.github.io/Logging_2409/tillsyn/A 43094-2023 tillsynsbegäran.docx", "A 43094-2023")</f>
        <v/>
      </c>
      <c r="AD31">
        <f>HYPERLINK("https://klasma.github.io/Logging_2409/tillsynsmail/A 43094-2023 tillsynsbegäran mail.docx", "A 43094-2023")</f>
        <v/>
      </c>
    </row>
    <row r="32" ht="15" customHeight="1">
      <c r="A32" t="inlineStr">
        <is>
          <t>A 35660-2026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46265</v>
      </c>
      <c r="E32" s="1" t="n">
        <v>46283</v>
      </c>
      <c r="F32" t="inlineStr">
        <is>
          <t>VÄSTERBOTTENS LÄN</t>
        </is>
      </c>
      <c r="G32" t="inlineStr">
        <is>
          <t>ROBERTSFORS</t>
        </is>
      </c>
      <c r="I32" t="n">
        <v>18.3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8</v>
      </c>
      <c r="U32" t="n">
        <v>0</v>
      </c>
      <c r="V32" s="2" t="inlineStr">
        <is>
          <t>Tjäder
Orre</t>
        </is>
      </c>
      <c r="W32">
        <f>HYPERLINK("https://klasma.github.io/Logging_2409/artfynd/A 35660-2026 artfynd.xlsx", "A 35660-2026")</f>
        <v/>
      </c>
      <c r="X32">
        <f>HYPERLINK("https://klasma.github.io/Logging_2409/kartor/A 35660-2026 karta.png", "A 35660-2026")</f>
        <v/>
      </c>
      <c r="Y32">
        <f>HYPERLINK("https://klasma.github.io/Logging_2409/kartor_geotiff/A 35660-2026 georefererad karta.tif", "A 35660-2026")</f>
        <v/>
      </c>
      <c r="AA32">
        <f>HYPERLINK("https://klasma.github.io/Logging_2409/klagomål/A 35660-2026 FSC-klagomål.docx", "A 35660-2026")</f>
        <v/>
      </c>
      <c r="AB32">
        <f>HYPERLINK("https://klasma.github.io/Logging_2409/klagomålsmail/A 35660-2026 FSC-klagomål mail.docx", "A 35660-2026")</f>
        <v/>
      </c>
      <c r="AC32">
        <f>HYPERLINK("https://klasma.github.io/Logging_2409/tillsyn/A 35660-2026 tillsynsbegäran.docx", "A 35660-2026")</f>
        <v/>
      </c>
      <c r="AD32">
        <f>HYPERLINK("https://klasma.github.io/Logging_2409/tillsynsmail/A 35660-2026 tillsynsbegäran mail.docx", "A 35660-2026")</f>
        <v/>
      </c>
      <c r="AE32">
        <f>HYPERLINK("https://klasma.github.io/Logging_2409/fåglar/A 35660-2026 prioriterade fågelarter.docx", "A 35660-2026")</f>
        <v/>
      </c>
    </row>
    <row r="33" ht="15" customHeight="1">
      <c r="A33" t="inlineStr">
        <is>
          <t>A 2777-2026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46283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2777-2026 artfynd.xlsx", "A 2777-2026")</f>
        <v/>
      </c>
      <c r="X33">
        <f>HYPERLINK("https://klasma.github.io/Logging_2409/kartor/A 2777-2026 karta.png", "A 2777-2026")</f>
        <v/>
      </c>
      <c r="Y33">
        <f>HYPERLINK("https://klasma.github.io/Logging_2409/kartor_geotiff/A 2777-2026 georefererad karta.tif", "A 2777-2026")</f>
        <v/>
      </c>
      <c r="AA33">
        <f>HYPERLINK("https://klasma.github.io/Logging_2409/klagomål/A 2777-2026 FSC-klagomål.docx", "A 2777-2026")</f>
        <v/>
      </c>
      <c r="AB33">
        <f>HYPERLINK("https://klasma.github.io/Logging_2409/klagomålsmail/A 2777-2026 FSC-klagomål mail.docx", "A 2777-2026")</f>
        <v/>
      </c>
      <c r="AC33">
        <f>HYPERLINK("https://klasma.github.io/Logging_2409/tillsyn/A 2777-2026 tillsynsbegäran.docx", "A 2777-2026")</f>
        <v/>
      </c>
      <c r="AD33">
        <f>HYPERLINK("https://klasma.github.io/Logging_2409/tillsynsmail/A 2777-2026 tillsynsbegäran mail.docx", "A 2777-2026")</f>
        <v/>
      </c>
    </row>
    <row r="34" ht="15" customHeight="1">
      <c r="A34" t="inlineStr">
        <is>
          <t>A 41723-2024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46283</v>
      </c>
      <c r="F34" t="inlineStr">
        <is>
          <t>VÄSTERBOTTENS LÄN</t>
        </is>
      </c>
      <c r="G34" t="inlineStr">
        <is>
          <t>ROBERTSFORS</t>
        </is>
      </c>
      <c r="I34" t="n">
        <v>2.4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Tretåig hackspett
Spillkråka</t>
        </is>
      </c>
      <c r="W34">
        <f>HYPERLINK("https://klasma.github.io/Logging_2409/artfynd/A 41723-2024 artfynd.xlsx", "A 41723-2024")</f>
        <v/>
      </c>
      <c r="X34">
        <f>HYPERLINK("https://klasma.github.io/Logging_2409/kartor/A 41723-2024 karta.png", "A 41723-2024")</f>
        <v/>
      </c>
      <c r="Y34">
        <f>HYPERLINK("https://klasma.github.io/Logging_2409/kartor_geotiff/A 41723-2024 georefererad karta.tif", "A 41723-2024")</f>
        <v/>
      </c>
      <c r="AA34">
        <f>HYPERLINK("https://klasma.github.io/Logging_2409/klagomål/A 41723-2024 FSC-klagomål.docx", "A 41723-2024")</f>
        <v/>
      </c>
      <c r="AB34">
        <f>HYPERLINK("https://klasma.github.io/Logging_2409/klagomålsmail/A 41723-2024 FSC-klagomål mail.docx", "A 41723-2024")</f>
        <v/>
      </c>
      <c r="AC34">
        <f>HYPERLINK("https://klasma.github.io/Logging_2409/tillsyn/A 41723-2024 tillsynsbegäran.docx", "A 41723-2024")</f>
        <v/>
      </c>
      <c r="AD34">
        <f>HYPERLINK("https://klasma.github.io/Logging_2409/tillsynsmail/A 41723-2024 tillsynsbegäran mail.docx", "A 41723-2024")</f>
        <v/>
      </c>
      <c r="AE34">
        <f>HYPERLINK("https://klasma.github.io/Logging_2409/fåglar/A 41723-2024 prioriterade fågelarter.docx", "A 41723-2024")</f>
        <v/>
      </c>
    </row>
    <row r="35" ht="15" customHeight="1">
      <c r="A35" t="inlineStr">
        <is>
          <t>A 5283-2026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46283</v>
      </c>
      <c r="F35" t="inlineStr">
        <is>
          <t>VÄSTERBOTTENS LÄN</t>
        </is>
      </c>
      <c r="G35" t="inlineStr">
        <is>
          <t>ROBERTSFORS</t>
        </is>
      </c>
      <c r="I35" t="n">
        <v>1.2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Utter</t>
        </is>
      </c>
      <c r="W35">
        <f>HYPERLINK("https://klasma.github.io/Logging_2409/artfynd/A 5283-2026 artfynd.xlsx", "A 5283-2026")</f>
        <v/>
      </c>
      <c r="X35">
        <f>HYPERLINK("https://klasma.github.io/Logging_2409/kartor/A 5283-2026 karta.png", "A 5283-2026")</f>
        <v/>
      </c>
      <c r="Y35">
        <f>HYPERLINK("https://klasma.github.io/Logging_2409/kartor_geotiff/A 5283-2026 georefererad karta.tif", "A 5283-2026")</f>
        <v/>
      </c>
      <c r="AA35">
        <f>HYPERLINK("https://klasma.github.io/Logging_2409/klagomål/A 5283-2026 FSC-klagomål.docx", "A 5283-2026")</f>
        <v/>
      </c>
      <c r="AB35">
        <f>HYPERLINK("https://klasma.github.io/Logging_2409/klagomålsmail/A 5283-2026 FSC-klagomål mail.docx", "A 5283-2026")</f>
        <v/>
      </c>
      <c r="AC35">
        <f>HYPERLINK("https://klasma.github.io/Logging_2409/tillsyn/A 5283-2026 tillsynsbegäran.docx", "A 5283-2026")</f>
        <v/>
      </c>
      <c r="AD35">
        <f>HYPERLINK("https://klasma.github.io/Logging_2409/tillsynsmail/A 5283-2026 tillsynsbegäran mail.docx", "A 5283-2026")</f>
        <v/>
      </c>
      <c r="AE35">
        <f>HYPERLINK("https://klasma.github.io/Logging_2409/fåglar/A 5283-2026 prioriterade fågelarter.docx", "A 5283-2026")</f>
        <v/>
      </c>
    </row>
    <row r="36" ht="15" customHeight="1">
      <c r="A36" t="inlineStr">
        <is>
          <t>A 5287-2026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46283</v>
      </c>
      <c r="F36" t="inlineStr">
        <is>
          <t>VÄSTERBOTTENS LÄN</t>
        </is>
      </c>
      <c r="G36" t="inlineStr">
        <is>
          <t>ROBERTSFORS</t>
        </is>
      </c>
      <c r="I36" t="n">
        <v>3.2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Spillkråka</t>
        </is>
      </c>
      <c r="W36">
        <f>HYPERLINK("https://klasma.github.io/Logging_2409/artfynd/A 5287-2026 artfynd.xlsx", "A 5287-2026")</f>
        <v/>
      </c>
      <c r="X36">
        <f>HYPERLINK("https://klasma.github.io/Logging_2409/kartor/A 5287-2026 karta.png", "A 5287-2026")</f>
        <v/>
      </c>
      <c r="Y36">
        <f>HYPERLINK("https://klasma.github.io/Logging_2409/kartor_geotiff/A 5287-2026 georefererad karta.tif", "A 5287-2026")</f>
        <v/>
      </c>
      <c r="AA36">
        <f>HYPERLINK("https://klasma.github.io/Logging_2409/klagomål/A 5287-2026 FSC-klagomål.docx", "A 5287-2026")</f>
        <v/>
      </c>
      <c r="AB36">
        <f>HYPERLINK("https://klasma.github.io/Logging_2409/klagomålsmail/A 5287-2026 FSC-klagomål mail.docx", "A 5287-2026")</f>
        <v/>
      </c>
      <c r="AC36">
        <f>HYPERLINK("https://klasma.github.io/Logging_2409/tillsyn/A 5287-2026 tillsynsbegäran.docx", "A 5287-2026")</f>
        <v/>
      </c>
      <c r="AD36">
        <f>HYPERLINK("https://klasma.github.io/Logging_2409/tillsynsmail/A 5287-2026 tillsynsbegäran mail.docx", "A 5287-2026")</f>
        <v/>
      </c>
      <c r="AE36">
        <f>HYPERLINK("https://klasma.github.io/Logging_2409/fåglar/A 5287-2026 prioriterade fågelarter.docx", "A 5287-2026")</f>
        <v/>
      </c>
    </row>
    <row r="37" ht="15" customHeight="1">
      <c r="A37" t="inlineStr">
        <is>
          <t>A 5290-2026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46050</v>
      </c>
      <c r="E37" s="1" t="n">
        <v>46283</v>
      </c>
      <c r="F37" t="inlineStr">
        <is>
          <t>VÄSTERBOTTENS LÄN</t>
        </is>
      </c>
      <c r="G37" t="inlineStr">
        <is>
          <t>ROBERTSFORS</t>
        </is>
      </c>
      <c r="I37" t="n">
        <v>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Harticka
Vedticka</t>
        </is>
      </c>
      <c r="W37">
        <f>HYPERLINK("https://klasma.github.io/Logging_2409/artfynd/A 5290-2026 artfynd.xlsx", "A 5290-2026")</f>
        <v/>
      </c>
      <c r="X37">
        <f>HYPERLINK("https://klasma.github.io/Logging_2409/kartor/A 5290-2026 karta.png", "A 5290-2026")</f>
        <v/>
      </c>
      <c r="Y37">
        <f>HYPERLINK("https://klasma.github.io/Logging_2409/kartor_geotiff/A 5290-2026 georefererad karta.tif", "A 5290-2026")</f>
        <v/>
      </c>
      <c r="AA37">
        <f>HYPERLINK("https://klasma.github.io/Logging_2409/klagomål/A 5290-2026 FSC-klagomål.docx", "A 5290-2026")</f>
        <v/>
      </c>
      <c r="AB37">
        <f>HYPERLINK("https://klasma.github.io/Logging_2409/klagomålsmail/A 5290-2026 FSC-klagomål mail.docx", "A 5290-2026")</f>
        <v/>
      </c>
      <c r="AC37">
        <f>HYPERLINK("https://klasma.github.io/Logging_2409/tillsyn/A 5290-2026 tillsynsbegäran.docx", "A 5290-2026")</f>
        <v/>
      </c>
      <c r="AD37">
        <f>HYPERLINK("https://klasma.github.io/Logging_2409/tillsynsmail/A 5290-2026 tillsynsbegäran mail.docx", "A 5290-2026")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46283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46283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46283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46283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46283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46283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46283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46283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46283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46283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46283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46283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46283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52723-2025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46283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HYPERLINK("https://klasma.github.io/Logging_2409/artfynd/A 52723-2025 artfynd.xlsx", "A 52723-2025")</f>
        <v/>
      </c>
      <c r="X56">
        <f>HYPERLINK("https://klasma.github.io/Logging_2409/kartor/A 52723-2025 karta.png", "A 52723-2025")</f>
        <v/>
      </c>
      <c r="Y56">
        <f>HYPERLINK("https://klasma.github.io/Logging_2409/kartor_geotiff/A 52723-2025 georefererad karta.tif", "A 52723-2025")</f>
        <v/>
      </c>
      <c r="AA56">
        <f>HYPERLINK("https://klasma.github.io/Logging_2409/klagomål/A 52723-2025 FSC-klagomål.docx", "A 52723-2025")</f>
        <v/>
      </c>
      <c r="AB56">
        <f>HYPERLINK("https://klasma.github.io/Logging_2409/klagomålsmail/A 52723-2025 FSC-klagomål mail.docx", "A 52723-2025")</f>
        <v/>
      </c>
      <c r="AC56">
        <f>HYPERLINK("https://klasma.github.io/Logging_2409/tillsyn/A 52723-2025 tillsynsbegäran.docx", "A 52723-2025")</f>
        <v/>
      </c>
      <c r="AD56">
        <f>HYPERLINK("https://klasma.github.io/Logging_2409/tillsynsmail/A 52723-2025 tillsynsbegäran mail.docx", "A 52723-2025")</f>
        <v/>
      </c>
      <c r="AE56">
        <f>HYPERLINK("https://klasma.github.io/Logging_2409/fåglar/A 52723-2025 prioriterade fågelarter.docx", "A 52723-2025")</f>
        <v/>
      </c>
    </row>
    <row r="57" ht="15" customHeight="1">
      <c r="A57" t="inlineStr">
        <is>
          <t>A 8753-2025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45712</v>
      </c>
      <c r="E57" s="1" t="n">
        <v>46283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Kommuner</t>
        </is>
      </c>
      <c r="I57" t="n">
        <v>8.1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HYPERLINK("https://klasma.github.io/Logging_2409/artfynd/A 8753-2025 artfynd.xlsx", "A 8753-2025")</f>
        <v/>
      </c>
      <c r="X57">
        <f>HYPERLINK("https://klasma.github.io/Logging_2409/kartor/A 8753-2025 karta.png", "A 8753-2025")</f>
        <v/>
      </c>
      <c r="Y57">
        <f>HYPERLINK("https://klasma.github.io/Logging_2409/kartor_geotiff/A 8753-2025 georefererad karta.tif", "A 8753-2025")</f>
        <v/>
      </c>
      <c r="AA57">
        <f>HYPERLINK("https://klasma.github.io/Logging_2409/klagomål/A 8753-2025 FSC-klagomål.docx", "A 8753-2025")</f>
        <v/>
      </c>
      <c r="AB57">
        <f>HYPERLINK("https://klasma.github.io/Logging_2409/klagomålsmail/A 8753-2025 FSC-klagomål mail.docx", "A 8753-2025")</f>
        <v/>
      </c>
      <c r="AC57">
        <f>HYPERLINK("https://klasma.github.io/Logging_2409/tillsyn/A 8753-2025 tillsynsbegäran.docx", "A 8753-2025")</f>
        <v/>
      </c>
      <c r="AD57">
        <f>HYPERLINK("https://klasma.github.io/Logging_2409/tillsynsmail/A 8753-2025 tillsynsbegäran mail.docx", "A 8753-2025")</f>
        <v/>
      </c>
    </row>
    <row r="58" ht="15" customHeight="1">
      <c r="A58" t="inlineStr">
        <is>
          <t>A 28224-2026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46283</v>
      </c>
      <c r="F58" t="inlineStr">
        <is>
          <t>VÄSTERBOTTENS LÄN</t>
        </is>
      </c>
      <c r="G58" t="inlineStr">
        <is>
          <t>ROBERTSFORS</t>
        </is>
      </c>
      <c r="I58" t="n">
        <v>9.800000000000001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6</v>
      </c>
      <c r="U58" t="n">
        <v>0</v>
      </c>
      <c r="V58" s="2" t="inlineStr">
        <is>
          <t>Garnlav</t>
        </is>
      </c>
      <c r="W58">
        <f>HYPERLINK("https://klasma.github.io/Logging_2409/artfynd/A 28224-2026 artfynd.xlsx", "A 28224-2026")</f>
        <v/>
      </c>
      <c r="X58">
        <f>HYPERLINK("https://klasma.github.io/Logging_2409/kartor/A 28224-2026 karta.png", "A 28224-2026")</f>
        <v/>
      </c>
      <c r="Y58">
        <f>HYPERLINK("https://klasma.github.io/Logging_2409/kartor_geotiff/A 28224-2026 georefererad karta.tif", "A 28224-2026")</f>
        <v/>
      </c>
      <c r="AA58">
        <f>HYPERLINK("https://klasma.github.io/Logging_2409/klagomål/A 28224-2026 FSC-klagomål.docx", "A 28224-2026")</f>
        <v/>
      </c>
      <c r="AB58">
        <f>HYPERLINK("https://klasma.github.io/Logging_2409/klagomålsmail/A 28224-2026 FSC-klagomål mail.docx", "A 28224-2026")</f>
        <v/>
      </c>
      <c r="AC58">
        <f>HYPERLINK("https://klasma.github.io/Logging_2409/tillsyn/A 28224-2026 tillsynsbegäran.docx", "A 28224-2026")</f>
        <v/>
      </c>
      <c r="AD58">
        <f>HYPERLINK("https://klasma.github.io/Logging_2409/tillsynsmail/A 28224-2026 tillsynsbegäran mail.docx", "A 28224-2026")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46283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46283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46283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46283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46283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5285-2026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46283</v>
      </c>
      <c r="F64" t="inlineStr">
        <is>
          <t>VÄSTERBOTTENS LÄN</t>
        </is>
      </c>
      <c r="G64" t="inlineStr">
        <is>
          <t>ROBERTSFORS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HYPERLINK("https://klasma.github.io/Logging_2409/artfynd/A 5285-2026 artfynd.xlsx", "A 5285-2026")</f>
        <v/>
      </c>
      <c r="X64">
        <f>HYPERLINK("https://klasma.github.io/Logging_2409/kartor/A 5285-2026 karta.png", "A 5285-2026")</f>
        <v/>
      </c>
      <c r="Y64">
        <f>HYPERLINK("https://klasma.github.io/Logging_2409/kartor_geotiff/A 5285-2026 georefererad karta.tif", "A 5285-2026")</f>
        <v/>
      </c>
      <c r="AA64">
        <f>HYPERLINK("https://klasma.github.io/Logging_2409/klagomål/A 5285-2026 FSC-klagomål.docx", "A 5285-2026")</f>
        <v/>
      </c>
      <c r="AB64">
        <f>HYPERLINK("https://klasma.github.io/Logging_2409/klagomålsmail/A 5285-2026 FSC-klagomål mail.docx", "A 5285-2026")</f>
        <v/>
      </c>
      <c r="AC64">
        <f>HYPERLINK("https://klasma.github.io/Logging_2409/tillsyn/A 5285-2026 tillsynsbegäran.docx", "A 5285-2026")</f>
        <v/>
      </c>
      <c r="AD64">
        <f>HYPERLINK("https://klasma.github.io/Logging_2409/tillsynsmail/A 5285-2026 tillsynsbegäran mail.docx", "A 5285-2026")</f>
        <v/>
      </c>
      <c r="AE64">
        <f>HYPERLINK("https://klasma.github.io/Logging_2409/fåglar/A 5285-2026 prioriterade fågelarter.docx", "A 5285-2026")</f>
        <v/>
      </c>
    </row>
    <row r="65" ht="15" customHeight="1">
      <c r="A65" t="inlineStr">
        <is>
          <t>A 5284-2026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46050</v>
      </c>
      <c r="E65" s="1" t="n">
        <v>46283</v>
      </c>
      <c r="F65" t="inlineStr">
        <is>
          <t>VÄSTERBOTTENS LÄN</t>
        </is>
      </c>
      <c r="G65" t="inlineStr">
        <is>
          <t>ROBERTSFORS</t>
        </is>
      </c>
      <c r="I65" t="n">
        <v>3.1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HYPERLINK("https://klasma.github.io/Logging_2409/artfynd/A 5284-2026 artfynd.xlsx", "A 5284-2026")</f>
        <v/>
      </c>
      <c r="X65">
        <f>HYPERLINK("https://klasma.github.io/Logging_2409/kartor/A 5284-2026 karta.png", "A 5284-2026")</f>
        <v/>
      </c>
      <c r="Y65">
        <f>HYPERLINK("https://klasma.github.io/Logging_2409/kartor_geotiff/A 5284-2026 georefererad karta.tif", "A 5284-2026")</f>
        <v/>
      </c>
      <c r="AA65">
        <f>HYPERLINK("https://klasma.github.io/Logging_2409/klagomål/A 5284-2026 FSC-klagomål.docx", "A 5284-2026")</f>
        <v/>
      </c>
      <c r="AB65">
        <f>HYPERLINK("https://klasma.github.io/Logging_2409/klagomålsmail/A 5284-2026 FSC-klagomål mail.docx", "A 5284-2026")</f>
        <v/>
      </c>
      <c r="AC65">
        <f>HYPERLINK("https://klasma.github.io/Logging_2409/tillsyn/A 5284-2026 tillsynsbegäran.docx", "A 5284-2026")</f>
        <v/>
      </c>
      <c r="AD65">
        <f>HYPERLINK("https://klasma.github.io/Logging_2409/tillsynsmail/A 5284-2026 tillsynsbegäran mail.docx", "A 5284-2026")</f>
        <v/>
      </c>
      <c r="AE65">
        <f>HYPERLINK("https://klasma.github.io/Logging_2409/fåglar/A 5284-2026 prioriterade fågelarter.docx", "A 5284-2026")</f>
        <v/>
      </c>
    </row>
    <row r="66" ht="15" customHeight="1">
      <c r="A66" t="inlineStr">
        <is>
          <t>A 5289-2026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46283</v>
      </c>
      <c r="F66" t="inlineStr">
        <is>
          <t>VÄSTERBOTTENS LÄN</t>
        </is>
      </c>
      <c r="G66" t="inlineStr">
        <is>
          <t>ROBERTSFORS</t>
        </is>
      </c>
      <c r="I66" t="n">
        <v>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Björktrast</t>
        </is>
      </c>
      <c r="W66">
        <f>HYPERLINK("https://klasma.github.io/Logging_2409/artfynd/A 5289-2026 artfynd.xlsx", "A 5289-2026")</f>
        <v/>
      </c>
      <c r="X66">
        <f>HYPERLINK("https://klasma.github.io/Logging_2409/kartor/A 5289-2026 karta.png", "A 5289-2026")</f>
        <v/>
      </c>
      <c r="Y66">
        <f>HYPERLINK("https://klasma.github.io/Logging_2409/kartor_geotiff/A 5289-2026 georefererad karta.tif", "A 5289-2026")</f>
        <v/>
      </c>
      <c r="AA66">
        <f>HYPERLINK("https://klasma.github.io/Logging_2409/klagomål/A 5289-2026 FSC-klagomål.docx", "A 5289-2026")</f>
        <v/>
      </c>
      <c r="AB66">
        <f>HYPERLINK("https://klasma.github.io/Logging_2409/klagomålsmail/A 5289-2026 FSC-klagomål mail.docx", "A 5289-2026")</f>
        <v/>
      </c>
      <c r="AC66">
        <f>HYPERLINK("https://klasma.github.io/Logging_2409/tillsyn/A 5289-2026 tillsynsbegäran.docx", "A 5289-2026")</f>
        <v/>
      </c>
      <c r="AD66">
        <f>HYPERLINK("https://klasma.github.io/Logging_2409/tillsynsmail/A 5289-2026 tillsynsbegäran mail.docx", "A 5289-2026")</f>
        <v/>
      </c>
      <c r="AE66">
        <f>HYPERLINK("https://klasma.github.io/Logging_2409/fåglar/A 5289-2026 prioriterade fågelarter.docx", "A 5289-2026")</f>
        <v/>
      </c>
    </row>
    <row r="67" ht="15" customHeight="1">
      <c r="A67" t="inlineStr">
        <is>
          <t>A 32023-2024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46283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1.8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HYPERLINK("https://klasma.github.io/Logging_2409/artfynd/A 32023-2024 artfynd.xlsx", "A 32023-2024")</f>
        <v/>
      </c>
      <c r="X67">
        <f>HYPERLINK("https://klasma.github.io/Logging_2409/kartor/A 32023-2024 karta.png", "A 32023-2024")</f>
        <v/>
      </c>
      <c r="Y67">
        <f>HYPERLINK("https://klasma.github.io/Logging_2409/kartor_geotiff/A 32023-2024 georefererad karta.tif", "A 32023-2024")</f>
        <v/>
      </c>
      <c r="AA67">
        <f>HYPERLINK("https://klasma.github.io/Logging_2409/klagomål/A 32023-2024 FSC-klagomål.docx", "A 32023-2024")</f>
        <v/>
      </c>
      <c r="AB67">
        <f>HYPERLINK("https://klasma.github.io/Logging_2409/klagomålsmail/A 32023-2024 FSC-klagomål mail.docx", "A 32023-2024")</f>
        <v/>
      </c>
      <c r="AC67">
        <f>HYPERLINK("https://klasma.github.io/Logging_2409/tillsyn/A 32023-2024 tillsynsbegäran.docx", "A 32023-2024")</f>
        <v/>
      </c>
      <c r="AD67">
        <f>HYPERLINK("https://klasma.github.io/Logging_2409/tillsynsmail/A 32023-2024 tillsynsbegäran mail.docx", "A 32023-2024")</f>
        <v/>
      </c>
    </row>
    <row r="68" ht="15" customHeight="1">
      <c r="A68" t="inlineStr">
        <is>
          <t>A 40600-2022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46283</v>
      </c>
      <c r="F68" t="inlineStr">
        <is>
          <t>VÄSTERBOTTENS LÄN</t>
        </is>
      </c>
      <c r="G68" t="inlineStr">
        <is>
          <t>ROBERTSFORS</t>
        </is>
      </c>
      <c r="I68" t="n">
        <v>0.5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Fiskgjuse</t>
        </is>
      </c>
      <c r="W68">
        <f>HYPERLINK("https://klasma.github.io/Logging_2409/artfynd/A 40600-2022 artfynd.xlsx", "A 40600-2022")</f>
        <v/>
      </c>
      <c r="X68">
        <f>HYPERLINK("https://klasma.github.io/Logging_2409/kartor/A 40600-2022 karta.png", "A 40600-2022")</f>
        <v/>
      </c>
      <c r="Y68">
        <f>HYPERLINK("https://klasma.github.io/Logging_2409/kartor_geotiff/A 40600-2022 georefererad karta.tif", "A 40600-2022")</f>
        <v/>
      </c>
      <c r="AA68">
        <f>HYPERLINK("https://klasma.github.io/Logging_2409/klagomål/A 40600-2022 FSC-klagomål.docx", "A 40600-2022")</f>
        <v/>
      </c>
      <c r="AB68">
        <f>HYPERLINK("https://klasma.github.io/Logging_2409/klagomålsmail/A 40600-2022 FSC-klagomål mail.docx", "A 40600-2022")</f>
        <v/>
      </c>
      <c r="AC68">
        <f>HYPERLINK("https://klasma.github.io/Logging_2409/tillsyn/A 40600-2022 tillsynsbegäran.docx", "A 40600-2022")</f>
        <v/>
      </c>
      <c r="AD68">
        <f>HYPERLINK("https://klasma.github.io/Logging_2409/tillsynsmail/A 40600-2022 tillsynsbegäran mail.docx", "A 40600-2022")</f>
        <v/>
      </c>
      <c r="AE68">
        <f>HYPERLINK("https://klasma.github.io/Logging_2409/fåglar/A 40600-2022 prioriterade fågelarter.docx", "A 40600-2022")</f>
        <v/>
      </c>
    </row>
    <row r="69" ht="15" customHeight="1">
      <c r="A69" t="inlineStr">
        <is>
          <t>A 54484-2023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45233</v>
      </c>
      <c r="E69" s="1" t="n">
        <v>46283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3</v>
      </c>
      <c r="U69" t="n">
        <v>1</v>
      </c>
      <c r="V69" s="2" t="inlineStr">
        <is>
          <t>Dropptaggsvamp</t>
        </is>
      </c>
      <c r="W69">
        <f>HYPERLINK("https://klasma.github.io/Logging_2409/artfynd/A 54484-2023 artfynd.xlsx", "A 54484-2023")</f>
        <v/>
      </c>
      <c r="X69">
        <f>HYPERLINK("https://klasma.github.io/Logging_2409/kartor/A 54484-2023 karta.png", "A 54484-2023")</f>
        <v/>
      </c>
      <c r="Y69">
        <f>HYPERLINK("https://klasma.github.io/Logging_2409/kartor_geotiff/A 54484-2023 georefererad karta.tif", "A 54484-2023")</f>
        <v/>
      </c>
      <c r="AA69">
        <f>HYPERLINK("https://klasma.github.io/Logging_2409/klagomål/A 54484-2023 FSC-klagomål.docx", "A 54484-2023")</f>
        <v/>
      </c>
      <c r="AB69">
        <f>HYPERLINK("https://klasma.github.io/Logging_2409/klagomålsmail/A 54484-2023 FSC-klagomål mail.docx", "A 54484-2023")</f>
        <v/>
      </c>
      <c r="AC69">
        <f>HYPERLINK("https://klasma.github.io/Logging_2409/tillsyn/A 54484-2023 tillsynsbegäran.docx", "A 54484-2023")</f>
        <v/>
      </c>
      <c r="AD69">
        <f>HYPERLINK("https://klasma.github.io/Logging_2409/tillsynsmail/A 54484-2023 tillsynsbegäran mail.docx", "A 54484-2023")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46283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46283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46283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46283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46283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46283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46283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46283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46283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46283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46283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46283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46283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46283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46283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46283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46283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46283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46283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46283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46283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46283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46283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46283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46283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66503-2021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44519</v>
      </c>
      <c r="E95" s="1" t="n">
        <v>46283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44571</v>
      </c>
      <c r="E96" s="1" t="n">
        <v>46283</v>
      </c>
      <c r="F96" t="inlineStr">
        <is>
          <t>VÄSTERBOTTENS LÄN</t>
        </is>
      </c>
      <c r="G96" t="inlineStr">
        <is>
          <t>ROBERTSFORS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46283</v>
      </c>
      <c r="F97" t="inlineStr">
        <is>
          <t>VÄSTERBOTTENS LÄN</t>
        </is>
      </c>
      <c r="G97" t="inlineStr">
        <is>
          <t>ROBERTSFORS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69805-2021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46283</v>
      </c>
      <c r="F98" t="inlineStr">
        <is>
          <t>VÄSTERBOTTENS LÄN</t>
        </is>
      </c>
      <c r="G98" t="inlineStr">
        <is>
          <t>ROBERTSFORS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44844</v>
      </c>
      <c r="E99" s="1" t="n">
        <v>46283</v>
      </c>
      <c r="F99" t="inlineStr">
        <is>
          <t>VÄSTERBOTTENS LÄN</t>
        </is>
      </c>
      <c r="G99" t="inlineStr">
        <is>
          <t>ROBERTSFORS</t>
        </is>
      </c>
      <c r="H99" t="inlineStr">
        <is>
          <t>Holmen skog AB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44482</v>
      </c>
      <c r="E100" s="1" t="n">
        <v>46283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44612</v>
      </c>
      <c r="E101" s="1" t="n">
        <v>46283</v>
      </c>
      <c r="F101" t="inlineStr">
        <is>
          <t>VÄSTERBOTTENS LÄN</t>
        </is>
      </c>
      <c r="G101" t="inlineStr">
        <is>
          <t>ROBERTSFORS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46283</v>
      </c>
      <c r="F102" t="inlineStr">
        <is>
          <t>VÄSTERBOTTENS LÄN</t>
        </is>
      </c>
      <c r="G102" t="inlineStr">
        <is>
          <t>ROBERTSFORS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46283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46283</v>
      </c>
      <c r="F104" t="inlineStr">
        <is>
          <t>VÄSTERBOTTENS LÄN</t>
        </is>
      </c>
      <c r="G104" t="inlineStr">
        <is>
          <t>ROBERTSFORS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46283</v>
      </c>
      <c r="F105" t="inlineStr">
        <is>
          <t>VÄSTERBOTTENS LÄN</t>
        </is>
      </c>
      <c r="G105" t="inlineStr">
        <is>
          <t>ROBERTSFORS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46283</v>
      </c>
      <c r="F106" t="inlineStr">
        <is>
          <t>VÄSTERBOTTENS LÄN</t>
        </is>
      </c>
      <c r="G106" t="inlineStr">
        <is>
          <t>ROBERTSFORS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46283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46283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46283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46283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46283</v>
      </c>
      <c r="F111" t="inlineStr">
        <is>
          <t>VÄSTERBOTTENS LÄN</t>
        </is>
      </c>
      <c r="G111" t="inlineStr">
        <is>
          <t>ROBERTSFORS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46283</v>
      </c>
      <c r="F112" t="inlineStr">
        <is>
          <t>VÄSTERBOTTENS LÄN</t>
        </is>
      </c>
      <c r="G112" t="inlineStr">
        <is>
          <t>ROBERTSFORS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46283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46283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46283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46283</v>
      </c>
      <c r="F116" t="inlineStr">
        <is>
          <t>VÄSTERBOTTENS LÄN</t>
        </is>
      </c>
      <c r="G116" t="inlineStr">
        <is>
          <t>ROBERTSFORS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46283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46283</v>
      </c>
      <c r="F118" t="inlineStr">
        <is>
          <t>VÄSTERBOTTENS LÄN</t>
        </is>
      </c>
      <c r="G118" t="inlineStr">
        <is>
          <t>ROBERTSFORS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46283</v>
      </c>
      <c r="F119" t="inlineStr">
        <is>
          <t>VÄSTERBOTTENS LÄN</t>
        </is>
      </c>
      <c r="G119" t="inlineStr">
        <is>
          <t>ROBERTSFORS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46283</v>
      </c>
      <c r="F120" t="inlineStr">
        <is>
          <t>VÄSTERBOTTENS LÄN</t>
        </is>
      </c>
      <c r="G120" t="inlineStr">
        <is>
          <t>ROBERTSFORS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46283</v>
      </c>
      <c r="F121" t="inlineStr">
        <is>
          <t>VÄSTERBOTTENS LÄN</t>
        </is>
      </c>
      <c r="G121" t="inlineStr">
        <is>
          <t>ROBERTSFORS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46283</v>
      </c>
      <c r="F122" t="inlineStr">
        <is>
          <t>VÄSTERBOTTENS LÄN</t>
        </is>
      </c>
      <c r="G122" t="inlineStr">
        <is>
          <t>ROBERTSFORS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45042</v>
      </c>
      <c r="E123" s="1" t="n">
        <v>46283</v>
      </c>
      <c r="F123" t="inlineStr">
        <is>
          <t>VÄSTERBOTTENS LÄN</t>
        </is>
      </c>
      <c r="G123" t="inlineStr">
        <is>
          <t>ROBERTSFORS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46283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46283</v>
      </c>
      <c r="F125" t="inlineStr">
        <is>
          <t>VÄSTERBOTTENS LÄN</t>
        </is>
      </c>
      <c r="G125" t="inlineStr">
        <is>
          <t>ROBERTSFORS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46283</v>
      </c>
      <c r="F126" t="inlineStr">
        <is>
          <t>VÄSTERBOTTENS LÄN</t>
        </is>
      </c>
      <c r="G126" t="inlineStr">
        <is>
          <t>ROBERTSFORS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46283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46283</v>
      </c>
      <c r="F128" t="inlineStr">
        <is>
          <t>VÄSTERBOTTENS LÄN</t>
        </is>
      </c>
      <c r="G128" t="inlineStr">
        <is>
          <t>ROBERTSFORS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34771-2024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45526</v>
      </c>
      <c r="E129" s="1" t="n">
        <v>46283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46283</v>
      </c>
      <c r="F130" t="inlineStr">
        <is>
          <t>VÄSTERBOTTENS LÄN</t>
        </is>
      </c>
      <c r="G130" t="inlineStr">
        <is>
          <t>ROBERTSFORS</t>
        </is>
      </c>
      <c r="I130" t="n">
        <v>14.3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46283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46283</v>
      </c>
      <c r="F132" t="inlineStr">
        <is>
          <t>VÄSTERBOTTENS LÄN</t>
        </is>
      </c>
      <c r="G132" t="inlineStr">
        <is>
          <t>ROBERTSFORS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46283</v>
      </c>
      <c r="F133" t="inlineStr">
        <is>
          <t>VÄSTERBOTTENS LÄN</t>
        </is>
      </c>
      <c r="G133" t="inlineStr">
        <is>
          <t>ROBERTSFORS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44860</v>
      </c>
      <c r="E134" s="1" t="n">
        <v>46283</v>
      </c>
      <c r="F134" t="inlineStr">
        <is>
          <t>VÄSTERBOTTENS LÄN</t>
        </is>
      </c>
      <c r="G134" t="inlineStr">
        <is>
          <t>ROBERTSFORS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45140</v>
      </c>
      <c r="E135" s="1" t="n">
        <v>46283</v>
      </c>
      <c r="F135" t="inlineStr">
        <is>
          <t>VÄSTERBOTTENS LÄN</t>
        </is>
      </c>
      <c r="G135" t="inlineStr">
        <is>
          <t>ROBERTSFORS</t>
        </is>
      </c>
      <c r="I135" t="n">
        <v>15.3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45458</v>
      </c>
      <c r="E136" s="1" t="n">
        <v>46283</v>
      </c>
      <c r="F136" t="inlineStr">
        <is>
          <t>VÄSTERBOTTENS LÄN</t>
        </is>
      </c>
      <c r="G136" t="inlineStr">
        <is>
          <t>ROBERTSFORS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46283</v>
      </c>
      <c r="F137" t="inlineStr">
        <is>
          <t>VÄSTERBOTTENS LÄN</t>
        </is>
      </c>
      <c r="G137" t="inlineStr">
        <is>
          <t>ROBERTSFORS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46283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SCA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45568</v>
      </c>
      <c r="E139" s="1" t="n">
        <v>46283</v>
      </c>
      <c r="F139" t="inlineStr">
        <is>
          <t>VÄSTERBOTTENS LÄN</t>
        </is>
      </c>
      <c r="G139" t="inlineStr">
        <is>
          <t>ROBERTSFORS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45496</v>
      </c>
      <c r="E140" s="1" t="n">
        <v>46283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46283</v>
      </c>
      <c r="F141" t="inlineStr">
        <is>
          <t>VÄSTERBOTTENS LÄN</t>
        </is>
      </c>
      <c r="G141" t="inlineStr">
        <is>
          <t>ROBERTSFORS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46283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44913</v>
      </c>
      <c r="E143" s="1" t="n">
        <v>46283</v>
      </c>
      <c r="F143" t="inlineStr">
        <is>
          <t>VÄSTERBOTTENS LÄN</t>
        </is>
      </c>
      <c r="G143" t="inlineStr">
        <is>
          <t>ROBERTSFORS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44876</v>
      </c>
      <c r="E144" s="1" t="n">
        <v>46283</v>
      </c>
      <c r="F144" t="inlineStr">
        <is>
          <t>VÄSTERBOTTENS LÄN</t>
        </is>
      </c>
      <c r="G144" t="inlineStr">
        <is>
          <t>ROBERTSFORS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46283</v>
      </c>
      <c r="F145" t="inlineStr">
        <is>
          <t>VÄSTERBOTTENS LÄN</t>
        </is>
      </c>
      <c r="G145" t="inlineStr">
        <is>
          <t>ROBERTSFORS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45357</v>
      </c>
      <c r="E146" s="1" t="n">
        <v>46283</v>
      </c>
      <c r="F146" t="inlineStr">
        <is>
          <t>VÄSTERBOTTENS LÄN</t>
        </is>
      </c>
      <c r="G146" t="inlineStr">
        <is>
          <t>ROBERTSFORS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46283</v>
      </c>
      <c r="F147" t="inlineStr">
        <is>
          <t>VÄSTERBOTTENS LÄN</t>
        </is>
      </c>
      <c r="G147" t="inlineStr">
        <is>
          <t>ROBERTSFORS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46283</v>
      </c>
      <c r="F148" t="inlineStr">
        <is>
          <t>VÄSTERBOTTENS LÄN</t>
        </is>
      </c>
      <c r="G148" t="inlineStr">
        <is>
          <t>ROBERTSFORS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58426-2022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44901</v>
      </c>
      <c r="E149" s="1" t="n">
        <v>46283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54366-2024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45617</v>
      </c>
      <c r="E150" s="1" t="n">
        <v>46283</v>
      </c>
      <c r="F150" t="inlineStr">
        <is>
          <t>VÄSTERBOTTENS LÄN</t>
        </is>
      </c>
      <c r="G150" t="inlineStr">
        <is>
          <t>ROBERTSFORS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45030</v>
      </c>
      <c r="E151" s="1" t="n">
        <v>46283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45636</v>
      </c>
      <c r="E152" s="1" t="n">
        <v>46283</v>
      </c>
      <c r="F152" t="inlineStr">
        <is>
          <t>VÄSTERBOTTENS LÄN</t>
        </is>
      </c>
      <c r="G152" t="inlineStr">
        <is>
          <t>ROBERTSFORS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46065</v>
      </c>
      <c r="E153" s="1" t="n">
        <v>46283</v>
      </c>
      <c r="F153" t="inlineStr">
        <is>
          <t>VÄSTERBOTTENS LÄN</t>
        </is>
      </c>
      <c r="G153" t="inlineStr">
        <is>
          <t>ROBERTSFORS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46283</v>
      </c>
      <c r="F154" t="inlineStr">
        <is>
          <t>VÄSTERBOTTENS LÄN</t>
        </is>
      </c>
      <c r="G154" t="inlineStr">
        <is>
          <t>ROBERTSFORS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45496</v>
      </c>
      <c r="E155" s="1" t="n">
        <v>46283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46283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46076</v>
      </c>
      <c r="E157" s="1" t="n">
        <v>46283</v>
      </c>
      <c r="F157" t="inlineStr">
        <is>
          <t>VÄSTERBOTTENS LÄN</t>
        </is>
      </c>
      <c r="G157" t="inlineStr">
        <is>
          <t>ROBERTSFORS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45404</v>
      </c>
      <c r="E158" s="1" t="n">
        <v>46283</v>
      </c>
      <c r="F158" t="inlineStr">
        <is>
          <t>VÄSTERBOTTENS LÄN</t>
        </is>
      </c>
      <c r="G158" t="inlineStr">
        <is>
          <t>ROBERTSFORS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46283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46283</v>
      </c>
      <c r="F160" t="inlineStr">
        <is>
          <t>VÄSTERBOTTENS LÄN</t>
        </is>
      </c>
      <c r="G160" t="inlineStr">
        <is>
          <t>ROBERTSFORS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46283</v>
      </c>
      <c r="F161" t="inlineStr">
        <is>
          <t>VÄSTERBOTTENS LÄN</t>
        </is>
      </c>
      <c r="G161" t="inlineStr">
        <is>
          <t>ROBERTSFORS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46283</v>
      </c>
      <c r="F162" t="inlineStr">
        <is>
          <t>VÄSTERBOTTENS LÄN</t>
        </is>
      </c>
      <c r="G162" t="inlineStr">
        <is>
          <t>ROBERTSFORS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46083</v>
      </c>
      <c r="E163" s="1" t="n">
        <v>46283</v>
      </c>
      <c r="F163" t="inlineStr">
        <is>
          <t>VÄSTERBOTTENS LÄN</t>
        </is>
      </c>
      <c r="G163" t="inlineStr">
        <is>
          <t>ROBERTSFORS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46283</v>
      </c>
      <c r="F164" t="inlineStr">
        <is>
          <t>VÄSTERBOTTENS LÄN</t>
        </is>
      </c>
      <c r="G164" t="inlineStr">
        <is>
          <t>ROBERTSFORS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46283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46283</v>
      </c>
      <c r="F166" t="inlineStr">
        <is>
          <t>VÄSTERBOTTENS LÄN</t>
        </is>
      </c>
      <c r="G166" t="inlineStr">
        <is>
          <t>ROBERTSFORS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46283</v>
      </c>
      <c r="F167" t="inlineStr">
        <is>
          <t>VÄSTERBOTTENS LÄN</t>
        </is>
      </c>
      <c r="G167" t="inlineStr">
        <is>
          <t>ROBERTSFORS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46283</v>
      </c>
      <c r="F168" t="inlineStr">
        <is>
          <t>VÄSTERBOTTENS LÄN</t>
        </is>
      </c>
      <c r="G168" t="inlineStr">
        <is>
          <t>ROBERTSFORS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46283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46283</v>
      </c>
      <c r="F170" t="inlineStr">
        <is>
          <t>VÄSTERBOTTENS LÄN</t>
        </is>
      </c>
      <c r="G170" t="inlineStr">
        <is>
          <t>ROBERTSFORS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46283</v>
      </c>
      <c r="F171" t="inlineStr">
        <is>
          <t>VÄSTERBOTTENS LÄN</t>
        </is>
      </c>
      <c r="G171" t="inlineStr">
        <is>
          <t>ROBERTSFORS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44732</v>
      </c>
      <c r="E172" s="1" t="n">
        <v>46283</v>
      </c>
      <c r="F172" t="inlineStr">
        <is>
          <t>VÄSTERBOTTENS LÄN</t>
        </is>
      </c>
      <c r="G172" t="inlineStr">
        <is>
          <t>ROBERTSFORS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33368-2025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45841</v>
      </c>
      <c r="E173" s="1" t="n">
        <v>46283</v>
      </c>
      <c r="F173" t="inlineStr">
        <is>
          <t>VÄSTERBOTTENS LÄN</t>
        </is>
      </c>
      <c r="G173" t="inlineStr">
        <is>
          <t>ROBERTSFORS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46283</v>
      </c>
      <c r="F174" t="inlineStr">
        <is>
          <t>VÄSTERBOTTENS LÄN</t>
        </is>
      </c>
      <c r="G174" t="inlineStr">
        <is>
          <t>ROBERTSFORS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33375-2025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45841</v>
      </c>
      <c r="E175" s="1" t="n">
        <v>46283</v>
      </c>
      <c r="F175" t="inlineStr">
        <is>
          <t>VÄSTERBOTTENS LÄN</t>
        </is>
      </c>
      <c r="G175" t="inlineStr">
        <is>
          <t>ROBERTSFORS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46283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46283</v>
      </c>
      <c r="F177" t="inlineStr">
        <is>
          <t>VÄSTERBOTTENS LÄN</t>
        </is>
      </c>
      <c r="G177" t="inlineStr">
        <is>
          <t>ROBERTSFORS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46283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45712</v>
      </c>
      <c r="E179" s="1" t="n">
        <v>46283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46283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46283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46283</v>
      </c>
      <c r="F182" t="inlineStr">
        <is>
          <t>VÄSTERBOTTENS LÄN</t>
        </is>
      </c>
      <c r="G182" t="inlineStr">
        <is>
          <t>ROBERTSFORS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46283</v>
      </c>
      <c r="F183" t="inlineStr">
        <is>
          <t>VÄSTERBOTTENS LÄN</t>
        </is>
      </c>
      <c r="G183" t="inlineStr">
        <is>
          <t>ROBERTSFORS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46283</v>
      </c>
      <c r="F184" t="inlineStr">
        <is>
          <t>VÄSTERBOTTENS LÄN</t>
        </is>
      </c>
      <c r="G184" t="inlineStr">
        <is>
          <t>ROBERTSFORS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46283</v>
      </c>
      <c r="F185" t="inlineStr">
        <is>
          <t>VÄSTERBOTTENS LÄN</t>
        </is>
      </c>
      <c r="G185" t="inlineStr">
        <is>
          <t>ROBERTSFORS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45671</v>
      </c>
      <c r="E186" s="1" t="n">
        <v>46283</v>
      </c>
      <c r="F186" t="inlineStr">
        <is>
          <t>VÄSTERBOTTENS LÄN</t>
        </is>
      </c>
      <c r="G186" t="inlineStr">
        <is>
          <t>ROBERTSFORS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46283</v>
      </c>
      <c r="F187" t="inlineStr">
        <is>
          <t>VÄSTERBOTTENS LÄN</t>
        </is>
      </c>
      <c r="G187" t="inlineStr">
        <is>
          <t>ROBERTSFORS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46283</v>
      </c>
      <c r="F188" t="inlineStr">
        <is>
          <t>VÄSTERBOTTENS LÄN</t>
        </is>
      </c>
      <c r="G188" t="inlineStr">
        <is>
          <t>ROBERTSFORS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46283</v>
      </c>
      <c r="F189" t="inlineStr">
        <is>
          <t>VÄSTERBOTTENS LÄN</t>
        </is>
      </c>
      <c r="G189" t="inlineStr">
        <is>
          <t>ROBERTSFORS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46283</v>
      </c>
      <c r="F190" t="inlineStr">
        <is>
          <t>VÄSTERBOTTENS LÄN</t>
        </is>
      </c>
      <c r="G190" t="inlineStr">
        <is>
          <t>ROBERTSFORS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46283</v>
      </c>
      <c r="F191" t="inlineStr">
        <is>
          <t>VÄSTERBOTTENS LÄN</t>
        </is>
      </c>
      <c r="G191" t="inlineStr">
        <is>
          <t>ROBERTSFORS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44960</v>
      </c>
      <c r="E192" s="1" t="n">
        <v>46283</v>
      </c>
      <c r="F192" t="inlineStr">
        <is>
          <t>VÄSTERBOTTENS LÄN</t>
        </is>
      </c>
      <c r="G192" t="inlineStr">
        <is>
          <t>ROBERTSFORS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44960</v>
      </c>
      <c r="E193" s="1" t="n">
        <v>46283</v>
      </c>
      <c r="F193" t="inlineStr">
        <is>
          <t>VÄSTERBOTTENS LÄN</t>
        </is>
      </c>
      <c r="G193" t="inlineStr">
        <is>
          <t>ROBERTSFORS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46283</v>
      </c>
      <c r="F194" t="inlineStr">
        <is>
          <t>VÄSTERBOTTENS LÄN</t>
        </is>
      </c>
      <c r="G194" t="inlineStr">
        <is>
          <t>ROBERTSFORS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46283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45079</v>
      </c>
      <c r="E196" s="1" t="n">
        <v>46283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46283</v>
      </c>
      <c r="F197" t="inlineStr">
        <is>
          <t>VÄSTERBOTTENS LÄN</t>
        </is>
      </c>
      <c r="G197" t="inlineStr">
        <is>
          <t>ROBERTSFORS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46283</v>
      </c>
      <c r="F198" t="inlineStr">
        <is>
          <t>VÄSTERBOTTENS LÄN</t>
        </is>
      </c>
      <c r="G198" t="inlineStr">
        <is>
          <t>ROBERTSFORS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46283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46283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Sveaskog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46283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44952</v>
      </c>
      <c r="E202" s="1" t="n">
        <v>46283</v>
      </c>
      <c r="F202" t="inlineStr">
        <is>
          <t>VÄSTERBOTTENS LÄN</t>
        </is>
      </c>
      <c r="G202" t="inlineStr">
        <is>
          <t>ROBERTSFORS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45870</v>
      </c>
      <c r="E203" s="1" t="n">
        <v>46283</v>
      </c>
      <c r="F203" t="inlineStr">
        <is>
          <t>VÄSTERBOTTENS LÄN</t>
        </is>
      </c>
      <c r="G203" t="inlineStr">
        <is>
          <t>ROBERTSFORS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65771-2021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44516</v>
      </c>
      <c r="E204" s="1" t="n">
        <v>46283</v>
      </c>
      <c r="F204" t="inlineStr">
        <is>
          <t>VÄSTERBOTTENS LÄN</t>
        </is>
      </c>
      <c r="G204" t="inlineStr">
        <is>
          <t>ROBERTSFORS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46283</v>
      </c>
      <c r="F205" t="inlineStr">
        <is>
          <t>VÄSTERBOTTENS LÄN</t>
        </is>
      </c>
      <c r="G205" t="inlineStr">
        <is>
          <t>ROBERTSFORS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46283</v>
      </c>
      <c r="F206" t="inlineStr">
        <is>
          <t>VÄSTERBOTTENS LÄN</t>
        </is>
      </c>
      <c r="G206" t="inlineStr">
        <is>
          <t>ROBERTSFORS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45205</v>
      </c>
      <c r="E207" s="1" t="n">
        <v>46283</v>
      </c>
      <c r="F207" t="inlineStr">
        <is>
          <t>VÄSTERBOTTENS LÄN</t>
        </is>
      </c>
      <c r="G207" t="inlineStr">
        <is>
          <t>ROBERTSFORS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39982-2025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45893</v>
      </c>
      <c r="E208" s="1" t="n">
        <v>46283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45873</v>
      </c>
      <c r="E209" s="1" t="n">
        <v>46283</v>
      </c>
      <c r="F209" t="inlineStr">
        <is>
          <t>VÄSTERBOTTENS LÄN</t>
        </is>
      </c>
      <c r="G209" t="inlineStr">
        <is>
          <t>ROBERTSFORS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46283</v>
      </c>
      <c r="F210" t="inlineStr">
        <is>
          <t>VÄSTERBOTTENS LÄN</t>
        </is>
      </c>
      <c r="G210" t="inlineStr">
        <is>
          <t>ROBERTSFORS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46283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46283</v>
      </c>
      <c r="F212" t="inlineStr">
        <is>
          <t>VÄSTERBOTTENS LÄN</t>
        </is>
      </c>
      <c r="G212" t="inlineStr">
        <is>
          <t>ROBERTSFORS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46283</v>
      </c>
      <c r="F213" t="inlineStr">
        <is>
          <t>VÄSTERBOTTENS LÄN</t>
        </is>
      </c>
      <c r="G213" t="inlineStr">
        <is>
          <t>ROBERTSFORS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46126</v>
      </c>
      <c r="E214" s="1" t="n">
        <v>46283</v>
      </c>
      <c r="F214" t="inlineStr">
        <is>
          <t>VÄSTERBOTTENS LÄN</t>
        </is>
      </c>
      <c r="G214" t="inlineStr">
        <is>
          <t>ROBERTSFORS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46283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45659</v>
      </c>
      <c r="E216" s="1" t="n">
        <v>46283</v>
      </c>
      <c r="F216" t="inlineStr">
        <is>
          <t>VÄSTERBOTTENS LÄN</t>
        </is>
      </c>
      <c r="G216" t="inlineStr">
        <is>
          <t>ROBERTSFORS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46283</v>
      </c>
      <c r="F217" t="inlineStr">
        <is>
          <t>VÄSTERBOTTENS LÄN</t>
        </is>
      </c>
      <c r="G217" t="inlineStr">
        <is>
          <t>ROBERTSFORS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46283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46283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46132</v>
      </c>
      <c r="E220" s="1" t="n">
        <v>46283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46283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19077-2026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46283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45661</v>
      </c>
      <c r="E223" s="1" t="n">
        <v>46283</v>
      </c>
      <c r="F223" t="inlineStr">
        <is>
          <t>VÄSTERBOTTENS LÄN</t>
        </is>
      </c>
      <c r="G223" t="inlineStr">
        <is>
          <t>ROBERTSFORS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46283</v>
      </c>
      <c r="F224" t="inlineStr">
        <is>
          <t>VÄSTERBOTTENS LÄN</t>
        </is>
      </c>
      <c r="G224" t="inlineStr">
        <is>
          <t>ROBERTSFORS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46283</v>
      </c>
      <c r="F225" t="inlineStr">
        <is>
          <t>VÄSTERBOTTENS LÄN</t>
        </is>
      </c>
      <c r="G225" t="inlineStr">
        <is>
          <t>ROBERTSFORS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46283</v>
      </c>
      <c r="F226" t="inlineStr">
        <is>
          <t>VÄSTERBOTTENS LÄN</t>
        </is>
      </c>
      <c r="G226" t="inlineStr">
        <is>
          <t>ROBERTSFORS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45184</v>
      </c>
      <c r="E227" s="1" t="n">
        <v>46283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46283</v>
      </c>
      <c r="F228" t="inlineStr">
        <is>
          <t>VÄSTERBOTTENS LÄN</t>
        </is>
      </c>
      <c r="G228" t="inlineStr">
        <is>
          <t>ROBERTSFORS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45033</v>
      </c>
      <c r="E229" s="1" t="n">
        <v>46283</v>
      </c>
      <c r="F229" t="inlineStr">
        <is>
          <t>VÄSTERBOTTENS LÄN</t>
        </is>
      </c>
      <c r="G229" t="inlineStr">
        <is>
          <t>ROBERTSFORS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46283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46283</v>
      </c>
      <c r="F231" t="inlineStr">
        <is>
          <t>VÄSTERBOTTENS LÄN</t>
        </is>
      </c>
      <c r="G231" t="inlineStr">
        <is>
          <t>ROBERTSFORS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46283</v>
      </c>
      <c r="F232" t="inlineStr">
        <is>
          <t>VÄSTERBOTTENS LÄN</t>
        </is>
      </c>
      <c r="G232" t="inlineStr">
        <is>
          <t>ROBERTSFORS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45644</v>
      </c>
      <c r="E233" s="1" t="n">
        <v>46283</v>
      </c>
      <c r="F233" t="inlineStr">
        <is>
          <t>VÄSTERBOTTENS LÄN</t>
        </is>
      </c>
      <c r="G233" t="inlineStr">
        <is>
          <t>ROBERTSFORS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46283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45540</v>
      </c>
      <c r="E235" s="1" t="n">
        <v>46283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46283</v>
      </c>
      <c r="F236" t="inlineStr">
        <is>
          <t>VÄSTERBOTTENS LÄN</t>
        </is>
      </c>
      <c r="G236" t="inlineStr">
        <is>
          <t>ROBERTSFORS</t>
        </is>
      </c>
      <c r="I236" t="n">
        <v>12.7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46283</v>
      </c>
      <c r="F237" t="inlineStr">
        <is>
          <t>VÄSTERBOTTENS LÄN</t>
        </is>
      </c>
      <c r="G237" t="inlineStr">
        <is>
          <t>ROBERTSFORS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45458</v>
      </c>
      <c r="E238" s="1" t="n">
        <v>46283</v>
      </c>
      <c r="F238" t="inlineStr">
        <is>
          <t>VÄSTERBOTTENS LÄN</t>
        </is>
      </c>
      <c r="G238" t="inlineStr">
        <is>
          <t>ROBERTSFORS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45205</v>
      </c>
      <c r="E239" s="1" t="n">
        <v>46283</v>
      </c>
      <c r="F239" t="inlineStr">
        <is>
          <t>VÄSTERBOTTENS LÄN</t>
        </is>
      </c>
      <c r="G239" t="inlineStr">
        <is>
          <t>ROBERTSFORS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46283</v>
      </c>
      <c r="F240" t="inlineStr">
        <is>
          <t>VÄSTERBOTTENS LÄN</t>
        </is>
      </c>
      <c r="G240" t="inlineStr">
        <is>
          <t>ROBERTSFORS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44130-2025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45915</v>
      </c>
      <c r="E241" s="1" t="n">
        <v>46283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45692</v>
      </c>
      <c r="E242" s="1" t="n">
        <v>46283</v>
      </c>
      <c r="F242" t="inlineStr">
        <is>
          <t>VÄSTERBOTTENS LÄN</t>
        </is>
      </c>
      <c r="G242" t="inlineStr">
        <is>
          <t>ROBERTSFORS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46283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45734</v>
      </c>
      <c r="E244" s="1" t="n">
        <v>46283</v>
      </c>
      <c r="F244" t="inlineStr">
        <is>
          <t>VÄSTERBOTTENS LÄN</t>
        </is>
      </c>
      <c r="G244" t="inlineStr">
        <is>
          <t>ROBERTSFORS</t>
        </is>
      </c>
      <c r="I244" t="n">
        <v>24.4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46283</v>
      </c>
      <c r="F245" t="inlineStr">
        <is>
          <t>VÄSTERBOTTENS LÄN</t>
        </is>
      </c>
      <c r="G245" t="inlineStr">
        <is>
          <t>ROBERTSFORS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46283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45197</v>
      </c>
      <c r="E247" s="1" t="n">
        <v>46283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46283</v>
      </c>
      <c r="F248" t="inlineStr">
        <is>
          <t>VÄSTERBOTTENS LÄN</t>
        </is>
      </c>
      <c r="G248" t="inlineStr">
        <is>
          <t>ROBERTSFORS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46283</v>
      </c>
      <c r="F249" t="inlineStr">
        <is>
          <t>VÄSTERBOTTENS LÄN</t>
        </is>
      </c>
      <c r="G249" t="inlineStr">
        <is>
          <t>ROBERTSFORS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46283</v>
      </c>
      <c r="F250" t="inlineStr">
        <is>
          <t>VÄSTERBOTTENS LÄN</t>
        </is>
      </c>
      <c r="G250" t="inlineStr">
        <is>
          <t>ROBERTSFORS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41850-2023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46283</v>
      </c>
      <c r="F251" t="inlineStr">
        <is>
          <t>VÄSTERBOTTENS LÄN</t>
        </is>
      </c>
      <c r="G251" t="inlineStr">
        <is>
          <t>ROBERTSFORS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46283</v>
      </c>
      <c r="F252" t="inlineStr">
        <is>
          <t>VÄSTERBOTTENS LÄN</t>
        </is>
      </c>
      <c r="G252" t="inlineStr">
        <is>
          <t>ROBERTSFORS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46168-2025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45924</v>
      </c>
      <c r="E253" s="1" t="n">
        <v>46283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45687</v>
      </c>
      <c r="E254" s="1" t="n">
        <v>46283</v>
      </c>
      <c r="F254" t="inlineStr">
        <is>
          <t>VÄSTERBOTTENS LÄN</t>
        </is>
      </c>
      <c r="G254" t="inlineStr">
        <is>
          <t>ROBERTSFORS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46283</v>
      </c>
      <c r="F255" t="inlineStr">
        <is>
          <t>VÄSTERBOTTENS LÄN</t>
        </is>
      </c>
      <c r="G255" t="inlineStr">
        <is>
          <t>ROBERTSFORS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46283</v>
      </c>
      <c r="F256" t="inlineStr">
        <is>
          <t>VÄSTERBOTTENS LÄN</t>
        </is>
      </c>
      <c r="G256" t="inlineStr">
        <is>
          <t>ROBERTSFORS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46283</v>
      </c>
      <c r="F257" t="inlineStr">
        <is>
          <t>VÄSTERBOTTENS LÄN</t>
        </is>
      </c>
      <c r="G257" t="inlineStr">
        <is>
          <t>ROBERTSFORS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46283</v>
      </c>
      <c r="F258" t="inlineStr">
        <is>
          <t>VÄSTERBOTTENS LÄN</t>
        </is>
      </c>
      <c r="G258" t="inlineStr">
        <is>
          <t>ROBERTSFORS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45636</v>
      </c>
      <c r="E259" s="1" t="n">
        <v>46283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55417-2023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45238</v>
      </c>
      <c r="E260" s="1" t="n">
        <v>46283</v>
      </c>
      <c r="F260" t="inlineStr">
        <is>
          <t>VÄSTERBOTTENS LÄN</t>
        </is>
      </c>
      <c r="G260" t="inlineStr">
        <is>
          <t>ROBERTSFORS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46283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46283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46283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45002</v>
      </c>
      <c r="E264" s="1" t="n">
        <v>46283</v>
      </c>
      <c r="F264" t="inlineStr">
        <is>
          <t>VÄSTERBOTTENS LÄN</t>
        </is>
      </c>
      <c r="G264" t="inlineStr">
        <is>
          <t>ROBERTSFORS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46283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46283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45133</v>
      </c>
      <c r="E267" s="1" t="n">
        <v>46283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46283</v>
      </c>
      <c r="F268" t="inlineStr">
        <is>
          <t>VÄSTERBOTTENS LÄN</t>
        </is>
      </c>
      <c r="G268" t="inlineStr">
        <is>
          <t>ROBERTSFORS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35313-2023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45146</v>
      </c>
      <c r="E269" s="1" t="n">
        <v>46283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46283</v>
      </c>
      <c r="F270" t="inlineStr">
        <is>
          <t>VÄSTERBOTTENS LÄN</t>
        </is>
      </c>
      <c r="G270" t="inlineStr">
        <is>
          <t>ROBERTSFORS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46283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46283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45070</v>
      </c>
      <c r="E273" s="1" t="n">
        <v>46283</v>
      </c>
      <c r="F273" t="inlineStr">
        <is>
          <t>VÄSTERBOTTENS LÄN</t>
        </is>
      </c>
      <c r="G273" t="inlineStr">
        <is>
          <t>ROBERTSFORS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46283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46283</v>
      </c>
      <c r="F275" t="inlineStr">
        <is>
          <t>VÄSTERBOTTENS LÄN</t>
        </is>
      </c>
      <c r="G275" t="inlineStr">
        <is>
          <t>ROBERTSFORS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46283</v>
      </c>
      <c r="F276" t="inlineStr">
        <is>
          <t>VÄSTERBOTTENS LÄN</t>
        </is>
      </c>
      <c r="G276" t="inlineStr">
        <is>
          <t>ROBERTSFORS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46148</v>
      </c>
      <c r="E277" s="1" t="n">
        <v>46283</v>
      </c>
      <c r="F277" t="inlineStr">
        <is>
          <t>VÄSTERBOTTENS LÄN</t>
        </is>
      </c>
      <c r="G277" t="inlineStr">
        <is>
          <t>ROBERTSFORS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46283</v>
      </c>
      <c r="F278" t="inlineStr">
        <is>
          <t>VÄSTERBOTTENS LÄN</t>
        </is>
      </c>
      <c r="G278" t="inlineStr">
        <is>
          <t>ROBERTSFORS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46283</v>
      </c>
      <c r="F279" t="inlineStr">
        <is>
          <t>VÄSTERBOTTENS LÄN</t>
        </is>
      </c>
      <c r="G279" t="inlineStr">
        <is>
          <t>ROBERTSFORS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46283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45695</v>
      </c>
      <c r="E281" s="1" t="n">
        <v>46283</v>
      </c>
      <c r="F281" t="inlineStr">
        <is>
          <t>VÄSTERBOTTENS LÄN</t>
        </is>
      </c>
      <c r="G281" t="inlineStr">
        <is>
          <t>ROBERTSFORS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46283</v>
      </c>
      <c r="F282" t="inlineStr">
        <is>
          <t>VÄSTERBOTTENS LÄN</t>
        </is>
      </c>
      <c r="G282" t="inlineStr">
        <is>
          <t>ROBERTSFORS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46283</v>
      </c>
      <c r="F283" t="inlineStr">
        <is>
          <t>VÄSTERBOTTENS LÄN</t>
        </is>
      </c>
      <c r="G283" t="inlineStr">
        <is>
          <t>ROBERTSFORS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46283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46283</v>
      </c>
      <c r="F285" t="inlineStr">
        <is>
          <t>VÄSTERBOTTENS LÄN</t>
        </is>
      </c>
      <c r="G285" t="inlineStr">
        <is>
          <t>ROBERTSFORS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46283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45135</v>
      </c>
      <c r="E287" s="1" t="n">
        <v>46283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46283</v>
      </c>
      <c r="F288" t="inlineStr">
        <is>
          <t>VÄSTERBOTTENS LÄN</t>
        </is>
      </c>
      <c r="G288" t="inlineStr">
        <is>
          <t>ROBERTSFORS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46283</v>
      </c>
      <c r="F289" t="inlineStr">
        <is>
          <t>VÄSTERBOTTENS LÄN</t>
        </is>
      </c>
      <c r="G289" t="inlineStr">
        <is>
          <t>ROBERTSFORS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46283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46283</v>
      </c>
      <c r="F291" t="inlineStr">
        <is>
          <t>VÄSTERBOTTENS LÄN</t>
        </is>
      </c>
      <c r="G291" t="inlineStr">
        <is>
          <t>ROBERTSFORS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46160</v>
      </c>
      <c r="E292" s="1" t="n">
        <v>46283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46283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46283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46160</v>
      </c>
      <c r="E295" s="1" t="n">
        <v>46283</v>
      </c>
      <c r="F295" t="inlineStr">
        <is>
          <t>VÄSTERBOTTENS LÄN</t>
        </is>
      </c>
      <c r="G295" t="inlineStr">
        <is>
          <t>ROBERTSFORS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46283</v>
      </c>
      <c r="F296" t="inlineStr">
        <is>
          <t>VÄSTERBOTTENS LÄN</t>
        </is>
      </c>
      <c r="G296" t="inlineStr">
        <is>
          <t>ROBERTSFORS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46283</v>
      </c>
      <c r="F297" t="inlineStr">
        <is>
          <t>VÄSTERBOTTENS LÄN</t>
        </is>
      </c>
      <c r="G297" t="inlineStr">
        <is>
          <t>ROBERTSFORS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46283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46283</v>
      </c>
      <c r="F299" t="inlineStr">
        <is>
          <t>VÄSTERBOTTENS LÄN</t>
        </is>
      </c>
      <c r="G299" t="inlineStr">
        <is>
          <t>ROBERTSFORS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59877-2022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46283</v>
      </c>
      <c r="F300" t="inlineStr">
        <is>
          <t>VÄSTERBOTTENS LÄN</t>
        </is>
      </c>
      <c r="G300" t="inlineStr">
        <is>
          <t>ROBERTSFORS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45019</v>
      </c>
      <c r="E301" s="1" t="n">
        <v>46283</v>
      </c>
      <c r="F301" t="inlineStr">
        <is>
          <t>VÄSTERBOTTENS LÄN</t>
        </is>
      </c>
      <c r="G301" t="inlineStr">
        <is>
          <t>ROBERTSFORS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46283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45572</v>
      </c>
      <c r="E303" s="1" t="n">
        <v>46283</v>
      </c>
      <c r="F303" t="inlineStr">
        <is>
          <t>VÄSTERBOTTENS LÄN</t>
        </is>
      </c>
      <c r="G303" t="inlineStr">
        <is>
          <t>ROBERTSFORS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46283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46283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45782</v>
      </c>
      <c r="E306" s="1" t="n">
        <v>46283</v>
      </c>
      <c r="F306" t="inlineStr">
        <is>
          <t>VÄSTERBOTTENS LÄN</t>
        </is>
      </c>
      <c r="G306" t="inlineStr">
        <is>
          <t>ROBERTSFORS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46283</v>
      </c>
      <c r="F307" t="inlineStr">
        <is>
          <t>VÄSTERBOTTENS LÄN</t>
        </is>
      </c>
      <c r="G307" t="inlineStr">
        <is>
          <t>ROBERTSFORS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45480</v>
      </c>
      <c r="E308" s="1" t="n">
        <v>46283</v>
      </c>
      <c r="F308" t="inlineStr">
        <is>
          <t>VÄSTERBOTTENS LÄN</t>
        </is>
      </c>
      <c r="G308" t="inlineStr">
        <is>
          <t>ROBERTSFORS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46169</v>
      </c>
      <c r="E309" s="1" t="n">
        <v>46283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46283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46283</v>
      </c>
      <c r="F311" t="inlineStr">
        <is>
          <t>VÄSTERBOTTENS LÄN</t>
        </is>
      </c>
      <c r="G311" t="inlineStr">
        <is>
          <t>ROBERTSFORS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45468</v>
      </c>
      <c r="E312" s="1" t="n">
        <v>46283</v>
      </c>
      <c r="F312" t="inlineStr">
        <is>
          <t>VÄSTERBOTTENS LÄN</t>
        </is>
      </c>
      <c r="G312" t="inlineStr">
        <is>
          <t>ROBERTSFORS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45475</v>
      </c>
      <c r="E313" s="1" t="n">
        <v>46283</v>
      </c>
      <c r="F313" t="inlineStr">
        <is>
          <t>VÄSTERBOTTENS LÄN</t>
        </is>
      </c>
      <c r="G313" t="inlineStr">
        <is>
          <t>ROBERTSFORS</t>
        </is>
      </c>
      <c r="I313" t="n">
        <v>10.5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13164-2024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45386</v>
      </c>
      <c r="E314" s="1" t="n">
        <v>46283</v>
      </c>
      <c r="F314" t="inlineStr">
        <is>
          <t>VÄSTERBOTTENS LÄN</t>
        </is>
      </c>
      <c r="G314" t="inlineStr">
        <is>
          <t>ROBERTSFORS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46283</v>
      </c>
      <c r="F315" t="inlineStr">
        <is>
          <t>VÄSTERBOTTENS LÄN</t>
        </is>
      </c>
      <c r="G315" t="inlineStr">
        <is>
          <t>ROBERTSFORS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46283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46283</v>
      </c>
      <c r="F317" t="inlineStr">
        <is>
          <t>VÄSTERBOTTENS LÄN</t>
        </is>
      </c>
      <c r="G317" t="inlineStr">
        <is>
          <t>ROBERTSFORS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24647-2026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46171</v>
      </c>
      <c r="E318" s="1" t="n">
        <v>46283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45149</v>
      </c>
      <c r="E319" s="1" t="n">
        <v>46283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45474</v>
      </c>
      <c r="E320" s="1" t="n">
        <v>46283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46283</v>
      </c>
      <c r="F321" t="inlineStr">
        <is>
          <t>VÄSTERBOTTENS LÄN</t>
        </is>
      </c>
      <c r="G321" t="inlineStr">
        <is>
          <t>ROBERTSFORS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46283</v>
      </c>
      <c r="F322" t="inlineStr">
        <is>
          <t>VÄSTERBOTTENS LÄN</t>
        </is>
      </c>
      <c r="G322" t="inlineStr">
        <is>
          <t>ROBERTSFORS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46283</v>
      </c>
      <c r="F323" t="inlineStr">
        <is>
          <t>VÄSTERBOTTENS LÄN</t>
        </is>
      </c>
      <c r="G323" t="inlineStr">
        <is>
          <t>ROBERTSFORS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45458</v>
      </c>
      <c r="E324" s="1" t="n">
        <v>46283</v>
      </c>
      <c r="F324" t="inlineStr">
        <is>
          <t>VÄSTERBOTTENS LÄN</t>
        </is>
      </c>
      <c r="G324" t="inlineStr">
        <is>
          <t>ROBERTSFORS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46283</v>
      </c>
      <c r="F325" t="inlineStr">
        <is>
          <t>VÄSTERBOTTENS LÄN</t>
        </is>
      </c>
      <c r="G325" t="inlineStr">
        <is>
          <t>ROBERTSFORS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73557-2021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44551</v>
      </c>
      <c r="E326" s="1" t="n">
        <v>46283</v>
      </c>
      <c r="F326" t="inlineStr">
        <is>
          <t>VÄSTERBOTTENS LÄN</t>
        </is>
      </c>
      <c r="G326" t="inlineStr">
        <is>
          <t>ROBERTSFORS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45484</v>
      </c>
      <c r="E327" s="1" t="n">
        <v>46283</v>
      </c>
      <c r="F327" t="inlineStr">
        <is>
          <t>VÄSTERBOTTENS LÄN</t>
        </is>
      </c>
      <c r="G327" t="inlineStr">
        <is>
          <t>ROBERTSFORS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46283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46283</v>
      </c>
      <c r="F329" t="inlineStr">
        <is>
          <t>VÄSTERBOTTENS LÄN</t>
        </is>
      </c>
      <c r="G329" t="inlineStr">
        <is>
          <t>ROBERTSFORS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46283</v>
      </c>
      <c r="F330" t="inlineStr">
        <is>
          <t>VÄSTERBOTTENS LÄN</t>
        </is>
      </c>
      <c r="G330" t="inlineStr">
        <is>
          <t>ROBERTSFORS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46283</v>
      </c>
      <c r="F331" t="inlineStr">
        <is>
          <t>VÄSTERBOTTENS LÄN</t>
        </is>
      </c>
      <c r="G331" t="inlineStr">
        <is>
          <t>ROBERTSFORS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46283</v>
      </c>
      <c r="F332" t="inlineStr">
        <is>
          <t>VÄSTERBOTTENS LÄN</t>
        </is>
      </c>
      <c r="G332" t="inlineStr">
        <is>
          <t>ROBERTSFORS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45405</v>
      </c>
      <c r="E333" s="1" t="n">
        <v>46283</v>
      </c>
      <c r="F333" t="inlineStr">
        <is>
          <t>VÄSTERBOTTENS LÄN</t>
        </is>
      </c>
      <c r="G333" t="inlineStr">
        <is>
          <t>ROBERTSFORS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46283</v>
      </c>
      <c r="F334" t="inlineStr">
        <is>
          <t>VÄSTERBOTTENS LÄN</t>
        </is>
      </c>
      <c r="G334" t="inlineStr">
        <is>
          <t>ROBERTSFORS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46283</v>
      </c>
      <c r="F335" t="inlineStr">
        <is>
          <t>VÄSTERBOTTENS LÄN</t>
        </is>
      </c>
      <c r="G335" t="inlineStr">
        <is>
          <t>ROBERTSFORS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45005</v>
      </c>
      <c r="E336" s="1" t="n">
        <v>46283</v>
      </c>
      <c r="F336" t="inlineStr">
        <is>
          <t>VÄSTERBOTTENS LÄN</t>
        </is>
      </c>
      <c r="G336" t="inlineStr">
        <is>
          <t>ROBERTSFORS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46185</v>
      </c>
      <c r="E337" s="1" t="n">
        <v>46283</v>
      </c>
      <c r="F337" t="inlineStr">
        <is>
          <t>VÄSTERBOTTENS LÄN</t>
        </is>
      </c>
      <c r="G337" t="inlineStr">
        <is>
          <t>ROBERTSFORS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46283</v>
      </c>
      <c r="F338" t="inlineStr">
        <is>
          <t>VÄSTERBOTTENS LÄN</t>
        </is>
      </c>
      <c r="G338" t="inlineStr">
        <is>
          <t>ROBERTSFORS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46283</v>
      </c>
      <c r="F339" t="inlineStr">
        <is>
          <t>VÄSTERBOTTENS LÄN</t>
        </is>
      </c>
      <c r="G339" t="inlineStr">
        <is>
          <t>ROBERTSFORS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45335</v>
      </c>
      <c r="E340" s="1" t="n">
        <v>46283</v>
      </c>
      <c r="F340" t="inlineStr">
        <is>
          <t>VÄSTERBOTTENS LÄN</t>
        </is>
      </c>
      <c r="G340" t="inlineStr">
        <is>
          <t>ROBERTSFORS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46283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25572-2023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45082</v>
      </c>
      <c r="E342" s="1" t="n">
        <v>46283</v>
      </c>
      <c r="F342" t="inlineStr">
        <is>
          <t>VÄSTERBOTTENS LÄN</t>
        </is>
      </c>
      <c r="G342" t="inlineStr">
        <is>
          <t>ROBERTSFORS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46283</v>
      </c>
      <c r="F343" t="inlineStr">
        <is>
          <t>VÄSTERBOTTENS LÄN</t>
        </is>
      </c>
      <c r="G343" t="inlineStr">
        <is>
          <t>ROBERTSFORS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45957</v>
      </c>
      <c r="E344" s="1" t="n">
        <v>46283</v>
      </c>
      <c r="F344" t="inlineStr">
        <is>
          <t>VÄSTERBOTTENS LÄN</t>
        </is>
      </c>
      <c r="G344" t="inlineStr">
        <is>
          <t>ROBERTSFORS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46283</v>
      </c>
      <c r="F345" t="inlineStr">
        <is>
          <t>VÄSTERBOTTENS LÄN</t>
        </is>
      </c>
      <c r="G345" t="inlineStr">
        <is>
          <t>ROBERTSFORS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46283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46283</v>
      </c>
      <c r="F347" t="inlineStr">
        <is>
          <t>VÄSTERBOTTENS LÄN</t>
        </is>
      </c>
      <c r="G347" t="inlineStr">
        <is>
          <t>ROBERTSFORS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45678</v>
      </c>
      <c r="E348" s="1" t="n">
        <v>46283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52746-2025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45957</v>
      </c>
      <c r="E349" s="1" t="n">
        <v>46283</v>
      </c>
      <c r="F349" t="inlineStr">
        <is>
          <t>VÄSTERBOTTENS LÄN</t>
        </is>
      </c>
      <c r="G349" t="inlineStr">
        <is>
          <t>ROBERTSFORS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46283</v>
      </c>
      <c r="F350" t="inlineStr">
        <is>
          <t>VÄSTERBOTTENS LÄN</t>
        </is>
      </c>
      <c r="G350" t="inlineStr">
        <is>
          <t>ROBERTSFORS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46283</v>
      </c>
      <c r="F351" t="inlineStr">
        <is>
          <t>VÄSTERBOTTENS LÄN</t>
        </is>
      </c>
      <c r="G351" t="inlineStr">
        <is>
          <t>ROBERTSFORS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46283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53320-2025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45959</v>
      </c>
      <c r="E353" s="1" t="n">
        <v>46283</v>
      </c>
      <c r="F353" t="inlineStr">
        <is>
          <t>VÄSTERBOTTENS LÄN</t>
        </is>
      </c>
      <c r="G353" t="inlineStr">
        <is>
          <t>ROBERTSFORS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46283</v>
      </c>
      <c r="F354" t="inlineStr">
        <is>
          <t>VÄSTERBOTTENS LÄN</t>
        </is>
      </c>
      <c r="G354" t="inlineStr">
        <is>
          <t>ROBERTSFORS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46283</v>
      </c>
      <c r="F355" t="inlineStr">
        <is>
          <t>VÄSTERBOTTENS LÄN</t>
        </is>
      </c>
      <c r="G355" t="inlineStr">
        <is>
          <t>ROBERTSFORS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46283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54968-2024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45620</v>
      </c>
      <c r="E357" s="1" t="n">
        <v>46283</v>
      </c>
      <c r="F357" t="inlineStr">
        <is>
          <t>VÄSTERBOTTENS LÄN</t>
        </is>
      </c>
      <c r="G357" t="inlineStr">
        <is>
          <t>ROBERTSFORS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45553</v>
      </c>
      <c r="E358" s="1" t="n">
        <v>46283</v>
      </c>
      <c r="F358" t="inlineStr">
        <is>
          <t>VÄSTERBOTTENS LÄN</t>
        </is>
      </c>
      <c r="G358" t="inlineStr">
        <is>
          <t>ROBERTSFORS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46283</v>
      </c>
      <c r="F359" t="inlineStr">
        <is>
          <t>VÄSTERBOTTENS LÄN</t>
        </is>
      </c>
      <c r="G359" t="inlineStr">
        <is>
          <t>ROBERTSFORS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46283</v>
      </c>
      <c r="F360" t="inlineStr">
        <is>
          <t>VÄSTERBOTTENS LÄN</t>
        </is>
      </c>
      <c r="G360" t="inlineStr">
        <is>
          <t>ROBERTSFORS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44580</v>
      </c>
      <c r="E361" s="1" t="n">
        <v>46283</v>
      </c>
      <c r="F361" t="inlineStr">
        <is>
          <t>VÄSTERBOTTENS LÄN</t>
        </is>
      </c>
      <c r="G361" t="inlineStr">
        <is>
          <t>ROBERTSFORS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46283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46283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46283</v>
      </c>
      <c r="F364" t="inlineStr">
        <is>
          <t>VÄSTERBOTTENS LÄN</t>
        </is>
      </c>
      <c r="G364" t="inlineStr">
        <is>
          <t>ROBERTSFORS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46283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46283</v>
      </c>
      <c r="F366" t="inlineStr">
        <is>
          <t>VÄSTERBOTTENS LÄN</t>
        </is>
      </c>
      <c r="G366" t="inlineStr">
        <is>
          <t>ROBERTSFORS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46196</v>
      </c>
      <c r="E367" s="1" t="n">
        <v>46283</v>
      </c>
      <c r="F367" t="inlineStr">
        <is>
          <t>VÄSTERBOTTENS LÄN</t>
        </is>
      </c>
      <c r="G367" t="inlineStr">
        <is>
          <t>ROBERTSFORS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46283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46283</v>
      </c>
      <c r="F369" t="inlineStr">
        <is>
          <t>VÄSTERBOTTENS LÄN</t>
        </is>
      </c>
      <c r="G369" t="inlineStr">
        <is>
          <t>ROBERTSFORS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46283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44683</v>
      </c>
      <c r="E371" s="1" t="n">
        <v>46283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45625</v>
      </c>
      <c r="E372" s="1" t="n">
        <v>46283</v>
      </c>
      <c r="F372" t="inlineStr">
        <is>
          <t>VÄSTERBOTTENS LÄN</t>
        </is>
      </c>
      <c r="G372" t="inlineStr">
        <is>
          <t>ROBERTSFORS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46283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45601</v>
      </c>
      <c r="E374" s="1" t="n">
        <v>46283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46283</v>
      </c>
      <c r="F375" t="inlineStr">
        <is>
          <t>VÄSTERBOTTENS LÄN</t>
        </is>
      </c>
      <c r="G375" t="inlineStr">
        <is>
          <t>ROBERTSFORS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46283</v>
      </c>
      <c r="F376" t="inlineStr">
        <is>
          <t>VÄSTERBOTTENS LÄN</t>
        </is>
      </c>
      <c r="G376" t="inlineStr">
        <is>
          <t>ROBERTSFORS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32912-2026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46283</v>
      </c>
      <c r="F377" t="inlineStr">
        <is>
          <t>VÄSTERBOTTENS LÄN</t>
        </is>
      </c>
      <c r="G377" t="inlineStr">
        <is>
          <t>ROBERTSFORS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45687</v>
      </c>
      <c r="E378" s="1" t="n">
        <v>46283</v>
      </c>
      <c r="F378" t="inlineStr">
        <is>
          <t>VÄSTERBOTTENS LÄN</t>
        </is>
      </c>
      <c r="G378" t="inlineStr">
        <is>
          <t>ROBERTSFORS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46283</v>
      </c>
      <c r="F379" t="inlineStr">
        <is>
          <t>VÄSTERBOTTENS LÄN</t>
        </is>
      </c>
      <c r="G379" t="inlineStr">
        <is>
          <t>ROBERTSFORS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45708</v>
      </c>
      <c r="E380" s="1" t="n">
        <v>46283</v>
      </c>
      <c r="F380" t="inlineStr">
        <is>
          <t>VÄSTERBOTTENS LÄN</t>
        </is>
      </c>
      <c r="G380" t="inlineStr">
        <is>
          <t>ROBERTSFORS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44588</v>
      </c>
      <c r="E381" s="1" t="n">
        <v>46283</v>
      </c>
      <c r="F381" t="inlineStr">
        <is>
          <t>VÄSTERBOTTENS LÄN</t>
        </is>
      </c>
      <c r="G381" t="inlineStr">
        <is>
          <t>ROBERTSFORS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10173-2022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44622</v>
      </c>
      <c r="E382" s="1" t="n">
        <v>46283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45653</v>
      </c>
      <c r="E383" s="1" t="n">
        <v>46283</v>
      </c>
      <c r="F383" t="inlineStr">
        <is>
          <t>VÄSTERBOTTENS LÄN</t>
        </is>
      </c>
      <c r="G383" t="inlineStr">
        <is>
          <t>ROBERTSFORS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45664</v>
      </c>
      <c r="E384" s="1" t="n">
        <v>46283</v>
      </c>
      <c r="F384" t="inlineStr">
        <is>
          <t>VÄSTERBOTTENS LÄN</t>
        </is>
      </c>
      <c r="G384" t="inlineStr">
        <is>
          <t>ROBERTSFORS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46283</v>
      </c>
      <c r="F385" t="inlineStr">
        <is>
          <t>VÄSTERBOTTENS LÄN</t>
        </is>
      </c>
      <c r="G385" t="inlineStr">
        <is>
          <t>ROBERTSFORS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20519-2022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44699</v>
      </c>
      <c r="E386" s="1" t="n">
        <v>46283</v>
      </c>
      <c r="F386" t="inlineStr">
        <is>
          <t>VÄSTERBOTTENS LÄN</t>
        </is>
      </c>
      <c r="G386" t="inlineStr">
        <is>
          <t>ROBERTSFORS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46283</v>
      </c>
      <c r="F387" t="inlineStr">
        <is>
          <t>VÄSTERBOTTENS LÄN</t>
        </is>
      </c>
      <c r="G387" t="inlineStr">
        <is>
          <t>ROBERTSFORS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46283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46283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46283</v>
      </c>
      <c r="F390" t="inlineStr">
        <is>
          <t>VÄSTERBOTTENS LÄN</t>
        </is>
      </c>
      <c r="G390" t="inlineStr">
        <is>
          <t>ROBERTSFORS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29600-2026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46283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SCA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46283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46283</v>
      </c>
      <c r="F393" t="inlineStr">
        <is>
          <t>VÄSTERBOTTENS LÄN</t>
        </is>
      </c>
      <c r="G393" t="inlineStr">
        <is>
          <t>ROBERTSFORS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45611</v>
      </c>
      <c r="E394" s="1" t="n">
        <v>46283</v>
      </c>
      <c r="F394" t="inlineStr">
        <is>
          <t>VÄSTERBOTTENS LÄN</t>
        </is>
      </c>
      <c r="G394" t="inlineStr">
        <is>
          <t>ROBERTSFORS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46283</v>
      </c>
      <c r="F395" t="inlineStr">
        <is>
          <t>VÄSTERBOTTENS LÄN</t>
        </is>
      </c>
      <c r="G395" t="inlineStr">
        <is>
          <t>ROBERTSFORS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44026-2022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44838</v>
      </c>
      <c r="E396" s="1" t="n">
        <v>46283</v>
      </c>
      <c r="F396" t="inlineStr">
        <is>
          <t>VÄSTERBOTTENS LÄN</t>
        </is>
      </c>
      <c r="G396" t="inlineStr">
        <is>
          <t>ROBERTSFORS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45446</v>
      </c>
      <c r="E397" s="1" t="n">
        <v>46283</v>
      </c>
      <c r="F397" t="inlineStr">
        <is>
          <t>VÄSTERBOTTENS LÄN</t>
        </is>
      </c>
      <c r="G397" t="inlineStr">
        <is>
          <t>ROBERTSFORS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45700</v>
      </c>
      <c r="E398" s="1" t="n">
        <v>46283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46283</v>
      </c>
      <c r="F399" t="inlineStr">
        <is>
          <t>VÄSTERBOTTENS LÄN</t>
        </is>
      </c>
      <c r="G399" t="inlineStr">
        <is>
          <t>ROBERTSFORS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46283</v>
      </c>
      <c r="F400" t="inlineStr">
        <is>
          <t>VÄSTERBOTTENS LÄN</t>
        </is>
      </c>
      <c r="G400" t="inlineStr">
        <is>
          <t>ROBERTSFORS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46283</v>
      </c>
      <c r="F401" t="inlineStr">
        <is>
          <t>VÄSTERBOTTENS LÄN</t>
        </is>
      </c>
      <c r="G401" t="inlineStr">
        <is>
          <t>ROBERTSFORS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46283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45708</v>
      </c>
      <c r="E403" s="1" t="n">
        <v>46283</v>
      </c>
      <c r="F403" t="inlineStr">
        <is>
          <t>VÄSTERBOTTENS LÄN</t>
        </is>
      </c>
      <c r="G403" t="inlineStr">
        <is>
          <t>ROBERTSFORS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45756</v>
      </c>
      <c r="E404" s="1" t="n">
        <v>46283</v>
      </c>
      <c r="F404" t="inlineStr">
        <is>
          <t>VÄSTERBOTTENS LÄN</t>
        </is>
      </c>
      <c r="G404" t="inlineStr">
        <is>
          <t>ROBERTSFORS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44783</v>
      </c>
      <c r="E405" s="1" t="n">
        <v>46283</v>
      </c>
      <c r="F405" t="inlineStr">
        <is>
          <t>VÄSTERBOTTENS LÄN</t>
        </is>
      </c>
      <c r="G405" t="inlineStr">
        <is>
          <t>ROBERTSFORS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46283</v>
      </c>
      <c r="F406" t="inlineStr">
        <is>
          <t>VÄSTERBOTTENS LÄN</t>
        </is>
      </c>
      <c r="G406" t="inlineStr">
        <is>
          <t>ROBERTSFORS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46283</v>
      </c>
      <c r="F407" t="inlineStr">
        <is>
          <t>VÄSTERBOTTENS LÄN</t>
        </is>
      </c>
      <c r="G407" t="inlineStr">
        <is>
          <t>ROBERTSFORS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46283</v>
      </c>
      <c r="F408" t="inlineStr">
        <is>
          <t>VÄSTERBOTTENS LÄN</t>
        </is>
      </c>
      <c r="G408" t="inlineStr">
        <is>
          <t>ROBERTSFORS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46283</v>
      </c>
      <c r="F409" t="inlineStr">
        <is>
          <t>VÄSTERBOTTENS LÄN</t>
        </is>
      </c>
      <c r="G409" t="inlineStr">
        <is>
          <t>ROBERTSFORS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46283</v>
      </c>
      <c r="F410" t="inlineStr">
        <is>
          <t>VÄSTERBOTTENS LÄN</t>
        </is>
      </c>
      <c r="G410" t="inlineStr">
        <is>
          <t>ROBERTSFORS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46283</v>
      </c>
      <c r="F411" t="inlineStr">
        <is>
          <t>VÄSTERBOTTENS LÄN</t>
        </is>
      </c>
      <c r="G411" t="inlineStr">
        <is>
          <t>ROBERTSFORS</t>
        </is>
      </c>
      <c r="I411" t="n">
        <v>8.800000000000001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45996</v>
      </c>
      <c r="E412" s="1" t="n">
        <v>46283</v>
      </c>
      <c r="F412" t="inlineStr">
        <is>
          <t>VÄSTERBOTTENS LÄN</t>
        </is>
      </c>
      <c r="G412" t="inlineStr">
        <is>
          <t>ROBERTSFORS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46283</v>
      </c>
      <c r="F413" t="inlineStr">
        <is>
          <t>VÄSTERBOTTENS LÄN</t>
        </is>
      </c>
      <c r="G413" t="inlineStr">
        <is>
          <t>ROBERTSFORS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46261</v>
      </c>
      <c r="E414" s="1" t="n">
        <v>46283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46283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Sveaskog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46283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46283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46283</v>
      </c>
      <c r="F418" t="inlineStr">
        <is>
          <t>VÄSTERBOTTENS LÄN</t>
        </is>
      </c>
      <c r="G418" t="inlineStr">
        <is>
          <t>ROBERTSFORS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61185-2025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46283</v>
      </c>
      <c r="F419" t="inlineStr">
        <is>
          <t>VÄSTERBOTTENS LÄN</t>
        </is>
      </c>
      <c r="G419" t="inlineStr">
        <is>
          <t>ROBERTSFORS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46266</v>
      </c>
      <c r="E420" s="1" t="n">
        <v>46283</v>
      </c>
      <c r="F420" t="inlineStr">
        <is>
          <t>VÄSTERBOTTENS LÄN</t>
        </is>
      </c>
      <c r="G420" t="inlineStr">
        <is>
          <t>ROBERTSFORS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46266</v>
      </c>
      <c r="E421" s="1" t="n">
        <v>46283</v>
      </c>
      <c r="F421" t="inlineStr">
        <is>
          <t>VÄSTERBOTTENS LÄN</t>
        </is>
      </c>
      <c r="G421" t="inlineStr">
        <is>
          <t>ROBERTSFORS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46283</v>
      </c>
      <c r="F422" t="inlineStr">
        <is>
          <t>VÄSTERBOTTENS LÄN</t>
        </is>
      </c>
      <c r="G422" t="inlineStr">
        <is>
          <t>ROBERTSFORS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46225</v>
      </c>
      <c r="E423" s="1" t="n">
        <v>46283</v>
      </c>
      <c r="F423" t="inlineStr">
        <is>
          <t>VÄSTERBOTTENS LÄN</t>
        </is>
      </c>
      <c r="G423" t="inlineStr">
        <is>
          <t>ROBERTSFORS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36369-2026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46268</v>
      </c>
      <c r="E424" s="1" t="n">
        <v>46283</v>
      </c>
      <c r="F424" t="inlineStr">
        <is>
          <t>VÄSTERBOTTENS LÄN</t>
        </is>
      </c>
      <c r="G424" t="inlineStr">
        <is>
          <t>ROBERTSFORS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45537</v>
      </c>
      <c r="E425" s="1" t="n">
        <v>46283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46283</v>
      </c>
      <c r="F426" t="inlineStr">
        <is>
          <t>VÄSTERBOTTENS LÄN</t>
        </is>
      </c>
      <c r="G426" t="inlineStr">
        <is>
          <t>ROBERTSFORS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46283</v>
      </c>
      <c r="F427" t="inlineStr">
        <is>
          <t>VÄSTERBOTTENS LÄN</t>
        </is>
      </c>
      <c r="G427" t="inlineStr">
        <is>
          <t>ROBERTSFORS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45261</v>
      </c>
      <c r="E428" s="1" t="n">
        <v>46283</v>
      </c>
      <c r="F428" t="inlineStr">
        <is>
          <t>VÄSTERBOTTENS LÄN</t>
        </is>
      </c>
      <c r="G428" t="inlineStr">
        <is>
          <t>ROBERTSFORS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46283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46283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Sveaskog</t>
        </is>
      </c>
      <c r="I430" t="n">
        <v>12.7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46283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Sveaskog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45468</v>
      </c>
      <c r="E432" s="1" t="n">
        <v>46283</v>
      </c>
      <c r="F432" t="inlineStr">
        <is>
          <t>VÄSTERBOTTENS LÄN</t>
        </is>
      </c>
      <c r="G432" t="inlineStr">
        <is>
          <t>ROBERTSFORS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46283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46283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Sveaskog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46283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46283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Sveaskog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46283</v>
      </c>
      <c r="F437" t="inlineStr">
        <is>
          <t>VÄSTERBOTTENS LÄN</t>
        </is>
      </c>
      <c r="G437" t="inlineStr">
        <is>
          <t>ROBERTSFORS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46283</v>
      </c>
      <c r="F438" t="inlineStr">
        <is>
          <t>VÄSTERBOTTENS LÄN</t>
        </is>
      </c>
      <c r="G438" t="inlineStr">
        <is>
          <t>ROBERTSFORS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46283</v>
      </c>
      <c r="F439" t="inlineStr">
        <is>
          <t>VÄSTERBOTTENS LÄN</t>
        </is>
      </c>
      <c r="G439" t="inlineStr">
        <is>
          <t>ROBERTSFORS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46283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55717-2024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45622</v>
      </c>
      <c r="E441" s="1" t="n">
        <v>46283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45671</v>
      </c>
      <c r="E442" s="1" t="n">
        <v>46283</v>
      </c>
      <c r="F442" t="inlineStr">
        <is>
          <t>VÄSTERBOTTENS LÄN</t>
        </is>
      </c>
      <c r="G442" t="inlineStr">
        <is>
          <t>ROBERTSFORS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46283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46230</v>
      </c>
      <c r="E444" s="1" t="n">
        <v>46283</v>
      </c>
      <c r="F444" t="inlineStr">
        <is>
          <t>VÄSTERBOTTENS LÄN</t>
        </is>
      </c>
      <c r="G444" t="inlineStr">
        <is>
          <t>ROBERTSFORS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46300-2024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46283</v>
      </c>
      <c r="F445" t="inlineStr">
        <is>
          <t>VÄSTERBOTTENS LÄN</t>
        </is>
      </c>
      <c r="G445" t="inlineStr">
        <is>
          <t>ROBERTSFORS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46283</v>
      </c>
      <c r="F446" t="inlineStr">
        <is>
          <t>VÄSTERBOTTENS LÄN</t>
        </is>
      </c>
      <c r="G446" t="inlineStr">
        <is>
          <t>ROBERTSFORS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46276</v>
      </c>
      <c r="E447" s="1" t="n">
        <v>46283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45548</v>
      </c>
      <c r="E448" s="1" t="n">
        <v>46283</v>
      </c>
      <c r="F448" t="inlineStr">
        <is>
          <t>VÄSTERBOTTENS LÄN</t>
        </is>
      </c>
      <c r="G448" t="inlineStr">
        <is>
          <t>ROBERTSFORS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65772-2021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44516</v>
      </c>
      <c r="E449" s="1" t="n">
        <v>46283</v>
      </c>
      <c r="F449" t="inlineStr">
        <is>
          <t>VÄSTERBOTTENS LÄN</t>
        </is>
      </c>
      <c r="G449" t="inlineStr">
        <is>
          <t>ROBERTSFORS</t>
        </is>
      </c>
      <c r="I449" t="n">
        <v>18.2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46283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16993-2023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45033</v>
      </c>
      <c r="E451" s="1" t="n">
        <v>46283</v>
      </c>
      <c r="F451" t="inlineStr">
        <is>
          <t>VÄSTERBOTTENS LÄN</t>
        </is>
      </c>
      <c r="G451" t="inlineStr">
        <is>
          <t>ROBERTSFORS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46283</v>
      </c>
      <c r="F452" t="inlineStr">
        <is>
          <t>VÄSTERBOTTENS LÄN</t>
        </is>
      </c>
      <c r="G452" t="inlineStr">
        <is>
          <t>ROBERTSFORS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46283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44936</v>
      </c>
      <c r="E454" s="1" t="n">
        <v>46283</v>
      </c>
      <c r="F454" t="inlineStr">
        <is>
          <t>VÄSTERBOTTENS LÄN</t>
        </is>
      </c>
      <c r="G454" t="inlineStr">
        <is>
          <t>ROBERTSFORS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46283</v>
      </c>
      <c r="F455" t="inlineStr">
        <is>
          <t>VÄSTERBOTTENS LÄN</t>
        </is>
      </c>
      <c r="G455" t="inlineStr">
        <is>
          <t>ROBERTSFORS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46280</v>
      </c>
      <c r="E456" s="1" t="n">
        <v>46283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37996-2026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46280</v>
      </c>
      <c r="E457" s="1" t="n">
        <v>46283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44811</v>
      </c>
      <c r="E458" s="1" t="n">
        <v>46283</v>
      </c>
      <c r="F458" t="inlineStr">
        <is>
          <t>VÄSTERBOTTENS LÄN</t>
        </is>
      </c>
      <c r="G458" t="inlineStr">
        <is>
          <t>ROBERTSFORS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46279</v>
      </c>
      <c r="E459" s="1" t="n">
        <v>46283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46283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46283</v>
      </c>
      <c r="F461" t="inlineStr">
        <is>
          <t>VÄSTERBOTTENS LÄN</t>
        </is>
      </c>
      <c r="G461" t="inlineStr">
        <is>
          <t>ROBERTSFORS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46239</v>
      </c>
      <c r="E462" s="1" t="n">
        <v>46283</v>
      </c>
      <c r="F462" t="inlineStr">
        <is>
          <t>VÄSTERBOTTENS LÄN</t>
        </is>
      </c>
      <c r="G462" t="inlineStr">
        <is>
          <t>ROBERTSFORS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45607</v>
      </c>
      <c r="E463" s="1" t="n">
        <v>46283</v>
      </c>
      <c r="F463" t="inlineStr">
        <is>
          <t>VÄSTERBOTTENS LÄN</t>
        </is>
      </c>
      <c r="G463" t="inlineStr">
        <is>
          <t>ROBERTSFORS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46283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46283</v>
      </c>
      <c r="F465" t="inlineStr">
        <is>
          <t>VÄSTERBOTTENS LÄN</t>
        </is>
      </c>
      <c r="G465" t="inlineStr">
        <is>
          <t>ROBERTSFORS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46283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46283</v>
      </c>
      <c r="F467" t="inlineStr">
        <is>
          <t>VÄSTERBOTTENS LÄN</t>
        </is>
      </c>
      <c r="G467" t="inlineStr">
        <is>
          <t>ROBERTSFORS</t>
        </is>
      </c>
      <c r="I467" t="n">
        <v>11.3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62187-2021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44502</v>
      </c>
      <c r="E468" s="1" t="n">
        <v>46283</v>
      </c>
      <c r="F468" t="inlineStr">
        <is>
          <t>VÄSTERBOTTENS LÄN</t>
        </is>
      </c>
      <c r="G468" t="inlineStr">
        <is>
          <t>ROBERTSFORS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38472-2026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46282</v>
      </c>
      <c r="E469" s="1" t="n">
        <v>46283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46239</v>
      </c>
      <c r="E470" s="1" t="n">
        <v>46283</v>
      </c>
      <c r="F470" t="inlineStr">
        <is>
          <t>VÄSTERBOTTENS LÄN</t>
        </is>
      </c>
      <c r="G470" t="inlineStr">
        <is>
          <t>ROBERTSFORS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46283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44580</v>
      </c>
      <c r="E472" s="1" t="n">
        <v>46283</v>
      </c>
      <c r="F472" t="inlineStr">
        <is>
          <t>VÄSTERBOTTENS LÄN</t>
        </is>
      </c>
      <c r="G472" t="inlineStr">
        <is>
          <t>ROBERTSFORS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46283</v>
      </c>
      <c r="F473" t="inlineStr">
        <is>
          <t>VÄSTERBOTTENS LÄN</t>
        </is>
      </c>
      <c r="G473" t="inlineStr">
        <is>
          <t>ROBERTSFORS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46283</v>
      </c>
      <c r="F474" t="inlineStr">
        <is>
          <t>VÄSTERBOTTENS LÄN</t>
        </is>
      </c>
      <c r="G474" t="inlineStr">
        <is>
          <t>ROBERTSFORS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46283</v>
      </c>
      <c r="F475" t="inlineStr">
        <is>
          <t>VÄSTERBOTTENS LÄN</t>
        </is>
      </c>
      <c r="G475" t="inlineStr">
        <is>
          <t>ROBERTSFORS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46283</v>
      </c>
      <c r="F476" t="inlineStr">
        <is>
          <t>VÄSTERBOTTENS LÄN</t>
        </is>
      </c>
      <c r="G476" t="inlineStr">
        <is>
          <t>ROBERTSFORS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46239</v>
      </c>
      <c r="E477" s="1" t="n">
        <v>46283</v>
      </c>
      <c r="F477" t="inlineStr">
        <is>
          <t>VÄSTERBOTTENS LÄN</t>
        </is>
      </c>
      <c r="G477" t="inlineStr">
        <is>
          <t>ROBERTSFORS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53271-2021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44467</v>
      </c>
      <c r="E478" s="1" t="n">
        <v>46283</v>
      </c>
      <c r="F478" t="inlineStr">
        <is>
          <t>VÄSTERBOTTENS LÄN</t>
        </is>
      </c>
      <c r="G478" t="inlineStr">
        <is>
          <t>ROBERTSFORS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45580</v>
      </c>
      <c r="E479" s="1" t="n">
        <v>46283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46037</v>
      </c>
      <c r="E480" s="1" t="n">
        <v>46283</v>
      </c>
      <c r="F480" t="inlineStr">
        <is>
          <t>VÄSTERBOTTENS LÄN</t>
        </is>
      </c>
      <c r="G480" t="inlineStr">
        <is>
          <t>ROBERTSFORS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46042</v>
      </c>
      <c r="E481" s="1" t="n">
        <v>46283</v>
      </c>
      <c r="F481" t="inlineStr">
        <is>
          <t>VÄSTERBOTTENS LÄN</t>
        </is>
      </c>
      <c r="G481" t="inlineStr">
        <is>
          <t>ROBERTSFORS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46283</v>
      </c>
      <c r="F482" t="inlineStr">
        <is>
          <t>VÄSTERBOTTENS LÄN</t>
        </is>
      </c>
      <c r="G482" t="inlineStr">
        <is>
          <t>ROBERTSFORS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45470</v>
      </c>
      <c r="E483" s="1" t="n">
        <v>46283</v>
      </c>
      <c r="F483" t="inlineStr">
        <is>
          <t>VÄSTERBOTTENS LÄN</t>
        </is>
      </c>
      <c r="G483" t="inlineStr">
        <is>
          <t>ROBERTSFORS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45029</v>
      </c>
      <c r="E484" s="1" t="n">
        <v>46283</v>
      </c>
      <c r="F484" t="inlineStr">
        <is>
          <t>VÄSTERBOTTENS LÄN</t>
        </is>
      </c>
      <c r="G484" t="inlineStr">
        <is>
          <t>ROBERTSFORS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46283</v>
      </c>
      <c r="F485" t="inlineStr">
        <is>
          <t>VÄSTERBOTTENS LÄN</t>
        </is>
      </c>
      <c r="G485" t="inlineStr">
        <is>
          <t>ROBERTSFORS</t>
        </is>
      </c>
      <c r="I485" t="n">
        <v>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46283</v>
      </c>
      <c r="F486" t="inlineStr">
        <is>
          <t>VÄSTERBOTTENS LÄN</t>
        </is>
      </c>
      <c r="G486" t="inlineStr">
        <is>
          <t>ROBERTSFORS</t>
        </is>
      </c>
      <c r="I486" t="n">
        <v>16.1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26038-2022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44734</v>
      </c>
      <c r="E487" s="1" t="n">
        <v>46283</v>
      </c>
      <c r="F487" t="inlineStr">
        <is>
          <t>VÄSTERBOTTENS LÄN</t>
        </is>
      </c>
      <c r="G487" t="inlineStr">
        <is>
          <t>ROBERTSFORS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46050</v>
      </c>
      <c r="E488" s="1" t="n">
        <v>46283</v>
      </c>
      <c r="F488" t="inlineStr">
        <is>
          <t>VÄSTERBOTTENS LÄN</t>
        </is>
      </c>
      <c r="G488" t="inlineStr">
        <is>
          <t>ROBERTSFORS</t>
        </is>
      </c>
      <c r="I488" t="n">
        <v>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46050</v>
      </c>
      <c r="E489" s="1" t="n">
        <v>46283</v>
      </c>
      <c r="F489" t="inlineStr">
        <is>
          <t>VÄSTERBOTTENS LÄN</t>
        </is>
      </c>
      <c r="G489" t="inlineStr">
        <is>
          <t>ROBERTSFORS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46283</v>
      </c>
      <c r="F490" t="inlineStr">
        <is>
          <t>VÄSTERBOTTENS LÄN</t>
        </is>
      </c>
      <c r="G490" t="inlineStr">
        <is>
          <t>ROBERTSFORS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24136-2023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45076</v>
      </c>
      <c r="E491" s="1" t="n">
        <v>46283</v>
      </c>
      <c r="F491" t="inlineStr">
        <is>
          <t>VÄSTERBOTTENS LÄN</t>
        </is>
      </c>
      <c r="G491" t="inlineStr">
        <is>
          <t>ROBERTSFORS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45129</v>
      </c>
      <c r="E492" s="1" t="n">
        <v>46283</v>
      </c>
      <c r="F492" t="inlineStr">
        <is>
          <t>VÄSTERBOTTENS LÄN</t>
        </is>
      </c>
      <c r="G492" t="inlineStr">
        <is>
          <t>ROBERTSFORS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46283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46283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46283</v>
      </c>
      <c r="F495" t="inlineStr">
        <is>
          <t>VÄSTERBOTTENS LÄN</t>
        </is>
      </c>
      <c r="G495" t="inlineStr">
        <is>
          <t>ROBERTSFORS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46283</v>
      </c>
      <c r="F496" t="inlineStr">
        <is>
          <t>VÄSTERBOTTENS LÄN</t>
        </is>
      </c>
      <c r="G496" t="inlineStr">
        <is>
          <t>ROBERTSFORS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46283</v>
      </c>
      <c r="F497" t="inlineStr">
        <is>
          <t>VÄSTERBOTTENS LÄN</t>
        </is>
      </c>
      <c r="G497" t="inlineStr">
        <is>
          <t>ROBERTSFORS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55469-2021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44475</v>
      </c>
      <c r="E498" s="1" t="n">
        <v>46283</v>
      </c>
      <c r="F498" t="inlineStr">
        <is>
          <t>VÄSTERBOTTENS LÄN</t>
        </is>
      </c>
      <c r="G498" t="inlineStr">
        <is>
          <t>ROBERTSFORS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45090</v>
      </c>
      <c r="E499" s="1" t="n">
        <v>46283</v>
      </c>
      <c r="F499" t="inlineStr">
        <is>
          <t>VÄSTERBOTTENS LÄN</t>
        </is>
      </c>
      <c r="G499" t="inlineStr">
        <is>
          <t>ROBERTSFORS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44904</v>
      </c>
      <c r="E500" s="1" t="n">
        <v>46283</v>
      </c>
      <c r="F500" t="inlineStr">
        <is>
          <t>VÄSTERBOTTENS LÄN</t>
        </is>
      </c>
      <c r="G500" t="inlineStr">
        <is>
          <t>ROBERTSFORS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45530</v>
      </c>
      <c r="E501" s="1" t="n">
        <v>46283</v>
      </c>
      <c r="F501" t="inlineStr">
        <is>
          <t>VÄSTERBOTTENS LÄN</t>
        </is>
      </c>
      <c r="G501" t="inlineStr">
        <is>
          <t>ROBERTSFORS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45307</v>
      </c>
      <c r="E502" s="1" t="n">
        <v>46283</v>
      </c>
      <c r="F502" t="inlineStr">
        <is>
          <t>VÄSTERBOTTENS LÄN</t>
        </is>
      </c>
      <c r="G502" t="inlineStr">
        <is>
          <t>ROBERTSFORS</t>
        </is>
      </c>
      <c r="I502" t="n">
        <v>12.1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46388-2023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46283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45664</v>
      </c>
      <c r="E504" s="1" t="n">
        <v>46283</v>
      </c>
      <c r="F504" t="inlineStr">
        <is>
          <t>VÄSTERBOTTENS LÄN</t>
        </is>
      </c>
      <c r="G504" t="inlineStr">
        <is>
          <t>ROBERTSFORS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45659</v>
      </c>
      <c r="E505" s="1" t="n">
        <v>46283</v>
      </c>
      <c r="F505" t="inlineStr">
        <is>
          <t>VÄSTERBOTTENS LÄN</t>
        </is>
      </c>
      <c r="G505" t="inlineStr">
        <is>
          <t>ROBERTSFORS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45251</v>
      </c>
      <c r="E506" s="1" t="n">
        <v>46283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13.9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46283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45525</v>
      </c>
      <c r="E508" s="1" t="n">
        <v>46283</v>
      </c>
      <c r="F508" t="inlineStr">
        <is>
          <t>VÄSTERBOTTENS LÄN</t>
        </is>
      </c>
      <c r="G508" t="inlineStr">
        <is>
          <t>ROBERTSFORS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46283</v>
      </c>
      <c r="F509" t="inlineStr">
        <is>
          <t>VÄSTERBOTTENS LÄN</t>
        </is>
      </c>
      <c r="G509" t="inlineStr">
        <is>
          <t>ROBERTSFORS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46283</v>
      </c>
      <c r="F510" t="inlineStr">
        <is>
          <t>VÄSTERBOTTENS LÄN</t>
        </is>
      </c>
      <c r="G510" t="inlineStr">
        <is>
          <t>ROBERTSFORS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46283</v>
      </c>
      <c r="F511" t="inlineStr">
        <is>
          <t>VÄSTERBOTTENS LÄN</t>
        </is>
      </c>
      <c r="G511" t="inlineStr">
        <is>
          <t>ROBERTSFORS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46283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SCA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44980</v>
      </c>
      <c r="E513" s="1" t="n">
        <v>46283</v>
      </c>
      <c r="F513" t="inlineStr">
        <is>
          <t>VÄSTERBOTTENS LÄN</t>
        </is>
      </c>
      <c r="G513" t="inlineStr">
        <is>
          <t>ROBERTSFORS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50187-2023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46283</v>
      </c>
      <c r="F514" t="inlineStr">
        <is>
          <t>VÄSTERBOTTENS LÄN</t>
        </is>
      </c>
      <c r="G514" t="inlineStr">
        <is>
          <t>ROBERTSFORS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46283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46283</v>
      </c>
      <c r="F516" t="inlineStr">
        <is>
          <t>VÄSTERBOTTENS LÄN</t>
        </is>
      </c>
      <c r="G516" t="inlineStr">
        <is>
          <t>ROBERTSFORS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46283</v>
      </c>
      <c r="F517" t="inlineStr">
        <is>
          <t>VÄSTERBOTTENS LÄN</t>
        </is>
      </c>
      <c r="G517" t="inlineStr">
        <is>
          <t>ROBERTSFORS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45628</v>
      </c>
      <c r="E518" s="1" t="n">
        <v>46283</v>
      </c>
      <c r="F518" t="inlineStr">
        <is>
          <t>VÄSTERBOTTENS LÄN</t>
        </is>
      </c>
      <c r="G518" t="inlineStr">
        <is>
          <t>ROBERTSFORS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46283</v>
      </c>
      <c r="F519" t="inlineStr">
        <is>
          <t>VÄSTERBOTTENS LÄN</t>
        </is>
      </c>
      <c r="G519" t="inlineStr">
        <is>
          <t>ROBERTSFORS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46283</v>
      </c>
      <c r="F520" t="inlineStr">
        <is>
          <t>VÄSTERBOTTENS LÄN</t>
        </is>
      </c>
      <c r="G520" t="inlineStr">
        <is>
          <t>ROBERTSFORS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46283</v>
      </c>
      <c r="F521" t="inlineStr">
        <is>
          <t>VÄSTERBOTTENS LÄN</t>
        </is>
      </c>
      <c r="G521" t="inlineStr">
        <is>
          <t>ROBERTSFORS</t>
        </is>
      </c>
      <c r="I521" t="n">
        <v>12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46283</v>
      </c>
      <c r="F522" t="inlineStr">
        <is>
          <t>VÄSTERBOTTENS LÄN</t>
        </is>
      </c>
      <c r="G522" t="inlineStr">
        <is>
          <t>ROBERTSFORS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45161</v>
      </c>
      <c r="E523" s="1" t="n">
        <v>46283</v>
      </c>
      <c r="F523" t="inlineStr">
        <is>
          <t>VÄSTERBOTTENS LÄN</t>
        </is>
      </c>
      <c r="G523" t="inlineStr">
        <is>
          <t>ROBERTSFORS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45246</v>
      </c>
      <c r="E524" s="1" t="n">
        <v>46283</v>
      </c>
      <c r="F524" t="inlineStr">
        <is>
          <t>VÄSTERBOTTENS LÄN</t>
        </is>
      </c>
      <c r="G524" t="inlineStr">
        <is>
          <t>ROBERTSFORS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46283</v>
      </c>
      <c r="F525" t="inlineStr">
        <is>
          <t>VÄSTERBOTTENS LÄN</t>
        </is>
      </c>
      <c r="G525" t="inlineStr">
        <is>
          <t>ROBERTSFORS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46283</v>
      </c>
      <c r="F526" t="inlineStr">
        <is>
          <t>VÄSTERBOTTENS LÄN</t>
        </is>
      </c>
      <c r="G526" t="inlineStr">
        <is>
          <t>ROBERTSFORS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30643-2024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45495</v>
      </c>
      <c r="E527" s="1" t="n">
        <v>46283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44372-2023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45188</v>
      </c>
      <c r="E528" s="1" t="n">
        <v>46283</v>
      </c>
      <c r="F528" t="inlineStr">
        <is>
          <t>VÄSTERBOTTENS LÄN</t>
        </is>
      </c>
      <c r="G528" t="inlineStr">
        <is>
          <t>ROBERTSFORS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45794</v>
      </c>
      <c r="E529" s="1" t="n">
        <v>46283</v>
      </c>
      <c r="F529" t="inlineStr">
        <is>
          <t>VÄSTERBOTTENS LÄN</t>
        </is>
      </c>
      <c r="G529" t="inlineStr">
        <is>
          <t>ROBERTSFORS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45761</v>
      </c>
      <c r="E530" s="1" t="n">
        <v>46283</v>
      </c>
      <c r="F530" t="inlineStr">
        <is>
          <t>VÄSTERBOTTENS LÄN</t>
        </is>
      </c>
      <c r="G530" t="inlineStr">
        <is>
          <t>ROBERTSFORS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45800</v>
      </c>
      <c r="E531" s="1" t="n">
        <v>46283</v>
      </c>
      <c r="F531" t="inlineStr">
        <is>
          <t>VÄSTERBOTTENS LÄN</t>
        </is>
      </c>
      <c r="G531" t="inlineStr">
        <is>
          <t>ROBERTSFORS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46283</v>
      </c>
      <c r="F532" t="inlineStr">
        <is>
          <t>VÄSTERBOTTENS LÄN</t>
        </is>
      </c>
      <c r="G532" t="inlineStr">
        <is>
          <t>ROBERTSFORS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25579-2025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45803</v>
      </c>
      <c r="E533" s="1" t="n">
        <v>46283</v>
      </c>
      <c r="F533" t="inlineStr">
        <is>
          <t>VÄSTERBOTTENS LÄN</t>
        </is>
      </c>
      <c r="G533" t="inlineStr">
        <is>
          <t>ROBERTSFORS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25577-2025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46283</v>
      </c>
      <c r="F534" t="inlineStr">
        <is>
          <t>VÄSTERBOTTENS LÄN</t>
        </is>
      </c>
      <c r="G534" t="inlineStr">
        <is>
          <t>ROBERTSFORS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45687</v>
      </c>
      <c r="E535" s="1" t="n">
        <v>46283</v>
      </c>
      <c r="F535" t="inlineStr">
        <is>
          <t>VÄSTERBOTTENS LÄN</t>
        </is>
      </c>
      <c r="G535" t="inlineStr">
        <is>
          <t>ROBERTSFORS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45636</v>
      </c>
      <c r="E536" s="1" t="n">
        <v>46283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45811</v>
      </c>
      <c r="E537" s="1" t="n">
        <v>46283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46283</v>
      </c>
      <c r="F538" t="inlineStr">
        <is>
          <t>VÄSTERBOTTENS LÄN</t>
        </is>
      </c>
      <c r="G538" t="inlineStr">
        <is>
          <t>ROBERTSFORS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28330-2025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45818</v>
      </c>
      <c r="E539" s="1" t="n">
        <v>46283</v>
      </c>
      <c r="F539" t="inlineStr">
        <is>
          <t>VÄSTERBOTTENS LÄN</t>
        </is>
      </c>
      <c r="G539" t="inlineStr">
        <is>
          <t>ROBERTSFORS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46283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46283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46283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46283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46283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46283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46283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46283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2026-09-18T02:05:57Z</dcterms:created>
  <dcterms:modified xmlns:dcterms="http://purl.org/dc/terms/" xmlns:xsi="http://www.w3.org/2001/XMLSchema-instance" xsi:type="dcterms:W3CDTF">2026-09-18T02:05:58Z</dcterms:modified>
</cp:coreProperties>
</file>