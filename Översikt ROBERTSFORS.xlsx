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45273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45273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45273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45273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45273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14137-2020</t>
        </is>
      </c>
      <c r="B7" s="1" t="n">
        <v>43907</v>
      </c>
      <c r="C7" s="1" t="n">
        <v>45273</v>
      </c>
      <c r="D7" t="inlineStr">
        <is>
          <t>VÄSTERBOTTENS LÄN</t>
        </is>
      </c>
      <c r="E7" t="inlineStr">
        <is>
          <t>ROBERTSFORS</t>
        </is>
      </c>
      <c r="G7" t="n">
        <v>15.3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Doftskinn
Motaggsvamp
Skrovlig taggsvamp
Ullticka
Vedskivlav
Barkticka
Vedticka</t>
        </is>
      </c>
      <c r="S7">
        <f>HYPERLINK("https://klasma.github.io/Logging_2409/artfynd/A 14137-2020 artfynd.xlsx", "A 14137-2020")</f>
        <v/>
      </c>
      <c r="T7">
        <f>HYPERLINK("https://klasma.github.io/Logging_2409/kartor/A 14137-2020 karta.png", "A 14137-2020")</f>
        <v/>
      </c>
      <c r="V7">
        <f>HYPERLINK("https://klasma.github.io/Logging_2409/klagomål/A 14137-2020 FSC-klagomål.docx", "A 14137-2020")</f>
        <v/>
      </c>
      <c r="W7">
        <f>HYPERLINK("https://klasma.github.io/Logging_2409/klagomålsmail/A 14137-2020 FSC-klagomål mail.docx", "A 14137-2020")</f>
        <v/>
      </c>
      <c r="X7">
        <f>HYPERLINK("https://klasma.github.io/Logging_2409/tillsyn/A 14137-2020 tillsynsbegäran.docx", "A 14137-2020")</f>
        <v/>
      </c>
      <c r="Y7">
        <f>HYPERLINK("https://klasma.github.io/Logging_2409/tillsynsmail/A 14137-2020 tillsynsbegäran mail.docx", "A 14137-2020")</f>
        <v/>
      </c>
    </row>
    <row r="8" ht="15" customHeight="1">
      <c r="A8" t="inlineStr">
        <is>
          <t>A 35580-2023</t>
        </is>
      </c>
      <c r="B8" s="1" t="n">
        <v>45147</v>
      </c>
      <c r="C8" s="1" t="n">
        <v>45273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14.9</v>
      </c>
      <c r="H8" t="n">
        <v>2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Gammelgransskål
Garnlav
Granticka
Spillkråka
Tretåig hackspett
Ullticka
Stuplav</t>
        </is>
      </c>
      <c r="S8">
        <f>HYPERLINK("https://klasma.github.io/Logging_2409/artfynd/A 35580-2023 artfynd.xlsx", "A 35580-2023")</f>
        <v/>
      </c>
      <c r="T8">
        <f>HYPERLINK("https://klasma.github.io/Logging_2409/kartor/A 35580-2023 karta.png", "A 35580-2023")</f>
        <v/>
      </c>
      <c r="V8">
        <f>HYPERLINK("https://klasma.github.io/Logging_2409/klagomål/A 35580-2023 FSC-klagomål.docx", "A 35580-2023")</f>
        <v/>
      </c>
      <c r="W8">
        <f>HYPERLINK("https://klasma.github.io/Logging_2409/klagomålsmail/A 35580-2023 FSC-klagomål mail.docx", "A 35580-2023")</f>
        <v/>
      </c>
      <c r="X8">
        <f>HYPERLINK("https://klasma.github.io/Logging_2409/tillsyn/A 35580-2023 tillsynsbegäran.docx", "A 35580-2023")</f>
        <v/>
      </c>
      <c r="Y8">
        <f>HYPERLINK("https://klasma.github.io/Logging_2409/tillsynsmail/A 35580-2023 tillsynsbegäran mail.docx", "A 35580-2023")</f>
        <v/>
      </c>
    </row>
    <row r="9" ht="15" customHeight="1">
      <c r="A9" t="inlineStr">
        <is>
          <t>A 63239-2020</t>
        </is>
      </c>
      <c r="B9" s="1" t="n">
        <v>44163</v>
      </c>
      <c r="C9" s="1" t="n">
        <v>45273</v>
      </c>
      <c r="D9" t="inlineStr">
        <is>
          <t>VÄSTERBOTTENS LÄN</t>
        </is>
      </c>
      <c r="E9" t="inlineStr">
        <is>
          <t>ROBERTSFORS</t>
        </is>
      </c>
      <c r="F9" t="inlineStr">
        <is>
          <t>Sveaskog</t>
        </is>
      </c>
      <c r="G9" t="n">
        <v>6.1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Gammelgransskål
Stjärntagging
Ullticka
Bronshjon
Vedticka</t>
        </is>
      </c>
      <c r="S9">
        <f>HYPERLINK("https://klasma.github.io/Logging_2409/artfynd/A 63239-2020 artfynd.xlsx", "A 63239-2020")</f>
        <v/>
      </c>
      <c r="T9">
        <f>HYPERLINK("https://klasma.github.io/Logging_2409/kartor/A 63239-2020 karta.png", "A 63239-2020")</f>
        <v/>
      </c>
      <c r="V9">
        <f>HYPERLINK("https://klasma.github.io/Logging_2409/klagomål/A 63239-2020 FSC-klagomål.docx", "A 63239-2020")</f>
        <v/>
      </c>
      <c r="W9">
        <f>HYPERLINK("https://klasma.github.io/Logging_2409/klagomålsmail/A 63239-2020 FSC-klagomål mail.docx", "A 63239-2020")</f>
        <v/>
      </c>
      <c r="X9">
        <f>HYPERLINK("https://klasma.github.io/Logging_2409/tillsyn/A 63239-2020 tillsynsbegäran.docx", "A 63239-2020")</f>
        <v/>
      </c>
      <c r="Y9">
        <f>HYPERLINK("https://klasma.github.io/Logging_2409/tillsynsmail/A 63239-2020 tillsynsbegäran mail.docx", "A 63239-2020")</f>
        <v/>
      </c>
    </row>
    <row r="10" ht="15" customHeight="1">
      <c r="A10" t="inlineStr">
        <is>
          <t>A 45968-2020</t>
        </is>
      </c>
      <c r="B10" s="1" t="n">
        <v>44091</v>
      </c>
      <c r="C10" s="1" t="n">
        <v>45273</v>
      </c>
      <c r="D10" t="inlineStr">
        <is>
          <t>VÄSTERBOTTENS LÄN</t>
        </is>
      </c>
      <c r="E10" t="inlineStr">
        <is>
          <t>ROBERTSFORS</t>
        </is>
      </c>
      <c r="G10" t="n">
        <v>2.8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Gränsticka
Lunglav
Vedticka</t>
        </is>
      </c>
      <c r="S10">
        <f>HYPERLINK("https://klasma.github.io/Logging_2409/artfynd/A 45968-2020 artfynd.xlsx", "A 45968-2020")</f>
        <v/>
      </c>
      <c r="T10">
        <f>HYPERLINK("https://klasma.github.io/Logging_2409/kartor/A 45968-2020 karta.png", "A 45968-2020")</f>
        <v/>
      </c>
      <c r="U10">
        <f>HYPERLINK("https://klasma.github.io/Logging_2409/knärot/A 45968-2020 karta knärot.png", "A 45968-2020")</f>
        <v/>
      </c>
      <c r="V10">
        <f>HYPERLINK("https://klasma.github.io/Logging_2409/klagomål/A 45968-2020 FSC-klagomål.docx", "A 45968-2020")</f>
        <v/>
      </c>
      <c r="W10">
        <f>HYPERLINK("https://klasma.github.io/Logging_2409/klagomålsmail/A 45968-2020 FSC-klagomål mail.docx", "A 45968-2020")</f>
        <v/>
      </c>
      <c r="X10">
        <f>HYPERLINK("https://klasma.github.io/Logging_2409/tillsyn/A 45968-2020 tillsynsbegäran.docx", "A 45968-2020")</f>
        <v/>
      </c>
      <c r="Y10">
        <f>HYPERLINK("https://klasma.github.io/Logging_2409/tillsynsmail/A 45968-2020 tillsynsbegäran mail.docx", "A 45968-2020")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45273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</row>
    <row r="12" ht="15" customHeight="1">
      <c r="A12" t="inlineStr">
        <is>
          <t>A 35626-2023</t>
        </is>
      </c>
      <c r="B12" s="1" t="n">
        <v>45147</v>
      </c>
      <c r="C12" s="1" t="n">
        <v>45273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3.5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Granticka
Ullticka
Violettgrå tagellav
Vedticka</t>
        </is>
      </c>
      <c r="S12">
        <f>HYPERLINK("https://klasma.github.io/Logging_2409/artfynd/A 35626-2023 artfynd.xlsx", "A 35626-2023")</f>
        <v/>
      </c>
      <c r="T12">
        <f>HYPERLINK("https://klasma.github.io/Logging_2409/kartor/A 35626-2023 karta.png", "A 35626-2023")</f>
        <v/>
      </c>
      <c r="U12">
        <f>HYPERLINK("https://klasma.github.io/Logging_2409/knärot/A 35626-2023 karta knärot.png", "A 35626-2023")</f>
        <v/>
      </c>
      <c r="V12">
        <f>HYPERLINK("https://klasma.github.io/Logging_2409/klagomål/A 35626-2023 FSC-klagomål.docx", "A 35626-2023")</f>
        <v/>
      </c>
      <c r="W12">
        <f>HYPERLINK("https://klasma.github.io/Logging_2409/klagomålsmail/A 35626-2023 FSC-klagomål mail.docx", "A 35626-2023")</f>
        <v/>
      </c>
      <c r="X12">
        <f>HYPERLINK("https://klasma.github.io/Logging_2409/tillsyn/A 35626-2023 tillsynsbegäran.docx", "A 35626-2023")</f>
        <v/>
      </c>
      <c r="Y12">
        <f>HYPERLINK("https://klasma.github.io/Logging_2409/tillsynsmail/A 35626-2023 tillsynsbegäran mail.docx", "A 35626-2023")</f>
        <v/>
      </c>
    </row>
    <row r="13" ht="15" customHeight="1">
      <c r="A13" t="inlineStr">
        <is>
          <t>A 40122-2023</t>
        </is>
      </c>
      <c r="B13" s="1" t="n">
        <v>45169</v>
      </c>
      <c r="C13" s="1" t="n">
        <v>45273</v>
      </c>
      <c r="D13" t="inlineStr">
        <is>
          <t>VÄSTERBOTTENS LÄN</t>
        </is>
      </c>
      <c r="E13" t="inlineStr">
        <is>
          <t>ROBERTSFORS</t>
        </is>
      </c>
      <c r="G13" t="n">
        <v>10.8</v>
      </c>
      <c r="H13" t="n">
        <v>0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Goliatmusseron
Gammelgransskål
Orange taggsvamp
Dropptaggsvamp</t>
        </is>
      </c>
      <c r="S13">
        <f>HYPERLINK("https://klasma.github.io/Logging_2409/artfynd/A 40122-2023 artfynd.xlsx", "A 40122-2023")</f>
        <v/>
      </c>
      <c r="T13">
        <f>HYPERLINK("https://klasma.github.io/Logging_2409/kartor/A 40122-2023 karta.png", "A 40122-2023")</f>
        <v/>
      </c>
      <c r="V13">
        <f>HYPERLINK("https://klasma.github.io/Logging_2409/klagomål/A 40122-2023 FSC-klagomål.docx", "A 40122-2023")</f>
        <v/>
      </c>
      <c r="W13">
        <f>HYPERLINK("https://klasma.github.io/Logging_2409/klagomålsmail/A 40122-2023 FSC-klagomål mail.docx", "A 40122-2023")</f>
        <v/>
      </c>
      <c r="X13">
        <f>HYPERLINK("https://klasma.github.io/Logging_2409/tillsyn/A 40122-2023 tillsynsbegäran.docx", "A 40122-2023")</f>
        <v/>
      </c>
      <c r="Y13">
        <f>HYPERLINK("https://klasma.github.io/Logging_2409/tillsynsmail/A 40122-2023 tillsynsbegäran mail.docx", "A 40122-2023")</f>
        <v/>
      </c>
    </row>
    <row r="14" ht="15" customHeight="1">
      <c r="A14" t="inlineStr">
        <is>
          <t>A 56275-2018</t>
        </is>
      </c>
      <c r="B14" s="1" t="n">
        <v>43399</v>
      </c>
      <c r="C14" s="1" t="n">
        <v>45273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Ullticka
Vedticka</t>
        </is>
      </c>
      <c r="S14">
        <f>HYPERLINK("https://klasma.github.io/Logging_2409/artfynd/A 56275-2018 artfynd.xlsx", "A 56275-2018")</f>
        <v/>
      </c>
      <c r="T14">
        <f>HYPERLINK("https://klasma.github.io/Logging_2409/kartor/A 56275-2018 karta.png", "A 56275-2018")</f>
        <v/>
      </c>
      <c r="V14">
        <f>HYPERLINK("https://klasma.github.io/Logging_2409/klagomål/A 56275-2018 FSC-klagomål.docx", "A 56275-2018")</f>
        <v/>
      </c>
      <c r="W14">
        <f>HYPERLINK("https://klasma.github.io/Logging_2409/klagomålsmail/A 56275-2018 FSC-klagomål mail.docx", "A 56275-2018")</f>
        <v/>
      </c>
      <c r="X14">
        <f>HYPERLINK("https://klasma.github.io/Logging_2409/tillsyn/A 56275-2018 tillsynsbegäran.docx", "A 56275-2018")</f>
        <v/>
      </c>
      <c r="Y14">
        <f>HYPERLINK("https://klasma.github.io/Logging_2409/tillsynsmail/A 56275-2018 tillsynsbegäran mail.docx", "A 56275-2018")</f>
        <v/>
      </c>
    </row>
    <row r="15" ht="15" customHeight="1">
      <c r="A15" t="inlineStr">
        <is>
          <t>A 40098-2020</t>
        </is>
      </c>
      <c r="B15" s="1" t="n">
        <v>44068</v>
      </c>
      <c r="C15" s="1" t="n">
        <v>45273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4.6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Spillkråka
Tretåig hackspett</t>
        </is>
      </c>
      <c r="S15">
        <f>HYPERLINK("https://klasma.github.io/Logging_2409/artfynd/A 40098-2020 artfynd.xlsx", "A 40098-2020")</f>
        <v/>
      </c>
      <c r="T15">
        <f>HYPERLINK("https://klasma.github.io/Logging_2409/kartor/A 40098-2020 karta.png", "A 40098-2020")</f>
        <v/>
      </c>
      <c r="V15">
        <f>HYPERLINK("https://klasma.github.io/Logging_2409/klagomål/A 40098-2020 FSC-klagomål.docx", "A 40098-2020")</f>
        <v/>
      </c>
      <c r="W15">
        <f>HYPERLINK("https://klasma.github.io/Logging_2409/klagomålsmail/A 40098-2020 FSC-klagomål mail.docx", "A 40098-2020")</f>
        <v/>
      </c>
      <c r="X15">
        <f>HYPERLINK("https://klasma.github.io/Logging_2409/tillsyn/A 40098-2020 tillsynsbegäran.docx", "A 40098-2020")</f>
        <v/>
      </c>
      <c r="Y15">
        <f>HYPERLINK("https://klasma.github.io/Logging_2409/tillsynsmail/A 40098-2020 tillsynsbegäran mail.docx", "A 40098-2020")</f>
        <v/>
      </c>
    </row>
    <row r="16" ht="15" customHeight="1">
      <c r="A16" t="inlineStr">
        <is>
          <t>A 23338-2023</t>
        </is>
      </c>
      <c r="B16" s="1" t="n">
        <v>45076</v>
      </c>
      <c r="C16" s="1" t="n">
        <v>45273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8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Spillkråka</t>
        </is>
      </c>
      <c r="S16">
        <f>HYPERLINK("https://klasma.github.io/Logging_2409/artfynd/A 23338-2023 artfynd.xlsx", "A 23338-2023")</f>
        <v/>
      </c>
      <c r="T16">
        <f>HYPERLINK("https://klasma.github.io/Logging_2409/kartor/A 23338-2023 karta.png", "A 23338-2023")</f>
        <v/>
      </c>
      <c r="V16">
        <f>HYPERLINK("https://klasma.github.io/Logging_2409/klagomål/A 23338-2023 FSC-klagomål.docx", "A 23338-2023")</f>
        <v/>
      </c>
      <c r="W16">
        <f>HYPERLINK("https://klasma.github.io/Logging_2409/klagomålsmail/A 23338-2023 FSC-klagomål mail.docx", "A 23338-2023")</f>
        <v/>
      </c>
      <c r="X16">
        <f>HYPERLINK("https://klasma.github.io/Logging_2409/tillsyn/A 23338-2023 tillsynsbegäran.docx", "A 23338-2023")</f>
        <v/>
      </c>
      <c r="Y16">
        <f>HYPERLINK("https://klasma.github.io/Logging_2409/tillsynsmail/A 23338-2023 tillsynsbegäran mail.docx", "A 23338-2023")</f>
        <v/>
      </c>
    </row>
    <row r="17" ht="15" customHeight="1">
      <c r="A17" t="inlineStr">
        <is>
          <t>A 46738-2018</t>
        </is>
      </c>
      <c r="B17" s="1" t="n">
        <v>43364</v>
      </c>
      <c r="C17" s="1" t="n">
        <v>45273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Sveaskog</t>
        </is>
      </c>
      <c r="G17" t="n">
        <v>75.09999999999999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Luddlav
Stuplav</t>
        </is>
      </c>
      <c r="S17">
        <f>HYPERLINK("https://klasma.github.io/Logging_2409/artfynd/A 46738-2018 artfynd.xlsx", "A 46738-2018")</f>
        <v/>
      </c>
      <c r="T17">
        <f>HYPERLINK("https://klasma.github.io/Logging_2409/kartor/A 46738-2018 karta.png", "A 46738-2018")</f>
        <v/>
      </c>
      <c r="V17">
        <f>HYPERLINK("https://klasma.github.io/Logging_2409/klagomål/A 46738-2018 FSC-klagomål.docx", "A 46738-2018")</f>
        <v/>
      </c>
      <c r="W17">
        <f>HYPERLINK("https://klasma.github.io/Logging_2409/klagomålsmail/A 46738-2018 FSC-klagomål mail.docx", "A 46738-2018")</f>
        <v/>
      </c>
      <c r="X17">
        <f>HYPERLINK("https://klasma.github.io/Logging_2409/tillsyn/A 46738-2018 tillsynsbegäran.docx", "A 46738-2018")</f>
        <v/>
      </c>
      <c r="Y17">
        <f>HYPERLINK("https://klasma.github.io/Logging_2409/tillsynsmail/A 46738-2018 tillsynsbegäran mail.docx", "A 46738-2018")</f>
        <v/>
      </c>
    </row>
    <row r="18" ht="15" customHeight="1">
      <c r="A18" t="inlineStr">
        <is>
          <t>A 51539-2019</t>
        </is>
      </c>
      <c r="B18" s="1" t="n">
        <v>43740</v>
      </c>
      <c r="C18" s="1" t="n">
        <v>45273</v>
      </c>
      <c r="D18" t="inlineStr">
        <is>
          <t>VÄSTERBOTTENS LÄN</t>
        </is>
      </c>
      <c r="E18" t="inlineStr">
        <is>
          <t>ROBERTSFORS</t>
        </is>
      </c>
      <c r="G18" t="n">
        <v>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Stjärntagging</t>
        </is>
      </c>
      <c r="S18">
        <f>HYPERLINK("https://klasma.github.io/Logging_2409/artfynd/A 51539-2019 artfynd.xlsx", "A 51539-2019")</f>
        <v/>
      </c>
      <c r="T18">
        <f>HYPERLINK("https://klasma.github.io/Logging_2409/kartor/A 51539-2019 karta.png", "A 51539-2019")</f>
        <v/>
      </c>
      <c r="V18">
        <f>HYPERLINK("https://klasma.github.io/Logging_2409/klagomål/A 51539-2019 FSC-klagomål.docx", "A 51539-2019")</f>
        <v/>
      </c>
      <c r="W18">
        <f>HYPERLINK("https://klasma.github.io/Logging_2409/klagomålsmail/A 51539-2019 FSC-klagomål mail.docx", "A 51539-2019")</f>
        <v/>
      </c>
      <c r="X18">
        <f>HYPERLINK("https://klasma.github.io/Logging_2409/tillsyn/A 51539-2019 tillsynsbegäran.docx", "A 51539-2019")</f>
        <v/>
      </c>
      <c r="Y18">
        <f>HYPERLINK("https://klasma.github.io/Logging_2409/tillsynsmail/A 51539-2019 tillsynsbegäran mail.docx", "A 51539-2019")</f>
        <v/>
      </c>
    </row>
    <row r="19" ht="15" customHeight="1">
      <c r="A19" t="inlineStr">
        <is>
          <t>A 63400-2019</t>
        </is>
      </c>
      <c r="B19" s="1" t="n">
        <v>43787</v>
      </c>
      <c r="C19" s="1" t="n">
        <v>45273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SCA</t>
        </is>
      </c>
      <c r="G19" t="n">
        <v>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Nordtagging
Vaddporing</t>
        </is>
      </c>
      <c r="S19">
        <f>HYPERLINK("https://klasma.github.io/Logging_2409/artfynd/A 63400-2019 artfynd.xlsx", "A 63400-2019")</f>
        <v/>
      </c>
      <c r="T19">
        <f>HYPERLINK("https://klasma.github.io/Logging_2409/kartor/A 63400-2019 karta.png", "A 63400-2019")</f>
        <v/>
      </c>
      <c r="V19">
        <f>HYPERLINK("https://klasma.github.io/Logging_2409/klagomål/A 63400-2019 FSC-klagomål.docx", "A 63400-2019")</f>
        <v/>
      </c>
      <c r="W19">
        <f>HYPERLINK("https://klasma.github.io/Logging_2409/klagomålsmail/A 63400-2019 FSC-klagomål mail.docx", "A 63400-2019")</f>
        <v/>
      </c>
      <c r="X19">
        <f>HYPERLINK("https://klasma.github.io/Logging_2409/tillsyn/A 63400-2019 tillsynsbegäran.docx", "A 63400-2019")</f>
        <v/>
      </c>
      <c r="Y19">
        <f>HYPERLINK("https://klasma.github.io/Logging_2409/tillsynsmail/A 63400-2019 tillsynsbegäran mail.docx", "A 63400-2019")</f>
        <v/>
      </c>
    </row>
    <row r="20" ht="15" customHeight="1">
      <c r="A20" t="inlineStr">
        <is>
          <t>A 54504-2020</t>
        </is>
      </c>
      <c r="B20" s="1" t="n">
        <v>44126</v>
      </c>
      <c r="C20" s="1" t="n">
        <v>45273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6.4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Talltita</t>
        </is>
      </c>
      <c r="S20">
        <f>HYPERLINK("https://klasma.github.io/Logging_2409/artfynd/A 54504-2020 artfynd.xlsx", "A 54504-2020")</f>
        <v/>
      </c>
      <c r="T20">
        <f>HYPERLINK("https://klasma.github.io/Logging_2409/kartor/A 54504-2020 karta.png", "A 54504-2020")</f>
        <v/>
      </c>
      <c r="V20">
        <f>HYPERLINK("https://klasma.github.io/Logging_2409/klagomål/A 54504-2020 FSC-klagomål.docx", "A 54504-2020")</f>
        <v/>
      </c>
      <c r="W20">
        <f>HYPERLINK("https://klasma.github.io/Logging_2409/klagomålsmail/A 54504-2020 FSC-klagomål mail.docx", "A 54504-2020")</f>
        <v/>
      </c>
      <c r="X20">
        <f>HYPERLINK("https://klasma.github.io/Logging_2409/tillsyn/A 54504-2020 tillsynsbegäran.docx", "A 54504-2020")</f>
        <v/>
      </c>
      <c r="Y20">
        <f>HYPERLINK("https://klasma.github.io/Logging_2409/tillsynsmail/A 54504-2020 tillsynsbegäran mail.docx", "A 54504-2020")</f>
        <v/>
      </c>
    </row>
    <row r="21" ht="15" customHeight="1">
      <c r="A21" t="inlineStr">
        <is>
          <t>A 63236-2020</t>
        </is>
      </c>
      <c r="B21" s="1" t="n">
        <v>44163</v>
      </c>
      <c r="C21" s="1" t="n">
        <v>45273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Sveaskog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HYPERLINK("https://klasma.github.io/Logging_2409/artfynd/A 63236-2020 artfynd.xlsx", "A 63236-2020")</f>
        <v/>
      </c>
      <c r="T21">
        <f>HYPERLINK("https://klasma.github.io/Logging_2409/kartor/A 63236-2020 karta.png", "A 63236-2020")</f>
        <v/>
      </c>
      <c r="V21">
        <f>HYPERLINK("https://klasma.github.io/Logging_2409/klagomål/A 63236-2020 FSC-klagomål.docx", "A 63236-2020")</f>
        <v/>
      </c>
      <c r="W21">
        <f>HYPERLINK("https://klasma.github.io/Logging_2409/klagomålsmail/A 63236-2020 FSC-klagomål mail.docx", "A 63236-2020")</f>
        <v/>
      </c>
      <c r="X21">
        <f>HYPERLINK("https://klasma.github.io/Logging_2409/tillsyn/A 63236-2020 tillsynsbegäran.docx", "A 63236-2020")</f>
        <v/>
      </c>
      <c r="Y21">
        <f>HYPERLINK("https://klasma.github.io/Logging_2409/tillsynsmail/A 63236-2020 tillsynsbegäran mail.docx", "A 63236-2020")</f>
        <v/>
      </c>
    </row>
    <row r="22" ht="15" customHeight="1">
      <c r="A22" t="inlineStr">
        <is>
          <t>A 469-2023</t>
        </is>
      </c>
      <c r="B22" s="1" t="n">
        <v>44929</v>
      </c>
      <c r="C22" s="1" t="n">
        <v>45273</v>
      </c>
      <c r="D22" t="inlineStr">
        <is>
          <t>VÄSTERBOTTENS LÄN</t>
        </is>
      </c>
      <c r="E22" t="inlineStr">
        <is>
          <t>ROBERTSFORS</t>
        </is>
      </c>
      <c r="G22" t="n">
        <v>13.8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HYPERLINK("https://klasma.github.io/Logging_2409/artfynd/A 469-2023 artfynd.xlsx", "A 469-2023")</f>
        <v/>
      </c>
      <c r="T22">
        <f>HYPERLINK("https://klasma.github.io/Logging_2409/kartor/A 469-2023 karta.png", "A 469-2023")</f>
        <v/>
      </c>
      <c r="V22">
        <f>HYPERLINK("https://klasma.github.io/Logging_2409/klagomål/A 469-2023 FSC-klagomål.docx", "A 469-2023")</f>
        <v/>
      </c>
      <c r="W22">
        <f>HYPERLINK("https://klasma.github.io/Logging_2409/klagomålsmail/A 469-2023 FSC-klagomål mail.docx", "A 469-2023")</f>
        <v/>
      </c>
      <c r="X22">
        <f>HYPERLINK("https://klasma.github.io/Logging_2409/tillsyn/A 469-2023 tillsynsbegäran.docx", "A 469-2023")</f>
        <v/>
      </c>
      <c r="Y22">
        <f>HYPERLINK("https://klasma.github.io/Logging_2409/tillsynsmail/A 469-2023 tillsynsbegäran mail.docx", "A 469-2023")</f>
        <v/>
      </c>
    </row>
    <row r="23" ht="15" customHeight="1">
      <c r="A23" t="inlineStr">
        <is>
          <t>A 26029-2023</t>
        </is>
      </c>
      <c r="B23" s="1" t="n">
        <v>45091</v>
      </c>
      <c r="C23" s="1" t="n">
        <v>45273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Spillkråka</t>
        </is>
      </c>
      <c r="S23">
        <f>HYPERLINK("https://klasma.github.io/Logging_2409/artfynd/A 26029-2023 artfynd.xlsx", "A 26029-2023")</f>
        <v/>
      </c>
      <c r="T23">
        <f>HYPERLINK("https://klasma.github.io/Logging_2409/kartor/A 26029-2023 karta.png", "A 26029-2023")</f>
        <v/>
      </c>
      <c r="V23">
        <f>HYPERLINK("https://klasma.github.io/Logging_2409/klagomål/A 26029-2023 FSC-klagomål.docx", "A 26029-2023")</f>
        <v/>
      </c>
      <c r="W23">
        <f>HYPERLINK("https://klasma.github.io/Logging_2409/klagomålsmail/A 26029-2023 FSC-klagomål mail.docx", "A 26029-2023")</f>
        <v/>
      </c>
      <c r="X23">
        <f>HYPERLINK("https://klasma.github.io/Logging_2409/tillsyn/A 26029-2023 tillsynsbegäran.docx", "A 26029-2023")</f>
        <v/>
      </c>
      <c r="Y23">
        <f>HYPERLINK("https://klasma.github.io/Logging_2409/tillsynsmail/A 26029-2023 tillsynsbegäran mail.docx", "A 26029-2023")</f>
        <v/>
      </c>
    </row>
    <row r="24" ht="15" customHeight="1">
      <c r="A24" t="inlineStr">
        <is>
          <t>A 36561-2023</t>
        </is>
      </c>
      <c r="B24" s="1" t="n">
        <v>45153</v>
      </c>
      <c r="C24" s="1" t="n">
        <v>45273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Revlummer</t>
        </is>
      </c>
      <c r="S24">
        <f>HYPERLINK("https://klasma.github.io/Logging_2409/artfynd/A 36561-2023 artfynd.xlsx", "A 36561-2023")</f>
        <v/>
      </c>
      <c r="T24">
        <f>HYPERLINK("https://klasma.github.io/Logging_2409/kartor/A 36561-2023 karta.png", "A 36561-2023")</f>
        <v/>
      </c>
      <c r="V24">
        <f>HYPERLINK("https://klasma.github.io/Logging_2409/klagomål/A 36561-2023 FSC-klagomål.docx", "A 36561-2023")</f>
        <v/>
      </c>
      <c r="W24">
        <f>HYPERLINK("https://klasma.github.io/Logging_2409/klagomålsmail/A 36561-2023 FSC-klagomål mail.docx", "A 36561-2023")</f>
        <v/>
      </c>
      <c r="X24">
        <f>HYPERLINK("https://klasma.github.io/Logging_2409/tillsyn/A 36561-2023 tillsynsbegäran.docx", "A 36561-2023")</f>
        <v/>
      </c>
      <c r="Y24">
        <f>HYPERLINK("https://klasma.github.io/Logging_2409/tillsynsmail/A 36561-2023 tillsynsbegäran mail.docx", "A 36561-2023")</f>
        <v/>
      </c>
    </row>
    <row r="25" ht="15" customHeight="1">
      <c r="A25" t="inlineStr">
        <is>
          <t>A 39826-2023</t>
        </is>
      </c>
      <c r="B25" s="1" t="n">
        <v>45168</v>
      </c>
      <c r="C25" s="1" t="n">
        <v>45273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5.1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39826-2023 artfynd.xlsx", "A 39826-2023")</f>
        <v/>
      </c>
      <c r="T25">
        <f>HYPERLINK("https://klasma.github.io/Logging_2409/kartor/A 39826-2023 karta.png", "A 39826-2023")</f>
        <v/>
      </c>
      <c r="V25">
        <f>HYPERLINK("https://klasma.github.io/Logging_2409/klagomål/A 39826-2023 FSC-klagomål.docx", "A 39826-2023")</f>
        <v/>
      </c>
      <c r="W25">
        <f>HYPERLINK("https://klasma.github.io/Logging_2409/klagomålsmail/A 39826-2023 FSC-klagomål mail.docx", "A 39826-2023")</f>
        <v/>
      </c>
      <c r="X25">
        <f>HYPERLINK("https://klasma.github.io/Logging_2409/tillsyn/A 39826-2023 tillsynsbegäran.docx", "A 39826-2023")</f>
        <v/>
      </c>
      <c r="Y25">
        <f>HYPERLINK("https://klasma.github.io/Logging_2409/tillsynsmail/A 39826-2023 tillsynsbegäran mail.docx", "A 39826-2023")</f>
        <v/>
      </c>
    </row>
    <row r="26" ht="15" customHeight="1">
      <c r="A26" t="inlineStr">
        <is>
          <t>A 43094-2023</t>
        </is>
      </c>
      <c r="B26" s="1" t="n">
        <v>45182</v>
      </c>
      <c r="C26" s="1" t="n">
        <v>45273</v>
      </c>
      <c r="D26" t="inlineStr">
        <is>
          <t>VÄSTERBOTTENS LÄN</t>
        </is>
      </c>
      <c r="E26" t="inlineStr">
        <is>
          <t>ROBERTSFORS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Svartvit flugsnappare
Ärtsångare</t>
        </is>
      </c>
      <c r="S26">
        <f>HYPERLINK("https://klasma.github.io/Logging_2409/artfynd/A 43094-2023 artfynd.xlsx", "A 43094-2023")</f>
        <v/>
      </c>
      <c r="T26">
        <f>HYPERLINK("https://klasma.github.io/Logging_2409/kartor/A 43094-2023 karta.png", "A 43094-2023")</f>
        <v/>
      </c>
      <c r="V26">
        <f>HYPERLINK("https://klasma.github.io/Logging_2409/klagomål/A 43094-2023 FSC-klagomål.docx", "A 43094-2023")</f>
        <v/>
      </c>
      <c r="W26">
        <f>HYPERLINK("https://klasma.github.io/Logging_2409/klagomålsmail/A 43094-2023 FSC-klagomål mail.docx", "A 43094-2023")</f>
        <v/>
      </c>
      <c r="X26">
        <f>HYPERLINK("https://klasma.github.io/Logging_2409/tillsyn/A 43094-2023 tillsynsbegäran.docx", "A 43094-2023")</f>
        <v/>
      </c>
      <c r="Y26">
        <f>HYPERLINK("https://klasma.github.io/Logging_2409/tillsynsmail/A 43094-2023 tillsynsbegäran mail.docx", "A 43094-2023")</f>
        <v/>
      </c>
    </row>
    <row r="27" ht="15" customHeight="1">
      <c r="A27" t="inlineStr">
        <is>
          <t>A 14821-2019</t>
        </is>
      </c>
      <c r="B27" s="1" t="n">
        <v>43538</v>
      </c>
      <c r="C27" s="1" t="n">
        <v>45273</v>
      </c>
      <c r="D27" t="inlineStr">
        <is>
          <t>VÄSTERBOTTENS LÄN</t>
        </is>
      </c>
      <c r="E27" t="inlineStr">
        <is>
          <t>ROBERTSFORS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HYPERLINK("https://klasma.github.io/Logging_2409/artfynd/A 14821-2019 artfynd.xlsx", "A 14821-2019")</f>
        <v/>
      </c>
      <c r="T27">
        <f>HYPERLINK("https://klasma.github.io/Logging_2409/kartor/A 14821-2019 karta.png", "A 14821-2019")</f>
        <v/>
      </c>
      <c r="V27">
        <f>HYPERLINK("https://klasma.github.io/Logging_2409/klagomål/A 14821-2019 FSC-klagomål.docx", "A 14821-2019")</f>
        <v/>
      </c>
      <c r="W27">
        <f>HYPERLINK("https://klasma.github.io/Logging_2409/klagomålsmail/A 14821-2019 FSC-klagomål mail.docx", "A 14821-2019")</f>
        <v/>
      </c>
      <c r="X27">
        <f>HYPERLINK("https://klasma.github.io/Logging_2409/tillsyn/A 14821-2019 tillsynsbegäran.docx", "A 14821-2019")</f>
        <v/>
      </c>
      <c r="Y27">
        <f>HYPERLINK("https://klasma.github.io/Logging_2409/tillsynsmail/A 14821-2019 tillsynsbegäran mail.docx", "A 14821-2019")</f>
        <v/>
      </c>
    </row>
    <row r="28" ht="15" customHeight="1">
      <c r="A28" t="inlineStr">
        <is>
          <t>A 33236-2020</t>
        </is>
      </c>
      <c r="B28" s="1" t="n">
        <v>44022</v>
      </c>
      <c r="C28" s="1" t="n">
        <v>45273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8.800000000000001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HYPERLINK("https://klasma.github.io/Logging_2409/artfynd/A 33236-2020 artfynd.xlsx", "A 33236-2020")</f>
        <v/>
      </c>
      <c r="T28">
        <f>HYPERLINK("https://klasma.github.io/Logging_2409/kartor/A 33236-2020 karta.png", "A 33236-2020")</f>
        <v/>
      </c>
      <c r="V28">
        <f>HYPERLINK("https://klasma.github.io/Logging_2409/klagomål/A 33236-2020 FSC-klagomål.docx", "A 33236-2020")</f>
        <v/>
      </c>
      <c r="W28">
        <f>HYPERLINK("https://klasma.github.io/Logging_2409/klagomålsmail/A 33236-2020 FSC-klagomål mail.docx", "A 33236-2020")</f>
        <v/>
      </c>
      <c r="X28">
        <f>HYPERLINK("https://klasma.github.io/Logging_2409/tillsyn/A 33236-2020 tillsynsbegäran.docx", "A 33236-2020")</f>
        <v/>
      </c>
      <c r="Y28">
        <f>HYPERLINK("https://klasma.github.io/Logging_2409/tillsynsmail/A 33236-2020 tillsynsbegäran mail.docx", "A 33236-2020")</f>
        <v/>
      </c>
    </row>
    <row r="29" ht="15" customHeight="1">
      <c r="A29" t="inlineStr">
        <is>
          <t>A 63237-2020</t>
        </is>
      </c>
      <c r="B29" s="1" t="n">
        <v>44163</v>
      </c>
      <c r="C29" s="1" t="n">
        <v>45273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HYPERLINK("https://klasma.github.io/Logging_2409/artfynd/A 63237-2020 artfynd.xlsx", "A 63237-2020")</f>
        <v/>
      </c>
      <c r="T29">
        <f>HYPERLINK("https://klasma.github.io/Logging_2409/kartor/A 63237-2020 karta.png", "A 63237-2020")</f>
        <v/>
      </c>
      <c r="V29">
        <f>HYPERLINK("https://klasma.github.io/Logging_2409/klagomål/A 63237-2020 FSC-klagomål.docx", "A 63237-2020")</f>
        <v/>
      </c>
      <c r="W29">
        <f>HYPERLINK("https://klasma.github.io/Logging_2409/klagomålsmail/A 63237-2020 FSC-klagomål mail.docx", "A 63237-2020")</f>
        <v/>
      </c>
      <c r="X29">
        <f>HYPERLINK("https://klasma.github.io/Logging_2409/tillsyn/A 63237-2020 tillsynsbegäran.docx", "A 63237-2020")</f>
        <v/>
      </c>
      <c r="Y29">
        <f>HYPERLINK("https://klasma.github.io/Logging_2409/tillsynsmail/A 63237-2020 tillsynsbegäran mail.docx", "A 63237-2020")</f>
        <v/>
      </c>
    </row>
    <row r="30" ht="15" customHeight="1">
      <c r="A30" t="inlineStr">
        <is>
          <t>A 60833-2021</t>
        </is>
      </c>
      <c r="B30" s="1" t="n">
        <v>44497</v>
      </c>
      <c r="C30" s="1" t="n">
        <v>45273</v>
      </c>
      <c r="D30" t="inlineStr">
        <is>
          <t>VÄSTERBOTTENS LÄN</t>
        </is>
      </c>
      <c r="E30" t="inlineStr">
        <is>
          <t>ROBERTSFORS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Stuplav</t>
        </is>
      </c>
      <c r="S30">
        <f>HYPERLINK("https://klasma.github.io/Logging_2409/artfynd/A 60833-2021 artfynd.xlsx", "A 60833-2021")</f>
        <v/>
      </c>
      <c r="T30">
        <f>HYPERLINK("https://klasma.github.io/Logging_2409/kartor/A 60833-2021 karta.png", "A 60833-2021")</f>
        <v/>
      </c>
      <c r="V30">
        <f>HYPERLINK("https://klasma.github.io/Logging_2409/klagomål/A 60833-2021 FSC-klagomål.docx", "A 60833-2021")</f>
        <v/>
      </c>
      <c r="W30">
        <f>HYPERLINK("https://klasma.github.io/Logging_2409/klagomålsmail/A 60833-2021 FSC-klagomål mail.docx", "A 60833-2021")</f>
        <v/>
      </c>
      <c r="X30">
        <f>HYPERLINK("https://klasma.github.io/Logging_2409/tillsyn/A 60833-2021 tillsynsbegäran.docx", "A 60833-2021")</f>
        <v/>
      </c>
      <c r="Y30">
        <f>HYPERLINK("https://klasma.github.io/Logging_2409/tillsynsmail/A 60833-2021 tillsynsbegäran mail.docx", "A 60833-2021")</f>
        <v/>
      </c>
    </row>
    <row r="31" ht="15" customHeight="1">
      <c r="A31" t="inlineStr">
        <is>
          <t>A 24807-2022</t>
        </is>
      </c>
      <c r="B31" s="1" t="n">
        <v>44727</v>
      </c>
      <c r="C31" s="1" t="n">
        <v>45273</v>
      </c>
      <c r="D31" t="inlineStr">
        <is>
          <t>VÄSTERBOTTENS LÄN</t>
        </is>
      </c>
      <c r="E31" t="inlineStr">
        <is>
          <t>ROBERTSFORS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HYPERLINK("https://klasma.github.io/Logging_2409/artfynd/A 24807-2022 artfynd.xlsx", "A 24807-2022")</f>
        <v/>
      </c>
      <c r="T31">
        <f>HYPERLINK("https://klasma.github.io/Logging_2409/kartor/A 24807-2022 karta.png", "A 24807-2022")</f>
        <v/>
      </c>
      <c r="V31">
        <f>HYPERLINK("https://klasma.github.io/Logging_2409/klagomål/A 24807-2022 FSC-klagomål.docx", "A 24807-2022")</f>
        <v/>
      </c>
      <c r="W31">
        <f>HYPERLINK("https://klasma.github.io/Logging_2409/klagomålsmail/A 24807-2022 FSC-klagomål mail.docx", "A 24807-2022")</f>
        <v/>
      </c>
      <c r="X31">
        <f>HYPERLINK("https://klasma.github.io/Logging_2409/tillsyn/A 24807-2022 tillsynsbegäran.docx", "A 24807-2022")</f>
        <v/>
      </c>
      <c r="Y31">
        <f>HYPERLINK("https://klasma.github.io/Logging_2409/tillsynsmail/A 24807-2022 tillsynsbegäran mail.docx", "A 24807-2022")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45273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</row>
    <row r="33" ht="15" customHeight="1">
      <c r="A33" t="inlineStr">
        <is>
          <t>A 44990-2022</t>
        </is>
      </c>
      <c r="B33" s="1" t="n">
        <v>44840</v>
      </c>
      <c r="C33" s="1" t="n">
        <v>45273</v>
      </c>
      <c r="D33" t="inlineStr">
        <is>
          <t>VÄSTERBOTTENS LÄN</t>
        </is>
      </c>
      <c r="E33" t="inlineStr">
        <is>
          <t>ROBERTSFORS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HYPERLINK("https://klasma.github.io/Logging_2409/artfynd/A 44990-2022 artfynd.xlsx", "A 44990-2022")</f>
        <v/>
      </c>
      <c r="T33">
        <f>HYPERLINK("https://klasma.github.io/Logging_2409/kartor/A 44990-2022 karta.png", "A 44990-2022")</f>
        <v/>
      </c>
      <c r="V33">
        <f>HYPERLINK("https://klasma.github.io/Logging_2409/klagomål/A 44990-2022 FSC-klagomål.docx", "A 44990-2022")</f>
        <v/>
      </c>
      <c r="W33">
        <f>HYPERLINK("https://klasma.github.io/Logging_2409/klagomålsmail/A 44990-2022 FSC-klagomål mail.docx", "A 44990-2022")</f>
        <v/>
      </c>
      <c r="X33">
        <f>HYPERLINK("https://klasma.github.io/Logging_2409/tillsyn/A 44990-2022 tillsynsbegäran.docx", "A 44990-2022")</f>
        <v/>
      </c>
      <c r="Y33">
        <f>HYPERLINK("https://klasma.github.io/Logging_2409/tillsynsmail/A 44990-2022 tillsynsbegäran mail.docx", "A 44990-2022")</f>
        <v/>
      </c>
    </row>
    <row r="34" ht="15" customHeight="1">
      <c r="A34" t="inlineStr">
        <is>
          <t>A 5376-2023</t>
        </is>
      </c>
      <c r="B34" s="1" t="n">
        <v>44959</v>
      </c>
      <c r="C34" s="1" t="n">
        <v>45273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16.9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HYPERLINK("https://klasma.github.io/Logging_2409/artfynd/A 5376-2023 artfynd.xlsx", "A 5376-2023")</f>
        <v/>
      </c>
      <c r="T34">
        <f>HYPERLINK("https://klasma.github.io/Logging_2409/kartor/A 5376-2023 karta.png", "A 5376-2023")</f>
        <v/>
      </c>
      <c r="V34">
        <f>HYPERLINK("https://klasma.github.io/Logging_2409/klagomål/A 5376-2023 FSC-klagomål.docx", "A 5376-2023")</f>
        <v/>
      </c>
      <c r="W34">
        <f>HYPERLINK("https://klasma.github.io/Logging_2409/klagomålsmail/A 5376-2023 FSC-klagomål mail.docx", "A 5376-2023")</f>
        <v/>
      </c>
      <c r="X34">
        <f>HYPERLINK("https://klasma.github.io/Logging_2409/tillsyn/A 5376-2023 tillsynsbegäran.docx", "A 5376-2023")</f>
        <v/>
      </c>
      <c r="Y34">
        <f>HYPERLINK("https://klasma.github.io/Logging_2409/tillsynsmail/A 5376-2023 tillsynsbegäran mail.docx", "A 5376-2023")</f>
        <v/>
      </c>
    </row>
    <row r="35" ht="15" customHeight="1">
      <c r="A35" t="inlineStr">
        <is>
          <t>A 25716-2023</t>
        </is>
      </c>
      <c r="B35" s="1" t="n">
        <v>45090</v>
      </c>
      <c r="C35" s="1" t="n">
        <v>45273</v>
      </c>
      <c r="D35" t="inlineStr">
        <is>
          <t>VÄSTERBOTTENS LÄN</t>
        </is>
      </c>
      <c r="E35" t="inlineStr">
        <is>
          <t>ROBERTSFORS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HYPERLINK("https://klasma.github.io/Logging_2409/artfynd/A 25716-2023 artfynd.xlsx", "A 25716-2023")</f>
        <v/>
      </c>
      <c r="T35">
        <f>HYPERLINK("https://klasma.github.io/Logging_2409/kartor/A 25716-2023 karta.png", "A 25716-2023")</f>
        <v/>
      </c>
      <c r="V35">
        <f>HYPERLINK("https://klasma.github.io/Logging_2409/klagomål/A 25716-2023 FSC-klagomål.docx", "A 25716-2023")</f>
        <v/>
      </c>
      <c r="W35">
        <f>HYPERLINK("https://klasma.github.io/Logging_2409/klagomålsmail/A 25716-2023 FSC-klagomål mail.docx", "A 25716-2023")</f>
        <v/>
      </c>
      <c r="X35">
        <f>HYPERLINK("https://klasma.github.io/Logging_2409/tillsyn/A 25716-2023 tillsynsbegäran.docx", "A 25716-2023")</f>
        <v/>
      </c>
      <c r="Y35">
        <f>HYPERLINK("https://klasma.github.io/Logging_2409/tillsynsmail/A 25716-2023 tillsynsbegäran mail.docx", "A 25716-2023")</f>
        <v/>
      </c>
    </row>
    <row r="36" ht="15" customHeight="1">
      <c r="A36" t="inlineStr">
        <is>
          <t>A 26034-2023</t>
        </is>
      </c>
      <c r="B36" s="1" t="n">
        <v>45091</v>
      </c>
      <c r="C36" s="1" t="n">
        <v>45273</v>
      </c>
      <c r="D36" t="inlineStr">
        <is>
          <t>VÄSTERBOTTENS LÄN</t>
        </is>
      </c>
      <c r="E36" t="inlineStr">
        <is>
          <t>ROBERTSFORS</t>
        </is>
      </c>
      <c r="G36" t="n">
        <v>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Ärtsångare</t>
        </is>
      </c>
      <c r="S36">
        <f>HYPERLINK("https://klasma.github.io/Logging_2409/artfynd/A 26034-2023 artfynd.xlsx", "A 26034-2023")</f>
        <v/>
      </c>
      <c r="T36">
        <f>HYPERLINK("https://klasma.github.io/Logging_2409/kartor/A 26034-2023 karta.png", "A 26034-2023")</f>
        <v/>
      </c>
      <c r="V36">
        <f>HYPERLINK("https://klasma.github.io/Logging_2409/klagomål/A 26034-2023 FSC-klagomål.docx", "A 26034-2023")</f>
        <v/>
      </c>
      <c r="W36">
        <f>HYPERLINK("https://klasma.github.io/Logging_2409/klagomålsmail/A 26034-2023 FSC-klagomål mail.docx", "A 26034-2023")</f>
        <v/>
      </c>
      <c r="X36">
        <f>HYPERLINK("https://klasma.github.io/Logging_2409/tillsyn/A 26034-2023 tillsynsbegäran.docx", "A 26034-2023")</f>
        <v/>
      </c>
      <c r="Y36">
        <f>HYPERLINK("https://klasma.github.io/Logging_2409/tillsynsmail/A 26034-2023 tillsynsbegäran mail.docx", "A 26034-2023")</f>
        <v/>
      </c>
    </row>
    <row r="37" ht="15" customHeight="1">
      <c r="A37" t="inlineStr">
        <is>
          <t>A 29774-2023</t>
        </is>
      </c>
      <c r="B37" s="1" t="n">
        <v>45098</v>
      </c>
      <c r="C37" s="1" t="n">
        <v>45273</v>
      </c>
      <c r="D37" t="inlineStr">
        <is>
          <t>VÄSTERBOTTENS LÄN</t>
        </is>
      </c>
      <c r="E37" t="inlineStr">
        <is>
          <t>ROBERTSFORS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HYPERLINK("https://klasma.github.io/Logging_2409/artfynd/A 29774-2023 artfynd.xlsx", "A 29774-2023")</f>
        <v/>
      </c>
      <c r="T37">
        <f>HYPERLINK("https://klasma.github.io/Logging_2409/kartor/A 29774-2023 karta.png", "A 29774-2023")</f>
        <v/>
      </c>
      <c r="V37">
        <f>HYPERLINK("https://klasma.github.io/Logging_2409/klagomål/A 29774-2023 FSC-klagomål.docx", "A 29774-2023")</f>
        <v/>
      </c>
      <c r="W37">
        <f>HYPERLINK("https://klasma.github.io/Logging_2409/klagomålsmail/A 29774-2023 FSC-klagomål mail.docx", "A 29774-2023")</f>
        <v/>
      </c>
      <c r="X37">
        <f>HYPERLINK("https://klasma.github.io/Logging_2409/tillsyn/A 29774-2023 tillsynsbegäran.docx", "A 29774-2023")</f>
        <v/>
      </c>
      <c r="Y37">
        <f>HYPERLINK("https://klasma.github.io/Logging_2409/tillsynsmail/A 29774-2023 tillsynsbegäran mail.docx", "A 29774-2023")</f>
        <v/>
      </c>
    </row>
    <row r="38" ht="15" customHeight="1">
      <c r="A38" t="inlineStr">
        <is>
          <t>A 37847-2023</t>
        </is>
      </c>
      <c r="B38" s="1" t="n">
        <v>45160</v>
      </c>
      <c r="C38" s="1" t="n">
        <v>45273</v>
      </c>
      <c r="D38" t="inlineStr">
        <is>
          <t>VÄSTERBOTTENS LÄN</t>
        </is>
      </c>
      <c r="E38" t="inlineStr">
        <is>
          <t>ROBERTSFORS</t>
        </is>
      </c>
      <c r="G38" t="n">
        <v>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HYPERLINK("https://klasma.github.io/Logging_2409/artfynd/A 37847-2023 artfynd.xlsx", "A 37847-2023")</f>
        <v/>
      </c>
      <c r="T38">
        <f>HYPERLINK("https://klasma.github.io/Logging_2409/kartor/A 37847-2023 karta.png", "A 37847-2023")</f>
        <v/>
      </c>
      <c r="V38">
        <f>HYPERLINK("https://klasma.github.io/Logging_2409/klagomål/A 37847-2023 FSC-klagomål.docx", "A 37847-2023")</f>
        <v/>
      </c>
      <c r="W38">
        <f>HYPERLINK("https://klasma.github.io/Logging_2409/klagomålsmail/A 37847-2023 FSC-klagomål mail.docx", "A 37847-2023")</f>
        <v/>
      </c>
      <c r="X38">
        <f>HYPERLINK("https://klasma.github.io/Logging_2409/tillsyn/A 37847-2023 tillsynsbegäran.docx", "A 37847-2023")</f>
        <v/>
      </c>
      <c r="Y38">
        <f>HYPERLINK("https://klasma.github.io/Logging_2409/tillsynsmail/A 37847-2023 tillsynsbegäran mail.docx", "A 37847-2023")</f>
        <v/>
      </c>
    </row>
    <row r="39" ht="15" customHeight="1">
      <c r="A39" t="inlineStr">
        <is>
          <t>A 43098-2023</t>
        </is>
      </c>
      <c r="B39" s="1" t="n">
        <v>45182</v>
      </c>
      <c r="C39" s="1" t="n">
        <v>45273</v>
      </c>
      <c r="D39" t="inlineStr">
        <is>
          <t>VÄSTERBOTTENS LÄN</t>
        </is>
      </c>
      <c r="E39" t="inlineStr">
        <is>
          <t>ROBERTSFORS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HYPERLINK("https://klasma.github.io/Logging_2409/artfynd/A 43098-2023 artfynd.xlsx", "A 43098-2023")</f>
        <v/>
      </c>
      <c r="T39">
        <f>HYPERLINK("https://klasma.github.io/Logging_2409/kartor/A 43098-2023 karta.png", "A 43098-2023")</f>
        <v/>
      </c>
      <c r="V39">
        <f>HYPERLINK("https://klasma.github.io/Logging_2409/klagomål/A 43098-2023 FSC-klagomål.docx", "A 43098-2023")</f>
        <v/>
      </c>
      <c r="W39">
        <f>HYPERLINK("https://klasma.github.io/Logging_2409/klagomålsmail/A 43098-2023 FSC-klagomål mail.docx", "A 43098-2023")</f>
        <v/>
      </c>
      <c r="X39">
        <f>HYPERLINK("https://klasma.github.io/Logging_2409/tillsyn/A 43098-2023 tillsynsbegäran.docx", "A 43098-2023")</f>
        <v/>
      </c>
      <c r="Y39">
        <f>HYPERLINK("https://klasma.github.io/Logging_2409/tillsynsmail/A 43098-2023 tillsynsbegäran mail.docx", "A 43098-2023")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45273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43097-2023</t>
        </is>
      </c>
      <c r="B41" s="1" t="n">
        <v>45182</v>
      </c>
      <c r="C41" s="1" t="n">
        <v>45273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HYPERLINK("https://klasma.github.io/Logging_2409/artfynd/A 43097-2023 artfynd.xlsx", "A 43097-2023")</f>
        <v/>
      </c>
      <c r="T41">
        <f>HYPERLINK("https://klasma.github.io/Logging_2409/kartor/A 43097-2023 karta.png", "A 43097-2023")</f>
        <v/>
      </c>
      <c r="V41">
        <f>HYPERLINK("https://klasma.github.io/Logging_2409/klagomål/A 43097-2023 FSC-klagomål.docx", "A 43097-2023")</f>
        <v/>
      </c>
      <c r="W41">
        <f>HYPERLINK("https://klasma.github.io/Logging_2409/klagomålsmail/A 43097-2023 FSC-klagomål mail.docx", "A 43097-2023")</f>
        <v/>
      </c>
      <c r="X41">
        <f>HYPERLINK("https://klasma.github.io/Logging_2409/tillsyn/A 43097-2023 tillsynsbegäran.docx", "A 43097-2023")</f>
        <v/>
      </c>
      <c r="Y41">
        <f>HYPERLINK("https://klasma.github.io/Logging_2409/tillsynsmail/A 43097-2023 tillsynsbegäran mail.docx", "A 43097-2023")</f>
        <v/>
      </c>
    </row>
    <row r="42" ht="15" customHeight="1">
      <c r="A42" t="inlineStr">
        <is>
          <t>A 41780-2018</t>
        </is>
      </c>
      <c r="B42" s="1" t="n">
        <v>43348</v>
      </c>
      <c r="C42" s="1" t="n">
        <v>45273</v>
      </c>
      <c r="D42" t="inlineStr">
        <is>
          <t>VÄSTERBOTTENS LÄN</t>
        </is>
      </c>
      <c r="E42" t="inlineStr">
        <is>
          <t>ROBERTSFORS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43274-2018</t>
        </is>
      </c>
      <c r="B43" s="1" t="n">
        <v>43353</v>
      </c>
      <c r="C43" s="1" t="n">
        <v>45273</v>
      </c>
      <c r="D43" t="inlineStr">
        <is>
          <t>VÄSTERBOTTENS LÄN</t>
        </is>
      </c>
      <c r="E43" t="inlineStr">
        <is>
          <t>ROBERTSFORS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48665-2018</t>
        </is>
      </c>
      <c r="B44" s="1" t="n">
        <v>43371</v>
      </c>
      <c r="C44" s="1" t="n">
        <v>45273</v>
      </c>
      <c r="D44" t="inlineStr">
        <is>
          <t>VÄSTERBOTTENS LÄN</t>
        </is>
      </c>
      <c r="E44" t="inlineStr">
        <is>
          <t>ROBERTSFORS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51124-2018</t>
        </is>
      </c>
      <c r="B45" s="1" t="n">
        <v>43377</v>
      </c>
      <c r="C45" s="1" t="n">
        <v>45273</v>
      </c>
      <c r="D45" t="inlineStr">
        <is>
          <t>VÄSTERBOTTENS LÄN</t>
        </is>
      </c>
      <c r="E45" t="inlineStr">
        <is>
          <t>ROBERTSFORS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51926-2018</t>
        </is>
      </c>
      <c r="B46" s="1" t="n">
        <v>43385</v>
      </c>
      <c r="C46" s="1" t="n">
        <v>45273</v>
      </c>
      <c r="D46" t="inlineStr">
        <is>
          <t>VÄSTERBOTTENS LÄN</t>
        </is>
      </c>
      <c r="E46" t="inlineStr">
        <is>
          <t>ROBERTSFORS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60751-2018</t>
        </is>
      </c>
      <c r="B47" s="1" t="n">
        <v>43409</v>
      </c>
      <c r="C47" s="1" t="n">
        <v>45273</v>
      </c>
      <c r="D47" t="inlineStr">
        <is>
          <t>VÄSTERBOTTENS LÄN</t>
        </is>
      </c>
      <c r="E47" t="inlineStr">
        <is>
          <t>ROBERTSFORS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62760-2018</t>
        </is>
      </c>
      <c r="B48" s="1" t="n">
        <v>43413</v>
      </c>
      <c r="C48" s="1" t="n">
        <v>45273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61547-2018</t>
        </is>
      </c>
      <c r="B49" s="1" t="n">
        <v>43413</v>
      </c>
      <c r="C49" s="1" t="n">
        <v>45273</v>
      </c>
      <c r="D49" t="inlineStr">
        <is>
          <t>VÄSTERBOTTENS LÄN</t>
        </is>
      </c>
      <c r="E49" t="inlineStr">
        <is>
          <t>ROBERTSFORS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62687-2018</t>
        </is>
      </c>
      <c r="B50" s="1" t="n">
        <v>43413</v>
      </c>
      <c r="C50" s="1" t="n">
        <v>45273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59497-2018</t>
        </is>
      </c>
      <c r="B51" s="1" t="n">
        <v>43419</v>
      </c>
      <c r="C51" s="1" t="n">
        <v>45273</v>
      </c>
      <c r="D51" t="inlineStr">
        <is>
          <t>VÄSTERBOTTENS LÄN</t>
        </is>
      </c>
      <c r="E51" t="inlineStr">
        <is>
          <t>ROBERTSFORS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59848-2018</t>
        </is>
      </c>
      <c r="B52" s="1" t="n">
        <v>43419</v>
      </c>
      <c r="C52" s="1" t="n">
        <v>45273</v>
      </c>
      <c r="D52" t="inlineStr">
        <is>
          <t>VÄSTERBOTTENS LÄN</t>
        </is>
      </c>
      <c r="E52" t="inlineStr">
        <is>
          <t>ROBERTSFORS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64780-2018</t>
        </is>
      </c>
      <c r="B53" s="1" t="n">
        <v>43423</v>
      </c>
      <c r="C53" s="1" t="n">
        <v>45273</v>
      </c>
      <c r="D53" t="inlineStr">
        <is>
          <t>VÄSTERBOTTENS LÄN</t>
        </is>
      </c>
      <c r="E53" t="inlineStr">
        <is>
          <t>ROBERTSFORS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61654-2018</t>
        </is>
      </c>
      <c r="B54" s="1" t="n">
        <v>43424</v>
      </c>
      <c r="C54" s="1" t="n">
        <v>45273</v>
      </c>
      <c r="D54" t="inlineStr">
        <is>
          <t>VÄSTERBOTTENS LÄN</t>
        </is>
      </c>
      <c r="E54" t="inlineStr">
        <is>
          <t>ROBERTSFORS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71469-2018</t>
        </is>
      </c>
      <c r="B55" s="1" t="n">
        <v>43453</v>
      </c>
      <c r="C55" s="1" t="n">
        <v>45273</v>
      </c>
      <c r="D55" t="inlineStr">
        <is>
          <t>VÄSTERBOTTENS LÄN</t>
        </is>
      </c>
      <c r="E55" t="inlineStr">
        <is>
          <t>ROBERTSFORS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72128-2018</t>
        </is>
      </c>
      <c r="B56" s="1" t="n">
        <v>43455</v>
      </c>
      <c r="C56" s="1" t="n">
        <v>45273</v>
      </c>
      <c r="D56" t="inlineStr">
        <is>
          <t>VÄSTERBOTTENS LÄN</t>
        </is>
      </c>
      <c r="E56" t="inlineStr">
        <is>
          <t>ROBERTSFORS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545-2019</t>
        </is>
      </c>
      <c r="B57" s="1" t="n">
        <v>43469</v>
      </c>
      <c r="C57" s="1" t="n">
        <v>45273</v>
      </c>
      <c r="D57" t="inlineStr">
        <is>
          <t>VÄSTERBOTTENS LÄN</t>
        </is>
      </c>
      <c r="E57" t="inlineStr">
        <is>
          <t>ROBERTSFORS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2970-2019</t>
        </is>
      </c>
      <c r="B58" s="1" t="n">
        <v>43472</v>
      </c>
      <c r="C58" s="1" t="n">
        <v>45273</v>
      </c>
      <c r="D58" t="inlineStr">
        <is>
          <t>VÄSTERBOTTENS LÄN</t>
        </is>
      </c>
      <c r="E58" t="inlineStr">
        <is>
          <t>ROBERTSFORS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2379-2019</t>
        </is>
      </c>
      <c r="B59" s="1" t="n">
        <v>43476</v>
      </c>
      <c r="C59" s="1" t="n">
        <v>45273</v>
      </c>
      <c r="D59" t="inlineStr">
        <is>
          <t>VÄSTERBOTTENS LÄN</t>
        </is>
      </c>
      <c r="E59" t="inlineStr">
        <is>
          <t>ROBERTSFORS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5715-2019</t>
        </is>
      </c>
      <c r="B60" s="1" t="n">
        <v>43481</v>
      </c>
      <c r="C60" s="1" t="n">
        <v>45273</v>
      </c>
      <c r="D60" t="inlineStr">
        <is>
          <t>VÄSTERBOTTENS LÄN</t>
        </is>
      </c>
      <c r="E60" t="inlineStr">
        <is>
          <t>ROBERTSFORS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5714-2019</t>
        </is>
      </c>
      <c r="B61" s="1" t="n">
        <v>43481</v>
      </c>
      <c r="C61" s="1" t="n">
        <v>45273</v>
      </c>
      <c r="D61" t="inlineStr">
        <is>
          <t>VÄSTERBOTTENS LÄN</t>
        </is>
      </c>
      <c r="E61" t="inlineStr">
        <is>
          <t>ROBERTSFORS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4594-2019</t>
        </is>
      </c>
      <c r="B62" s="1" t="n">
        <v>43486</v>
      </c>
      <c r="C62" s="1" t="n">
        <v>45273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7303-2019</t>
        </is>
      </c>
      <c r="B63" s="1" t="n">
        <v>43490</v>
      </c>
      <c r="C63" s="1" t="n">
        <v>45273</v>
      </c>
      <c r="D63" t="inlineStr">
        <is>
          <t>VÄSTERBOTTENS LÄN</t>
        </is>
      </c>
      <c r="E63" t="inlineStr">
        <is>
          <t>ROBERTSFORS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6291-2019</t>
        </is>
      </c>
      <c r="B64" s="1" t="n">
        <v>43493</v>
      </c>
      <c r="C64" s="1" t="n">
        <v>45273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8129-2019</t>
        </is>
      </c>
      <c r="B65" s="1" t="n">
        <v>43501</v>
      </c>
      <c r="C65" s="1" t="n">
        <v>45273</v>
      </c>
      <c r="D65" t="inlineStr">
        <is>
          <t>VÄSTERBOTTENS LÄN</t>
        </is>
      </c>
      <c r="E65" t="inlineStr">
        <is>
          <t>ROBERTSFORS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8591-2019</t>
        </is>
      </c>
      <c r="B66" s="1" t="n">
        <v>43502</v>
      </c>
      <c r="C66" s="1" t="n">
        <v>45273</v>
      </c>
      <c r="D66" t="inlineStr">
        <is>
          <t>VÄSTERBOTTENS LÄN</t>
        </is>
      </c>
      <c r="E66" t="inlineStr">
        <is>
          <t>ROBERTSFORS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8923-2019</t>
        </is>
      </c>
      <c r="B67" s="1" t="n">
        <v>43503</v>
      </c>
      <c r="C67" s="1" t="n">
        <v>45273</v>
      </c>
      <c r="D67" t="inlineStr">
        <is>
          <t>VÄSTERBOTTENS LÄN</t>
        </is>
      </c>
      <c r="E67" t="inlineStr">
        <is>
          <t>ROBERTSFORS</t>
        </is>
      </c>
      <c r="G67" t="n">
        <v>17.3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9138-2019</t>
        </is>
      </c>
      <c r="B68" s="1" t="n">
        <v>43504</v>
      </c>
      <c r="C68" s="1" t="n">
        <v>45273</v>
      </c>
      <c r="D68" t="inlineStr">
        <is>
          <t>VÄSTERBOTTENS LÄN</t>
        </is>
      </c>
      <c r="E68" t="inlineStr">
        <is>
          <t>ROBERTSFORS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10759-2019</t>
        </is>
      </c>
      <c r="B69" s="1" t="n">
        <v>43514</v>
      </c>
      <c r="C69" s="1" t="n">
        <v>45273</v>
      </c>
      <c r="D69" t="inlineStr">
        <is>
          <t>VÄSTERBOTTENS LÄN</t>
        </is>
      </c>
      <c r="E69" t="inlineStr">
        <is>
          <t>ROBERTSFORS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10783-2019</t>
        </is>
      </c>
      <c r="B70" s="1" t="n">
        <v>43514</v>
      </c>
      <c r="C70" s="1" t="n">
        <v>45273</v>
      </c>
      <c r="D70" t="inlineStr">
        <is>
          <t>VÄSTERBOTTENS LÄN</t>
        </is>
      </c>
      <c r="E70" t="inlineStr">
        <is>
          <t>ROBERTSFORS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11548-2019</t>
        </is>
      </c>
      <c r="B71" s="1" t="n">
        <v>43517</v>
      </c>
      <c r="C71" s="1" t="n">
        <v>45273</v>
      </c>
      <c r="D71" t="inlineStr">
        <is>
          <t>VÄSTERBOTTENS LÄN</t>
        </is>
      </c>
      <c r="E71" t="inlineStr">
        <is>
          <t>ROBERTSFORS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12144-2019</t>
        </is>
      </c>
      <c r="B72" s="1" t="n">
        <v>43522</v>
      </c>
      <c r="C72" s="1" t="n">
        <v>45273</v>
      </c>
      <c r="D72" t="inlineStr">
        <is>
          <t>VÄSTERBOTTENS LÄN</t>
        </is>
      </c>
      <c r="E72" t="inlineStr">
        <is>
          <t>ROBERTSFORS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12851-2019</t>
        </is>
      </c>
      <c r="B73" s="1" t="n">
        <v>43525</v>
      </c>
      <c r="C73" s="1" t="n">
        <v>45273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12853-2019</t>
        </is>
      </c>
      <c r="B74" s="1" t="n">
        <v>43525</v>
      </c>
      <c r="C74" s="1" t="n">
        <v>45273</v>
      </c>
      <c r="D74" t="inlineStr">
        <is>
          <t>VÄSTERBOTTENS LÄN</t>
        </is>
      </c>
      <c r="E74" t="inlineStr">
        <is>
          <t>ROBERTSFORS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17178-2019</t>
        </is>
      </c>
      <c r="B75" s="1" t="n">
        <v>43551</v>
      </c>
      <c r="C75" s="1" t="n">
        <v>45273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17179-2019</t>
        </is>
      </c>
      <c r="B76" s="1" t="n">
        <v>43551</v>
      </c>
      <c r="C76" s="1" t="n">
        <v>45273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18079-2019</t>
        </is>
      </c>
      <c r="B77" s="1" t="n">
        <v>43558</v>
      </c>
      <c r="C77" s="1" t="n">
        <v>45273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45273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45273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45273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45273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45273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45273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45273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45273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45273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45273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45273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45273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45273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45273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45273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45273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45273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45273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45273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45273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45273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45273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45273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45273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45273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45273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45273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45273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45273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45273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45273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45273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45273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45273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45273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45273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45273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45273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45273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45273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45273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45273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45273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45273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45273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45273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45273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45273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45273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45273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45273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45273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45273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45273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45273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45273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45273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45273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45273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45273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45273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45273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45273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45273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45273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45273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45273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45273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45273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45273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45273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45273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45273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45273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45273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45273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45273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45273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45273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45273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45273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45273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45273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45273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45273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45273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45273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45273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45273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45273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45273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45273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45273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45273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45273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45273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45273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45273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45273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45273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45273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45273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45273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45273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45273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45273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45273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45273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45273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45273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45273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45273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45273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45273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45273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45273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45273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45273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45273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45273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45273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45273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45273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45273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45273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45273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45273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45273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45273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45273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45273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45273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45273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45273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45273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45273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45273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45273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45273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45273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45273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45273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45273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45273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45273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45273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45273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45273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45273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45273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45273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45273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45273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45273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45273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45273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45273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45273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45273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45273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45273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45273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45273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45273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45273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45273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45273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45273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45273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45273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45273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45273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45273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45273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45273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45273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45273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45273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45273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45273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45273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45273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45273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45273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45273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45273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45273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45273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45273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45273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45273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45273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45273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45273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45273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45273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45273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45273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45273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45273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45273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45273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45273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45273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45273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45273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45273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45273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45273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45273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45273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45273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45273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45273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45273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45273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45273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45273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45273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45273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45273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45273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45273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45273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45273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45273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45273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45273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45273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45273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45273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45273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45273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45273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45273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45273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45273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45273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45273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45273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45273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45273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45273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45273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45273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45273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45273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45273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45273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45273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45273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45273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45273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45273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45273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45273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45273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45273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45273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45273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45273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45273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45273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45273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45273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45273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45273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45273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45273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45273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45273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45273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45273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45273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45273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45273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45273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45273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45273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45273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45273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45273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45273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45273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45273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45273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45273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45273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45273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45273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45273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45273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45273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45273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45273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45273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45273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45273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45273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45273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45273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45273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45273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45273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45273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45273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45273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45273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45273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45273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45273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45273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45273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45273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45273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45273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45273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45273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45273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45273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45273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45273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45273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45273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45273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45273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45273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45273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45273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45273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45273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45273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45273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45273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45273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45273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45273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45273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45273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45273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45273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45273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45273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45273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45273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45273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45273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45273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45273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45273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45273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45273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45273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45273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45273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45273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45273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45273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45273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45273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45273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45273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45273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45273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45273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45273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45273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45273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45273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45273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45273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45273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45273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45273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45273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45273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45273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45273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45273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45273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45273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45273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45273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45273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45273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45273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45273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45273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45273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45273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45273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45273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45273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45273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45273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45273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45273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45273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45273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45273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45273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45273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45273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45273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45273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45273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45273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45273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45273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45273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45273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45273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45273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45273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45273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45273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45273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45273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45273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45273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45273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45273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45273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45273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45273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45273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45273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45273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45273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45273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45273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45273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45273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45273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45273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45273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45273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45273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45273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45273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45273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45273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45273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45273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45273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45273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45273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45273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45273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45273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45273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45273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45273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45273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45273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45273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45273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45273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45273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45273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45273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45273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45273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45273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45273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45273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45273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45273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45273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45273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45273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45273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45273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45273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45273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45273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45273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45273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45273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45273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45273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45273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45273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45273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45273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45273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45273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45273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45273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45273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45273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45273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45273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45273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45273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45273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45273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45273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45273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45273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45273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45273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45273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45273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45273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45273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45273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45273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45273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45273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45273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45273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45273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45273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45273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45273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45273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45273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45273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45273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45273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45273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45273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45273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45273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45273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45273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45273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45273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45273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45273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45273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45273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45273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45273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45273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45273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45273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45273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45273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45273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45273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45273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45273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45273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45273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45273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45273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45273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45273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45273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45273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45273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45273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45273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45273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45273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45273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45273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45273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45273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45273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45273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45273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45273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45273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45273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45273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45273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45273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45273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45273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45273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45273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45273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45273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45273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45273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45273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45273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45273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46303-2023</t>
        </is>
      </c>
      <c r="B659" s="1" t="n">
        <v>45191</v>
      </c>
      <c r="C659" s="1" t="n">
        <v>45273</v>
      </c>
      <c r="D659" t="inlineStr">
        <is>
          <t>VÄSTERBOTTENS LÄN</t>
        </is>
      </c>
      <c r="E659" t="inlineStr">
        <is>
          <t>ROBERTSFORS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45571-2023</t>
        </is>
      </c>
      <c r="B660" s="1" t="n">
        <v>45194</v>
      </c>
      <c r="C660" s="1" t="n">
        <v>45273</v>
      </c>
      <c r="D660" t="inlineStr">
        <is>
          <t>VÄSTERBOTTENS LÄN</t>
        </is>
      </c>
      <c r="E660" t="inlineStr">
        <is>
          <t>ROBERTSFORS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46292-2023</t>
        </is>
      </c>
      <c r="B661" s="1" t="n">
        <v>45197</v>
      </c>
      <c r="C661" s="1" t="n">
        <v>45273</v>
      </c>
      <c r="D661" t="inlineStr">
        <is>
          <t>VÄSTERBOTTENS LÄN</t>
        </is>
      </c>
      <c r="E661" t="inlineStr">
        <is>
          <t>ROBERTSFORS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46331-2023</t>
        </is>
      </c>
      <c r="B662" s="1" t="n">
        <v>45197</v>
      </c>
      <c r="C662" s="1" t="n">
        <v>45273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46412-2023</t>
        </is>
      </c>
      <c r="B663" s="1" t="n">
        <v>45197</v>
      </c>
      <c r="C663" s="1" t="n">
        <v>45273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46388-2023</t>
        </is>
      </c>
      <c r="B664" s="1" t="n">
        <v>45197</v>
      </c>
      <c r="C664" s="1" t="n">
        <v>45273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46456-2023</t>
        </is>
      </c>
      <c r="B665" s="1" t="n">
        <v>45197</v>
      </c>
      <c r="C665" s="1" t="n">
        <v>45273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46427-2023</t>
        </is>
      </c>
      <c r="B666" s="1" t="n">
        <v>45197</v>
      </c>
      <c r="C666" s="1" t="n">
        <v>45273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46842-2023</t>
        </is>
      </c>
      <c r="B667" s="1" t="n">
        <v>45199</v>
      </c>
      <c r="C667" s="1" t="n">
        <v>45273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46888-2023</t>
        </is>
      </c>
      <c r="B668" s="1" t="n">
        <v>45201</v>
      </c>
      <c r="C668" s="1" t="n">
        <v>45273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48547-2023</t>
        </is>
      </c>
      <c r="B669" s="1" t="n">
        <v>45202</v>
      </c>
      <c r="C669" s="1" t="n">
        <v>45273</v>
      </c>
      <c r="D669" t="inlineStr">
        <is>
          <t>VÄSTERBOTTENS LÄN</t>
        </is>
      </c>
      <c r="E669" t="inlineStr">
        <is>
          <t>ROBERTSFORS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48920-2023</t>
        </is>
      </c>
      <c r="B670" s="1" t="n">
        <v>45204</v>
      </c>
      <c r="C670" s="1" t="n">
        <v>45273</v>
      </c>
      <c r="D670" t="inlineStr">
        <is>
          <t>VÄSTERBOTTENS LÄN</t>
        </is>
      </c>
      <c r="E670" t="inlineStr">
        <is>
          <t>ROBERTSFORS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48259-2023</t>
        </is>
      </c>
      <c r="B671" s="1" t="n">
        <v>45205</v>
      </c>
      <c r="C671" s="1" t="n">
        <v>45273</v>
      </c>
      <c r="D671" t="inlineStr">
        <is>
          <t>VÄSTERBOTTENS LÄN</t>
        </is>
      </c>
      <c r="E671" t="inlineStr">
        <is>
          <t>ROBERTSFORS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48252-2023</t>
        </is>
      </c>
      <c r="B672" s="1" t="n">
        <v>45205</v>
      </c>
      <c r="C672" s="1" t="n">
        <v>45273</v>
      </c>
      <c r="D672" t="inlineStr">
        <is>
          <t>VÄSTERBOTTENS LÄN</t>
        </is>
      </c>
      <c r="E672" t="inlineStr">
        <is>
          <t>ROBERTSFORS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49086-2023</t>
        </is>
      </c>
      <c r="B673" s="1" t="n">
        <v>45210</v>
      </c>
      <c r="C673" s="1" t="n">
        <v>45273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8.300000000000001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49679-2023</t>
        </is>
      </c>
      <c r="B674" s="1" t="n">
        <v>45212</v>
      </c>
      <c r="C674" s="1" t="n">
        <v>45273</v>
      </c>
      <c r="D674" t="inlineStr">
        <is>
          <t>VÄSTERBOTTENS LÄN</t>
        </is>
      </c>
      <c r="E674" t="inlineStr">
        <is>
          <t>ROBERTSFORS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51372-2023</t>
        </is>
      </c>
      <c r="B675" s="1" t="n">
        <v>45212</v>
      </c>
      <c r="C675" s="1" t="n">
        <v>45273</v>
      </c>
      <c r="D675" t="inlineStr">
        <is>
          <t>VÄSTERBOTTENS LÄN</t>
        </is>
      </c>
      <c r="E675" t="inlineStr">
        <is>
          <t>ROBERTSFORS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51352-2023</t>
        </is>
      </c>
      <c r="B676" s="1" t="n">
        <v>45212</v>
      </c>
      <c r="C676" s="1" t="n">
        <v>45273</v>
      </c>
      <c r="D676" t="inlineStr">
        <is>
          <t>VÄSTERBOTTENS LÄN</t>
        </is>
      </c>
      <c r="E676" t="inlineStr">
        <is>
          <t>ROBERTSFORS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51336-2023</t>
        </is>
      </c>
      <c r="B677" s="1" t="n">
        <v>45212</v>
      </c>
      <c r="C677" s="1" t="n">
        <v>45273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49958-2023</t>
        </is>
      </c>
      <c r="B678" s="1" t="n">
        <v>45215</v>
      </c>
      <c r="C678" s="1" t="n">
        <v>45273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Holmen skog AB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50187-2023</t>
        </is>
      </c>
      <c r="B679" s="1" t="n">
        <v>45215</v>
      </c>
      <c r="C679" s="1" t="n">
        <v>45273</v>
      </c>
      <c r="D679" t="inlineStr">
        <is>
          <t>VÄSTERBOTTENS LÄN</t>
        </is>
      </c>
      <c r="E679" t="inlineStr">
        <is>
          <t>ROBERTSFORS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51937-2023</t>
        </is>
      </c>
      <c r="B680" s="1" t="n">
        <v>45216</v>
      </c>
      <c r="C680" s="1" t="n">
        <v>45273</v>
      </c>
      <c r="D680" t="inlineStr">
        <is>
          <t>VÄSTERBOTTENS LÄN</t>
        </is>
      </c>
      <c r="E680" t="inlineStr">
        <is>
          <t>ROBERTSFORS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50729-2023</t>
        </is>
      </c>
      <c r="B681" s="1" t="n">
        <v>45217</v>
      </c>
      <c r="C681" s="1" t="n">
        <v>45273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52539-2023</t>
        </is>
      </c>
      <c r="B682" s="1" t="n">
        <v>45218</v>
      </c>
      <c r="C682" s="1" t="n">
        <v>45273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51288-2023</t>
        </is>
      </c>
      <c r="B683" s="1" t="n">
        <v>45219</v>
      </c>
      <c r="C683" s="1" t="n">
        <v>45273</v>
      </c>
      <c r="D683" t="inlineStr">
        <is>
          <t>VÄSTERBOTTENS LÄN</t>
        </is>
      </c>
      <c r="E683" t="inlineStr">
        <is>
          <t>ROBERTSFORS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53242-2023</t>
        </is>
      </c>
      <c r="B684" s="1" t="n">
        <v>45222</v>
      </c>
      <c r="C684" s="1" t="n">
        <v>45273</v>
      </c>
      <c r="D684" t="inlineStr">
        <is>
          <t>VÄSTERBOTTENS LÄN</t>
        </is>
      </c>
      <c r="E684" t="inlineStr">
        <is>
          <t>ROBERTSFORS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52434-2023</t>
        </is>
      </c>
      <c r="B685" s="1" t="n">
        <v>45225</v>
      </c>
      <c r="C685" s="1" t="n">
        <v>45273</v>
      </c>
      <c r="D685" t="inlineStr">
        <is>
          <t>VÄSTERBOTTENS LÄN</t>
        </is>
      </c>
      <c r="E685" t="inlineStr">
        <is>
          <t>ROBERTSFORS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54477-2023</t>
        </is>
      </c>
      <c r="B686" s="1" t="n">
        <v>45226</v>
      </c>
      <c r="C686" s="1" t="n">
        <v>45273</v>
      </c>
      <c r="D686" t="inlineStr">
        <is>
          <t>VÄSTERBOTTENS LÄN</t>
        </is>
      </c>
      <c r="E686" t="inlineStr">
        <is>
          <t>ROBERTSFORS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54484-2023</t>
        </is>
      </c>
      <c r="B687" s="1" t="n">
        <v>45233</v>
      </c>
      <c r="C687" s="1" t="n">
        <v>45273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54500-2023</t>
        </is>
      </c>
      <c r="B688" s="1" t="n">
        <v>45233</v>
      </c>
      <c r="C688" s="1" t="n">
        <v>45273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54483-2023</t>
        </is>
      </c>
      <c r="B689" s="1" t="n">
        <v>45233</v>
      </c>
      <c r="C689" s="1" t="n">
        <v>45273</v>
      </c>
      <c r="D689" t="inlineStr">
        <is>
          <t>VÄSTERBOTTENS LÄN</t>
        </is>
      </c>
      <c r="E689" t="inlineStr">
        <is>
          <t>ROBERTSFORS</t>
        </is>
      </c>
      <c r="F689" t="inlineStr">
        <is>
          <t>Sveaskog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56449-2023</t>
        </is>
      </c>
      <c r="B690" s="1" t="n">
        <v>45237</v>
      </c>
      <c r="C690" s="1" t="n">
        <v>45273</v>
      </c>
      <c r="D690" t="inlineStr">
        <is>
          <t>VÄSTERBOTTENS LÄN</t>
        </is>
      </c>
      <c r="E690" t="inlineStr">
        <is>
          <t>ROBERTSFORS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56469-2023</t>
        </is>
      </c>
      <c r="B691" s="1" t="n">
        <v>45237</v>
      </c>
      <c r="C691" s="1" t="n">
        <v>45273</v>
      </c>
      <c r="D691" t="inlineStr">
        <is>
          <t>VÄSTERBOTTENS LÄN</t>
        </is>
      </c>
      <c r="E691" t="inlineStr">
        <is>
          <t>ROBERTSFORS</t>
        </is>
      </c>
      <c r="G691" t="n">
        <v>10.8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55552-2023</t>
        </is>
      </c>
      <c r="B692" s="1" t="n">
        <v>45238</v>
      </c>
      <c r="C692" s="1" t="n">
        <v>45273</v>
      </c>
      <c r="D692" t="inlineStr">
        <is>
          <t>VÄSTERBOTTENS LÄN</t>
        </is>
      </c>
      <c r="E692" t="inlineStr">
        <is>
          <t>ROBERTSFORS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55417-2023</t>
        </is>
      </c>
      <c r="B693" s="1" t="n">
        <v>45238</v>
      </c>
      <c r="C693" s="1" t="n">
        <v>45273</v>
      </c>
      <c r="D693" t="inlineStr">
        <is>
          <t>VÄSTERBOTTENS LÄN</t>
        </is>
      </c>
      <c r="E693" t="inlineStr">
        <is>
          <t>ROBERTSFORS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55544-2023</t>
        </is>
      </c>
      <c r="B694" s="1" t="n">
        <v>45238</v>
      </c>
      <c r="C694" s="1" t="n">
        <v>45273</v>
      </c>
      <c r="D694" t="inlineStr">
        <is>
          <t>VÄSTERBOTTENS LÄN</t>
        </is>
      </c>
      <c r="E694" t="inlineStr">
        <is>
          <t>ROBERTSFORS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55514-2023</t>
        </is>
      </c>
      <c r="B695" s="1" t="n">
        <v>45238</v>
      </c>
      <c r="C695" s="1" t="n">
        <v>45273</v>
      </c>
      <c r="D695" t="inlineStr">
        <is>
          <t>VÄSTERBOTTENS LÄN</t>
        </is>
      </c>
      <c r="E695" t="inlineStr">
        <is>
          <t>ROBERTSFORS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55603-2023</t>
        </is>
      </c>
      <c r="B696" s="1" t="n">
        <v>45238</v>
      </c>
      <c r="C696" s="1" t="n">
        <v>45273</v>
      </c>
      <c r="D696" t="inlineStr">
        <is>
          <t>VÄSTERBOTTENS LÄN</t>
        </is>
      </c>
      <c r="E696" t="inlineStr">
        <is>
          <t>ROBERTSFORS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57167-2023</t>
        </is>
      </c>
      <c r="B697" s="1" t="n">
        <v>45239</v>
      </c>
      <c r="C697" s="1" t="n">
        <v>45273</v>
      </c>
      <c r="D697" t="inlineStr">
        <is>
          <t>VÄSTERBOTTENS LÄN</t>
        </is>
      </c>
      <c r="E697" t="inlineStr">
        <is>
          <t>ROBERTSFORS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45273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57265-2023</t>
        </is>
      </c>
      <c r="B699" s="1" t="n">
        <v>45245</v>
      </c>
      <c r="C699" s="1" t="n">
        <v>45273</v>
      </c>
      <c r="D699" t="inlineStr">
        <is>
          <t>VÄSTERBOTTENS LÄN</t>
        </is>
      </c>
      <c r="E699" t="inlineStr">
        <is>
          <t>ROBERTSFORS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57284-2023</t>
        </is>
      </c>
      <c r="B700" s="1" t="n">
        <v>45245</v>
      </c>
      <c r="C700" s="1" t="n">
        <v>45273</v>
      </c>
      <c r="D700" t="inlineStr">
        <is>
          <t>VÄSTERBOTTENS LÄN</t>
        </is>
      </c>
      <c r="E700" t="inlineStr">
        <is>
          <t>ROBERTSFORS</t>
        </is>
      </c>
      <c r="F700" t="inlineStr">
        <is>
          <t>Holmen skog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57629-2023</t>
        </is>
      </c>
      <c r="B701" s="1" t="n">
        <v>45246</v>
      </c>
      <c r="C701" s="1" t="n">
        <v>45273</v>
      </c>
      <c r="D701" t="inlineStr">
        <is>
          <t>VÄSTERBOTTENS LÄN</t>
        </is>
      </c>
      <c r="E701" t="inlineStr">
        <is>
          <t>ROBERTSFORS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57646-2023</t>
        </is>
      </c>
      <c r="B702" s="1" t="n">
        <v>45246</v>
      </c>
      <c r="C702" s="1" t="n">
        <v>45273</v>
      </c>
      <c r="D702" t="inlineStr">
        <is>
          <t>VÄSTERBOTTENS LÄN</t>
        </is>
      </c>
      <c r="E702" t="inlineStr">
        <is>
          <t>ROBERTSFORS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57674-2023</t>
        </is>
      </c>
      <c r="B703" s="1" t="n">
        <v>45246</v>
      </c>
      <c r="C703" s="1" t="n">
        <v>45273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58539-2023</t>
        </is>
      </c>
      <c r="B704" s="1" t="n">
        <v>45246</v>
      </c>
      <c r="C704" s="1" t="n">
        <v>45273</v>
      </c>
      <c r="D704" t="inlineStr">
        <is>
          <t>VÄSTERBOTTENS LÄN</t>
        </is>
      </c>
      <c r="E704" t="inlineStr">
        <is>
          <t>ROBERTSFORS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58542-2023</t>
        </is>
      </c>
      <c r="B705" s="1" t="n">
        <v>45246</v>
      </c>
      <c r="C705" s="1" t="n">
        <v>45273</v>
      </c>
      <c r="D705" t="inlineStr">
        <is>
          <t>VÄSTERBOTTENS LÄN</t>
        </is>
      </c>
      <c r="E705" t="inlineStr">
        <is>
          <t>ROBERTSFORS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58565-2023</t>
        </is>
      </c>
      <c r="B706" s="1" t="n">
        <v>45246</v>
      </c>
      <c r="C706" s="1" t="n">
        <v>45273</v>
      </c>
      <c r="D706" t="inlineStr">
        <is>
          <t>VÄSTERBOTTENS LÄN</t>
        </is>
      </c>
      <c r="E706" t="inlineStr">
        <is>
          <t>ROBERTSFORS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45273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58582-2023</t>
        </is>
      </c>
      <c r="B708" s="1" t="n">
        <v>45246</v>
      </c>
      <c r="C708" s="1" t="n">
        <v>45273</v>
      </c>
      <c r="D708" t="inlineStr">
        <is>
          <t>VÄSTERBOTTENS LÄN</t>
        </is>
      </c>
      <c r="E708" t="inlineStr">
        <is>
          <t>ROBERTSFORS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58240-2023</t>
        </is>
      </c>
      <c r="B709" s="1" t="n">
        <v>45250</v>
      </c>
      <c r="C709" s="1" t="n">
        <v>45273</v>
      </c>
      <c r="D709" t="inlineStr">
        <is>
          <t>VÄSTERBOTTENS LÄN</t>
        </is>
      </c>
      <c r="E709" t="inlineStr">
        <is>
          <t>ROBERTSFORS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45273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58526-2023</t>
        </is>
      </c>
      <c r="B711" s="1" t="n">
        <v>45251</v>
      </c>
      <c r="C711" s="1" t="n">
        <v>45273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13.9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58624-2023</t>
        </is>
      </c>
      <c r="B712" s="1" t="n">
        <v>45251</v>
      </c>
      <c r="C712" s="1" t="n">
        <v>45273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59171-2023</t>
        </is>
      </c>
      <c r="B713" s="1" t="n">
        <v>45251</v>
      </c>
      <c r="C713" s="1" t="n">
        <v>45273</v>
      </c>
      <c r="D713" t="inlineStr">
        <is>
          <t>VÄSTERBOTTENS LÄN</t>
        </is>
      </c>
      <c r="E713" t="inlineStr">
        <is>
          <t>ROBERTSFORS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59211-2023</t>
        </is>
      </c>
      <c r="B714" s="1" t="n">
        <v>45251</v>
      </c>
      <c r="C714" s="1" t="n">
        <v>45273</v>
      </c>
      <c r="D714" t="inlineStr">
        <is>
          <t>VÄSTERBOTTENS LÄN</t>
        </is>
      </c>
      <c r="E714" t="inlineStr">
        <is>
          <t>ROBERTSFORS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59178-2023</t>
        </is>
      </c>
      <c r="B715" s="1" t="n">
        <v>45251</v>
      </c>
      <c r="C715" s="1" t="n">
        <v>45273</v>
      </c>
      <c r="D715" t="inlineStr">
        <is>
          <t>VÄSTERBOTTENS LÄN</t>
        </is>
      </c>
      <c r="E715" t="inlineStr">
        <is>
          <t>ROBERTSFORS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59306-2023</t>
        </is>
      </c>
      <c r="B716" s="1" t="n">
        <v>45253</v>
      </c>
      <c r="C716" s="1" t="n">
        <v>45273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Holmen skog AB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59549-2023</t>
        </is>
      </c>
      <c r="B717" s="1" t="n">
        <v>45253</v>
      </c>
      <c r="C717" s="1" t="n">
        <v>45273</v>
      </c>
      <c r="D717" t="inlineStr">
        <is>
          <t>VÄSTERBOTTENS LÄN</t>
        </is>
      </c>
      <c r="E717" t="inlineStr">
        <is>
          <t>ROBERTSFORS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59596-2023</t>
        </is>
      </c>
      <c r="B718" s="1" t="n">
        <v>45254</v>
      </c>
      <c r="C718" s="1" t="n">
        <v>45273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61553-2023</t>
        </is>
      </c>
      <c r="B719" s="1" t="n">
        <v>45261</v>
      </c>
      <c r="C719" s="1" t="n">
        <v>45273</v>
      </c>
      <c r="D719" t="inlineStr">
        <is>
          <t>VÄSTERBOTTENS LÄN</t>
        </is>
      </c>
      <c r="E719" t="inlineStr">
        <is>
          <t>ROBERTSFORS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61153-2023</t>
        </is>
      </c>
      <c r="B720" s="1" t="n">
        <v>45261</v>
      </c>
      <c r="C720" s="1" t="n">
        <v>45273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61150-2023</t>
        </is>
      </c>
      <c r="B721" s="1" t="n">
        <v>45261</v>
      </c>
      <c r="C721" s="1" t="n">
        <v>45273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62506-2023</t>
        </is>
      </c>
      <c r="B722" s="1" t="n">
        <v>45268</v>
      </c>
      <c r="C722" s="1" t="n">
        <v>45273</v>
      </c>
      <c r="D722" t="inlineStr">
        <is>
          <t>VÄSTERBOTTENS LÄN</t>
        </is>
      </c>
      <c r="E722" t="inlineStr">
        <is>
          <t>ROBERTSFORS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62937-2023</t>
        </is>
      </c>
      <c r="B723" s="1" t="n">
        <v>45271</v>
      </c>
      <c r="C723" s="1" t="n">
        <v>45273</v>
      </c>
      <c r="D723" t="inlineStr">
        <is>
          <t>VÄSTERBOTTENS LÄN</t>
        </is>
      </c>
      <c r="E723" t="inlineStr">
        <is>
          <t>ROBERTSFORS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45273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62980-2023</t>
        </is>
      </c>
      <c r="B725" s="1" t="n">
        <v>45272</v>
      </c>
      <c r="C725" s="1" t="n">
        <v>45273</v>
      </c>
      <c r="D725" t="inlineStr">
        <is>
          <t>VÄSTERBOTTENS LÄN</t>
        </is>
      </c>
      <c r="E725" t="inlineStr">
        <is>
          <t>ROBERTSFORS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2023-12-13T09:50:32Z</dcterms:created>
  <dcterms:modified xmlns:dcterms="http://purl.org/dc/terms/" xmlns:xsi="http://www.w3.org/2001/XMLSchema-instance" xsi:type="dcterms:W3CDTF">2023-12-13T09:50:32Z</dcterms:modified>
</cp:coreProperties>
</file>