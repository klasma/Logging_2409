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46219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V2">
        <f>HYPERLINK("https://klasma.github.io/Logging_2409/artfynd/A 13769-2026 artfynd.xlsx", "A 13769-2026")</f>
        <v/>
      </c>
      <c r="W2">
        <f>HYPERLINK("https://klasma.github.io/Logging_2409/kartor/A 13769-2026 karta.png", "A 13769-2026")</f>
        <v/>
      </c>
      <c r="Y2">
        <f>HYPERLINK("https://klasma.github.io/Logging_2409/klagomål/A 13769-2026 FSC-klagomål.docx", "A 13769-2026")</f>
        <v/>
      </c>
      <c r="Z2">
        <f>HYPERLINK("https://klasma.github.io/Logging_2409/klagomålsmail/A 13769-2026 FSC-klagomål mail.docx", "A 13769-2026")</f>
        <v/>
      </c>
      <c r="AA2">
        <f>HYPERLINK("https://klasma.github.io/Logging_2409/tillsyn/A 13769-2026 tillsynsbegäran.docx", "A 13769-2026")</f>
        <v/>
      </c>
      <c r="AB2">
        <f>HYPERLINK("https://klasma.github.io/Logging_2409/tillsynsmail/A 13769-2026 tillsynsbegäran mail.docx", "A 13769-2026")</f>
        <v/>
      </c>
      <c r="AC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46219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s="2" t="inlineStr">
        <is>
          <t>Lunglav
Motaggsvamp
Talltita
Vedskivlav
Nästlav
Plattlummer
Spindelblomster
Ögonpyrola
Järpe
Spillkråka
Orre
Vanlig groda
Fläcknycklar
Revlummer</t>
        </is>
      </c>
      <c r="V3">
        <f>HYPERLINK("https://klasma.github.io/Logging_2409/artfynd/S 457-2025 artfynd.xlsx", "S 457-2025")</f>
        <v/>
      </c>
      <c r="W3">
        <f>HYPERLINK("https://klasma.github.io/Logging_2409/kartor/S 457-2025 karta.png", "S 457-2025")</f>
        <v/>
      </c>
      <c r="Y3">
        <f>HYPERLINK("https://klasma.github.io/Logging_2409/klagomål/S 457-2025 FSC-klagomål.docx", "S 457-2025")</f>
        <v/>
      </c>
      <c r="Z3">
        <f>HYPERLINK("https://klasma.github.io/Logging_2409/klagomålsmail/S 457-2025 FSC-klagomål mail.docx", "S 457-2025")</f>
        <v/>
      </c>
      <c r="AA3">
        <f>HYPERLINK("https://klasma.github.io/Logging_2409/tillsyn/S 457-2025 tillsynsbegäran.docx", "S 457-2025")</f>
        <v/>
      </c>
      <c r="AB3">
        <f>HYPERLINK("https://klasma.github.io/Logging_2409/tillsynsmail/S 457-2025 tillsynsbegäran mail.docx", "S 457-2025")</f>
        <v/>
      </c>
      <c r="AC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46219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s="2" t="inlineStr">
        <is>
          <t>Garnlav
Doftskinn
Lunglav
Skogshare
Talltita
Plattlummer
Spindelblomster
Stuplav
Vanlig groda
Fläcknycklar
Revlummer</t>
        </is>
      </c>
      <c r="V4">
        <f>HYPERLINK("https://klasma.github.io/Logging_2409/artfynd/S 4191-2023 artfynd.xlsx", "S 4191-2023")</f>
        <v/>
      </c>
      <c r="W4">
        <f>HYPERLINK("https://klasma.github.io/Logging_2409/kartor/S 4191-2023 karta.png", "S 4191-2023")</f>
        <v/>
      </c>
      <c r="Y4">
        <f>HYPERLINK("https://klasma.github.io/Logging_2409/klagomål/S 4191-2023 FSC-klagomål.docx", "S 4191-2023")</f>
        <v/>
      </c>
      <c r="Z4">
        <f>HYPERLINK("https://klasma.github.io/Logging_2409/klagomålsmail/S 4191-2023 FSC-klagomål mail.docx", "S 4191-2023")</f>
        <v/>
      </c>
      <c r="AA4">
        <f>HYPERLINK("https://klasma.github.io/Logging_2409/tillsyn/S 4191-2023 tillsynsbegäran.docx", "S 4191-2023")</f>
        <v/>
      </c>
      <c r="AB4">
        <f>HYPERLINK("https://klasma.github.io/Logging_2409/tillsynsmail/S 4191-2023 tillsynsbegäran mail.docx", "S 4191-2023")</f>
        <v/>
      </c>
      <c r="AC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46219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s="2" t="inlineStr">
        <is>
          <t>Garnlav
Knärot
Ostticka
Gammelgransskål
Rosenticka
Stjärntagging
Tretåig hackspett
Ullticka
Vedticka
Spillkråka</t>
        </is>
      </c>
      <c r="V5">
        <f>HYPERLINK("https://klasma.github.io/Logging_2409/artfynd/A 48749-2025 artfynd.xlsx", "A 48749-2025")</f>
        <v/>
      </c>
      <c r="W5">
        <f>HYPERLINK("https://klasma.github.io/Logging_2409/kartor/A 48749-2025 karta.png", "A 48749-2025")</f>
        <v/>
      </c>
      <c r="X5">
        <f>HYPERLINK("https://klasma.github.io/Logging_2409/knärot/A 48749-2025 karta knärot.png", "A 48749-2025")</f>
        <v/>
      </c>
      <c r="Y5">
        <f>HYPERLINK("https://klasma.github.io/Logging_2409/klagomål/A 48749-2025 FSC-klagomål.docx", "A 48749-2025")</f>
        <v/>
      </c>
      <c r="Z5">
        <f>HYPERLINK("https://klasma.github.io/Logging_2409/klagomålsmail/A 48749-2025 FSC-klagomål mail.docx", "A 48749-2025")</f>
        <v/>
      </c>
      <c r="AA5">
        <f>HYPERLINK("https://klasma.github.io/Logging_2409/tillsyn/A 48749-2025 tillsynsbegäran.docx", "A 48749-2025")</f>
        <v/>
      </c>
      <c r="AB5">
        <f>HYPERLINK("https://klasma.github.io/Logging_2409/tillsynsmail/A 48749-2025 tillsynsbegäran mail.docx", "A 48749-2025")</f>
        <v/>
      </c>
      <c r="AC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46219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s="2" t="inlineStr">
        <is>
          <t>Garnlav
Gammelgransskål
Rynkskinn
Stjärntagging
Tretåig hackspett
Ullticka
Violettgrå tagellav
Bronshjon
Vedticka
Spillkråka</t>
        </is>
      </c>
      <c r="V6">
        <f>HYPERLINK("https://klasma.github.io/Logging_2409/artfynd/A 50406-2025 artfynd.xlsx", "A 50406-2025")</f>
        <v/>
      </c>
      <c r="W6">
        <f>HYPERLINK("https://klasma.github.io/Logging_2409/kartor/A 50406-2025 karta.png", "A 50406-2025")</f>
        <v/>
      </c>
      <c r="Y6">
        <f>HYPERLINK("https://klasma.github.io/Logging_2409/klagomål/A 50406-2025 FSC-klagomål.docx", "A 50406-2025")</f>
        <v/>
      </c>
      <c r="Z6">
        <f>HYPERLINK("https://klasma.github.io/Logging_2409/klagomålsmail/A 50406-2025 FSC-klagomål mail.docx", "A 50406-2025")</f>
        <v/>
      </c>
      <c r="AA6">
        <f>HYPERLINK("https://klasma.github.io/Logging_2409/tillsyn/A 50406-2025 tillsynsbegäran.docx", "A 50406-2025")</f>
        <v/>
      </c>
      <c r="AB6">
        <f>HYPERLINK("https://klasma.github.io/Logging_2409/tillsynsmail/A 50406-2025 tillsynsbegäran mail.docx", "A 50406-2025")</f>
        <v/>
      </c>
      <c r="AC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46219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Garnlav
Dropptaggsvamp
Gammelgransskål
Tretåig hackspett
Ullticka
Violettgrå tagellav
Skinnlav
Vedticka
Spillkråka</t>
        </is>
      </c>
      <c r="V7">
        <f>HYPERLINK("https://klasma.github.io/Logging_2409/artfynd/A 54406-2021 artfynd.xlsx", "A 54406-2021")</f>
        <v/>
      </c>
      <c r="W7">
        <f>HYPERLINK("https://klasma.github.io/Logging_2409/kartor/A 54406-2021 karta.png", "A 54406-2021")</f>
        <v/>
      </c>
      <c r="Y7">
        <f>HYPERLINK("https://klasma.github.io/Logging_2409/klagomål/A 54406-2021 FSC-klagomål.docx", "A 54406-2021")</f>
        <v/>
      </c>
      <c r="Z7">
        <f>HYPERLINK("https://klasma.github.io/Logging_2409/klagomålsmail/A 54406-2021 FSC-klagomål mail.docx", "A 54406-2021")</f>
        <v/>
      </c>
      <c r="AA7">
        <f>HYPERLINK("https://klasma.github.io/Logging_2409/tillsyn/A 54406-2021 tillsynsbegäran.docx", "A 54406-2021")</f>
        <v/>
      </c>
      <c r="AB7">
        <f>HYPERLINK("https://klasma.github.io/Logging_2409/tillsynsmail/A 54406-2021 tillsynsbegäran mail.docx", "A 54406-2021")</f>
        <v/>
      </c>
      <c r="AC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46219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s="2" t="inlineStr">
        <is>
          <t>Knärot
Harticka
Lunglav
Stjärntagging
Tretåig hackspett
Stuplav
Spillkråka</t>
        </is>
      </c>
      <c r="V8">
        <f>HYPERLINK("https://klasma.github.io/Logging_2409/artfynd/A 23646-2025 artfynd.xlsx", "A 23646-2025")</f>
        <v/>
      </c>
      <c r="W8">
        <f>HYPERLINK("https://klasma.github.io/Logging_2409/kartor/A 23646-2025 karta.png", "A 23646-2025")</f>
        <v/>
      </c>
      <c r="X8">
        <f>HYPERLINK("https://klasma.github.io/Logging_2409/knärot/A 23646-2025 karta knärot.png", "A 23646-2025")</f>
        <v/>
      </c>
      <c r="Y8">
        <f>HYPERLINK("https://klasma.github.io/Logging_2409/klagomål/A 23646-2025 FSC-klagomål.docx", "A 23646-2025")</f>
        <v/>
      </c>
      <c r="Z8">
        <f>HYPERLINK("https://klasma.github.io/Logging_2409/klagomålsmail/A 23646-2025 FSC-klagomål mail.docx", "A 23646-2025")</f>
        <v/>
      </c>
      <c r="AA8">
        <f>HYPERLINK("https://klasma.github.io/Logging_2409/tillsyn/A 23646-2025 tillsynsbegäran.docx", "A 23646-2025")</f>
        <v/>
      </c>
      <c r="AB8">
        <f>HYPERLINK("https://klasma.github.io/Logging_2409/tillsynsmail/A 23646-2025 tillsynsbegäran mail.docx", "A 23646-2025")</f>
        <v/>
      </c>
      <c r="AC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46219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s="2" t="inlineStr">
        <is>
          <t>Garnlav
Doftskinn
Gammelgransskål
Talltita
Tretåig hackspett
Vedticka
Spillkråka</t>
        </is>
      </c>
      <c r="V9">
        <f>HYPERLINK("https://klasma.github.io/Logging_2409/artfynd/A 49710-2025 artfynd.xlsx", "A 49710-2025")</f>
        <v/>
      </c>
      <c r="W9">
        <f>HYPERLINK("https://klasma.github.io/Logging_2409/kartor/A 49710-2025 karta.png", "A 49710-2025")</f>
        <v/>
      </c>
      <c r="Y9">
        <f>HYPERLINK("https://klasma.github.io/Logging_2409/klagomål/A 49710-2025 FSC-klagomål.docx", "A 49710-2025")</f>
        <v/>
      </c>
      <c r="Z9">
        <f>HYPERLINK("https://klasma.github.io/Logging_2409/klagomålsmail/A 49710-2025 FSC-klagomål mail.docx", "A 49710-2025")</f>
        <v/>
      </c>
      <c r="AA9">
        <f>HYPERLINK("https://klasma.github.io/Logging_2409/tillsyn/A 49710-2025 tillsynsbegäran.docx", "A 49710-2025")</f>
        <v/>
      </c>
      <c r="AB9">
        <f>HYPERLINK("https://klasma.github.io/Logging_2409/tillsynsmail/A 49710-2025 tillsynsbegäran mail.docx", "A 49710-2025")</f>
        <v/>
      </c>
      <c r="AC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46219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s="2" t="inlineStr">
        <is>
          <t>Skogshare
Talltita
Spindelblomster
Tjäder
Vanlig groda
Fläcknycklar
Revlummer</t>
        </is>
      </c>
      <c r="V10">
        <f>HYPERLINK("https://klasma.github.io/Logging_2409/artfynd/S 438-2026 artfynd.xlsx", "S 438-2026")</f>
        <v/>
      </c>
      <c r="W10">
        <f>HYPERLINK("https://klasma.github.io/Logging_2409/kartor/S 438-2026 karta.png", "S 438-2026")</f>
        <v/>
      </c>
      <c r="Y10">
        <f>HYPERLINK("https://klasma.github.io/Logging_2409/klagomål/S 438-2026 FSC-klagomål.docx", "S 438-2026")</f>
        <v/>
      </c>
      <c r="Z10">
        <f>HYPERLINK("https://klasma.github.io/Logging_2409/klagomålsmail/S 438-2026 FSC-klagomål mail.docx", "S 438-2026")</f>
        <v/>
      </c>
      <c r="AA10">
        <f>HYPERLINK("https://klasma.github.io/Logging_2409/tillsyn/S 438-2026 tillsynsbegäran.docx", "S 438-2026")</f>
        <v/>
      </c>
      <c r="AB10">
        <f>HYPERLINK("https://klasma.github.io/Logging_2409/tillsynsmail/S 438-2026 tillsynsbegäran mail.docx", "S 438-2026")</f>
        <v/>
      </c>
      <c r="AC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46219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s="2" t="inlineStr">
        <is>
          <t>Garnlav
Gammelgransskål
Nordfladdermus
Tretåig hackspett
Ullticka
Stuplav
Spillkråka</t>
        </is>
      </c>
      <c r="V11">
        <f>HYPERLINK("https://klasma.github.io/Logging_2409/artfynd/S 1149-2026 artfynd.xlsx", "S 1149-2026")</f>
        <v/>
      </c>
      <c r="W11">
        <f>HYPERLINK("https://klasma.github.io/Logging_2409/kartor/S 1149-2026 karta.png", "S 1149-2026")</f>
        <v/>
      </c>
      <c r="Y11">
        <f>HYPERLINK("https://klasma.github.io/Logging_2409/klagomål/S 1149-2026 FSC-klagomål.docx", "S 1149-2026")</f>
        <v/>
      </c>
      <c r="Z11">
        <f>HYPERLINK("https://klasma.github.io/Logging_2409/klagomålsmail/S 1149-2026 FSC-klagomål mail.docx", "S 1149-2026")</f>
        <v/>
      </c>
      <c r="AA11">
        <f>HYPERLINK("https://klasma.github.io/Logging_2409/tillsyn/S 1149-2026 tillsynsbegäran.docx", "S 1149-2026")</f>
        <v/>
      </c>
      <c r="AB11">
        <f>HYPERLINK("https://klasma.github.io/Logging_2409/tillsynsmail/S 1149-2026 tillsynsbegäran mail.docx", "S 1149-2026")</f>
        <v/>
      </c>
      <c r="AC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46219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Järnsparv
Rödvingetrast
Talltita
Kråka
Kungsfågel
Revlummer</t>
        </is>
      </c>
      <c r="V12">
        <f>HYPERLINK("https://klasma.github.io/Logging_2409/artfynd/A 24114-2025 artfynd.xlsx", "A 24114-2025")</f>
        <v/>
      </c>
      <c r="W12">
        <f>HYPERLINK("https://klasma.github.io/Logging_2409/kartor/A 24114-2025 karta.png", "A 24114-2025")</f>
        <v/>
      </c>
      <c r="Y12">
        <f>HYPERLINK("https://klasma.github.io/Logging_2409/klagomål/A 24114-2025 FSC-klagomål.docx", "A 24114-2025")</f>
        <v/>
      </c>
      <c r="Z12">
        <f>HYPERLINK("https://klasma.github.io/Logging_2409/klagomålsmail/A 24114-2025 FSC-klagomål mail.docx", "A 24114-2025")</f>
        <v/>
      </c>
      <c r="AA12">
        <f>HYPERLINK("https://klasma.github.io/Logging_2409/tillsyn/A 24114-2025 tillsynsbegäran.docx", "A 24114-2025")</f>
        <v/>
      </c>
      <c r="AB12">
        <f>HYPERLINK("https://klasma.github.io/Logging_2409/tillsynsmail/A 24114-2025 tillsynsbegäran mail.docx", "A 24114-2025")</f>
        <v/>
      </c>
      <c r="AC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46219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s="2" t="inlineStr">
        <is>
          <t>Tretåig hackspett
Ullticka
Bronshjon
Vedticka
Spillkråka
Tjäder</t>
        </is>
      </c>
      <c r="V13">
        <f>HYPERLINK("https://klasma.github.io/Logging_2409/artfynd/A 54875-2025 artfynd.xlsx", "A 54875-2025")</f>
        <v/>
      </c>
      <c r="W13">
        <f>HYPERLINK("https://klasma.github.io/Logging_2409/kartor/A 54875-2025 karta.png", "A 54875-2025")</f>
        <v/>
      </c>
      <c r="Y13">
        <f>HYPERLINK("https://klasma.github.io/Logging_2409/klagomål/A 54875-2025 FSC-klagomål.docx", "A 54875-2025")</f>
        <v/>
      </c>
      <c r="Z13">
        <f>HYPERLINK("https://klasma.github.io/Logging_2409/klagomålsmail/A 54875-2025 FSC-klagomål mail.docx", "A 54875-2025")</f>
        <v/>
      </c>
      <c r="AA13">
        <f>HYPERLINK("https://klasma.github.io/Logging_2409/tillsyn/A 54875-2025 tillsynsbegäran.docx", "A 54875-2025")</f>
        <v/>
      </c>
      <c r="AB13">
        <f>HYPERLINK("https://klasma.github.io/Logging_2409/tillsynsmail/A 54875-2025 tillsynsbegäran mail.docx", "A 54875-2025")</f>
        <v/>
      </c>
      <c r="AC13">
        <f>HYPERLINK("https://klasma.github.io/Logging_2409/fåglar/A 54875-2025 prioriterade fågelarter.docx", "A 54875-2025")</f>
        <v/>
      </c>
    </row>
    <row r="14" ht="15" customHeight="1">
      <c r="A14" t="inlineStr">
        <is>
          <t>A 20377-2026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46139</v>
      </c>
      <c r="E14" s="1" t="n">
        <v>46219</v>
      </c>
      <c r="F14" t="inlineStr">
        <is>
          <t>VÄSTERBOTTENS LÄN</t>
        </is>
      </c>
      <c r="G14" t="inlineStr">
        <is>
          <t>ROBERTSFORS</t>
        </is>
      </c>
      <c r="I14" t="n">
        <v>2.1</v>
      </c>
      <c r="J14" t="n">
        <v>3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s="2" t="inlineStr">
        <is>
          <t>Garnlav
Knärot
Tretåig hackspett
Nästlav
Tjäder</t>
        </is>
      </c>
      <c r="V14">
        <f>HYPERLINK("https://klasma.github.io/Logging_2409/artfynd/A 20377-2026 artfynd.xlsx", "A 20377-2026")</f>
        <v/>
      </c>
      <c r="W14">
        <f>HYPERLINK("https://klasma.github.io/Logging_2409/kartor/A 20377-2026 karta.png", "A 20377-2026")</f>
        <v/>
      </c>
      <c r="X14">
        <f>HYPERLINK("https://klasma.github.io/Logging_2409/knärot/A 20377-2026 karta knärot.png", "A 20377-2026")</f>
        <v/>
      </c>
      <c r="Y14">
        <f>HYPERLINK("https://klasma.github.io/Logging_2409/klagomål/A 20377-2026 FSC-klagomål.docx", "A 20377-2026")</f>
        <v/>
      </c>
      <c r="Z14">
        <f>HYPERLINK("https://klasma.github.io/Logging_2409/klagomålsmail/A 20377-2026 FSC-klagomål mail.docx", "A 20377-2026")</f>
        <v/>
      </c>
      <c r="AA14">
        <f>HYPERLINK("https://klasma.github.io/Logging_2409/tillsyn/A 20377-2026 tillsynsbegäran.docx", "A 20377-2026")</f>
        <v/>
      </c>
      <c r="AB14">
        <f>HYPERLINK("https://klasma.github.io/Logging_2409/tillsynsmail/A 20377-2026 tillsynsbegäran mail.docx", "A 20377-2026")</f>
        <v/>
      </c>
      <c r="AC14">
        <f>HYPERLINK("https://klasma.github.io/Logging_2409/fåglar/A 20377-2026 prioriterade fågelarter.docx", "A 20377-2026")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46219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s="2" t="inlineStr">
        <is>
          <t>Garnlav
Gammelgransskål
Violettgrå tagellav
Fläcknycklar
Revlummer</t>
        </is>
      </c>
      <c r="V15">
        <f>HYPERLINK("https://klasma.github.io/Logging_2409/artfynd/A 36561-2023 artfynd.xlsx", "A 36561-2023")</f>
        <v/>
      </c>
      <c r="W15">
        <f>HYPERLINK("https://klasma.github.io/Logging_2409/kartor/A 36561-2023 karta.png", "A 36561-2023")</f>
        <v/>
      </c>
      <c r="Y15">
        <f>HYPERLINK("https://klasma.github.io/Logging_2409/klagomål/A 36561-2023 FSC-klagomål.docx", "A 36561-2023")</f>
        <v/>
      </c>
      <c r="Z15">
        <f>HYPERLINK("https://klasma.github.io/Logging_2409/klagomålsmail/A 36561-2023 FSC-klagomål mail.docx", "A 36561-2023")</f>
        <v/>
      </c>
      <c r="AA15">
        <f>HYPERLINK("https://klasma.github.io/Logging_2409/tillsyn/A 36561-2023 tillsynsbegäran.docx", "A 36561-2023")</f>
        <v/>
      </c>
      <c r="AB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46219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s="2" t="inlineStr">
        <is>
          <t>Garnlav
Gammelgransskål
Tallticka
Tretåig hackspett
Spillkråka</t>
        </is>
      </c>
      <c r="V16">
        <f>HYPERLINK("https://klasma.github.io/Logging_2409/artfynd/A 5292-2026 artfynd.xlsx", "A 5292-2026")</f>
        <v/>
      </c>
      <c r="W16">
        <f>HYPERLINK("https://klasma.github.io/Logging_2409/kartor/A 5292-2026 karta.png", "A 5292-2026")</f>
        <v/>
      </c>
      <c r="Y16">
        <f>HYPERLINK("https://klasma.github.io/Logging_2409/klagomål/A 5292-2026 FSC-klagomål.docx", "A 5292-2026")</f>
        <v/>
      </c>
      <c r="Z16">
        <f>HYPERLINK("https://klasma.github.io/Logging_2409/klagomålsmail/A 5292-2026 FSC-klagomål mail.docx", "A 5292-2026")</f>
        <v/>
      </c>
      <c r="AA16">
        <f>HYPERLINK("https://klasma.github.io/Logging_2409/tillsyn/A 5292-2026 tillsynsbegäran.docx", "A 5292-2026")</f>
        <v/>
      </c>
      <c r="AB16">
        <f>HYPERLINK("https://klasma.github.io/Logging_2409/tillsynsmail/A 5292-2026 tillsynsbegäran mail.docx", "A 5292-2026")</f>
        <v/>
      </c>
      <c r="AC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46219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s="2" t="inlineStr">
        <is>
          <t>Garnlav
Nästlav
Tjäder
Fläcknycklar</t>
        </is>
      </c>
      <c r="V17">
        <f>HYPERLINK("https://klasma.github.io/Logging_2409/artfynd/A 39821-2025 artfynd.xlsx", "A 39821-2025")</f>
        <v/>
      </c>
      <c r="W17">
        <f>HYPERLINK("https://klasma.github.io/Logging_2409/kartor/A 39821-2025 karta.png", "A 39821-2025")</f>
        <v/>
      </c>
      <c r="Y17">
        <f>HYPERLINK("https://klasma.github.io/Logging_2409/klagomål/A 39821-2025 FSC-klagomål.docx", "A 39821-2025")</f>
        <v/>
      </c>
      <c r="Z17">
        <f>HYPERLINK("https://klasma.github.io/Logging_2409/klagomålsmail/A 39821-2025 FSC-klagomål mail.docx", "A 39821-2025")</f>
        <v/>
      </c>
      <c r="AA17">
        <f>HYPERLINK("https://klasma.github.io/Logging_2409/tillsyn/A 39821-2025 tillsynsbegäran.docx", "A 39821-2025")</f>
        <v/>
      </c>
      <c r="AB17">
        <f>HYPERLINK("https://klasma.github.io/Logging_2409/tillsynsmail/A 39821-2025 tillsynsbegäran mail.docx", "A 39821-2025")</f>
        <v/>
      </c>
      <c r="AC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46219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Garnlav
Vedticka
Spillkråka</t>
        </is>
      </c>
      <c r="V18">
        <f>HYPERLINK("https://klasma.github.io/Logging_2409/artfynd/A 44084-2025 artfynd.xlsx", "A 44084-2025")</f>
        <v/>
      </c>
      <c r="W18">
        <f>HYPERLINK("https://klasma.github.io/Logging_2409/kartor/A 44084-2025 karta.png", "A 44084-2025")</f>
        <v/>
      </c>
      <c r="Y18">
        <f>HYPERLINK("https://klasma.github.io/Logging_2409/klagomål/A 44084-2025 FSC-klagomål.docx", "A 44084-2025")</f>
        <v/>
      </c>
      <c r="Z18">
        <f>HYPERLINK("https://klasma.github.io/Logging_2409/klagomålsmail/A 44084-2025 FSC-klagomål mail.docx", "A 44084-2025")</f>
        <v/>
      </c>
      <c r="AA18">
        <f>HYPERLINK("https://klasma.github.io/Logging_2409/tillsyn/A 44084-2025 tillsynsbegäran.docx", "A 44084-2025")</f>
        <v/>
      </c>
      <c r="AB18">
        <f>HYPERLINK("https://klasma.github.io/Logging_2409/tillsynsmail/A 44084-2025 tillsynsbegäran mail.docx", "A 44084-2025")</f>
        <v/>
      </c>
      <c r="AC18">
        <f>HYPERLINK("https://klasma.github.io/Logging_2409/fåglar/A 44084-2025 prioriterade fågelarter.docx", "A 44084-2025")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46219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s="2" t="inlineStr">
        <is>
          <t>Gräddporing
Tallticka
Talltita</t>
        </is>
      </c>
      <c r="V19">
        <f>HYPERLINK("https://klasma.github.io/Logging_2409/artfynd/A 32211-2023 artfynd.xlsx", "A 32211-2023")</f>
        <v/>
      </c>
      <c r="W19">
        <f>HYPERLINK("https://klasma.github.io/Logging_2409/kartor/A 32211-2023 karta.png", "A 32211-2023")</f>
        <v/>
      </c>
      <c r="Y19">
        <f>HYPERLINK("https://klasma.github.io/Logging_2409/klagomål/A 32211-2023 FSC-klagomål.docx", "A 32211-2023")</f>
        <v/>
      </c>
      <c r="Z19">
        <f>HYPERLINK("https://klasma.github.io/Logging_2409/klagomålsmail/A 32211-2023 FSC-klagomål mail.docx", "A 32211-2023")</f>
        <v/>
      </c>
      <c r="AA19">
        <f>HYPERLINK("https://klasma.github.io/Logging_2409/tillsyn/A 32211-2023 tillsynsbegäran.docx", "A 32211-2023")</f>
        <v/>
      </c>
      <c r="AB19">
        <f>HYPERLINK("https://klasma.github.io/Logging_2409/tillsynsmail/A 32211-2023 tillsynsbegäran mail.docx", "A 32211-2023")</f>
        <v/>
      </c>
      <c r="AC19">
        <f>HYPERLINK("https://klasma.github.io/Logging_2409/fåglar/A 32211-2023 prioriterade fågelarter.docx", "A 32211-2023")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46219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s="2" t="inlineStr">
        <is>
          <t>Talltita
Gråspett
Tjäder</t>
        </is>
      </c>
      <c r="V20">
        <f>HYPERLINK("https://klasma.github.io/Logging_2409/artfynd/A 24241-2022 artfynd.xlsx", "A 24241-2022")</f>
        <v/>
      </c>
      <c r="W20">
        <f>HYPERLINK("https://klasma.github.io/Logging_2409/kartor/A 24241-2022 karta.png", "A 24241-2022")</f>
        <v/>
      </c>
      <c r="Y20">
        <f>HYPERLINK("https://klasma.github.io/Logging_2409/klagomål/A 24241-2022 FSC-klagomål.docx", "A 24241-2022")</f>
        <v/>
      </c>
      <c r="Z20">
        <f>HYPERLINK("https://klasma.github.io/Logging_2409/klagomålsmail/A 24241-2022 FSC-klagomål mail.docx", "A 24241-2022")</f>
        <v/>
      </c>
      <c r="AA20">
        <f>HYPERLINK("https://klasma.github.io/Logging_2409/tillsyn/A 24241-2022 tillsynsbegäran.docx", "A 24241-2022")</f>
        <v/>
      </c>
      <c r="AB20">
        <f>HYPERLINK("https://klasma.github.io/Logging_2409/tillsynsmail/A 24241-2022 tillsynsbegäran mail.docx", "A 24241-2022")</f>
        <v/>
      </c>
      <c r="AC20">
        <f>HYPERLINK("https://klasma.github.io/Logging_2409/fåglar/A 24241-2022 prioriterade fågelarter.docx", "A 24241-2022")</f>
        <v/>
      </c>
    </row>
    <row r="21" ht="15" customHeight="1">
      <c r="A21" t="inlineStr">
        <is>
          <t>A 33347-2025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46219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2.9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Garnlav
Lunglav
Stuplav</t>
        </is>
      </c>
      <c r="V21">
        <f>HYPERLINK("https://klasma.github.io/Logging_2409/artfynd/A 33347-2025 artfynd.xlsx", "A 33347-2025")</f>
        <v/>
      </c>
      <c r="W21">
        <f>HYPERLINK("https://klasma.github.io/Logging_2409/kartor/A 33347-2025 karta.png", "A 33347-2025")</f>
        <v/>
      </c>
      <c r="Y21">
        <f>HYPERLINK("https://klasma.github.io/Logging_2409/klagomål/A 33347-2025 FSC-klagomål.docx", "A 33347-2025")</f>
        <v/>
      </c>
      <c r="Z21">
        <f>HYPERLINK("https://klasma.github.io/Logging_2409/klagomålsmail/A 33347-2025 FSC-klagomål mail.docx", "A 33347-2025")</f>
        <v/>
      </c>
      <c r="AA21">
        <f>HYPERLINK("https://klasma.github.io/Logging_2409/tillsyn/A 33347-2025 tillsynsbegäran.docx", "A 33347-2025")</f>
        <v/>
      </c>
      <c r="AB21">
        <f>HYPERLINK("https://klasma.github.io/Logging_2409/tillsynsmail/A 33347-2025 tillsynsbegäran mail.docx", "A 33347-2025")</f>
        <v/>
      </c>
    </row>
    <row r="22" ht="15" customHeight="1">
      <c r="A22" t="inlineStr">
        <is>
          <t>A 34727-2025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45848</v>
      </c>
      <c r="E22" s="1" t="n">
        <v>46219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4.3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Talltita
Ullticka
Spindelblomster</t>
        </is>
      </c>
      <c r="V22">
        <f>HYPERLINK("https://klasma.github.io/Logging_2409/artfynd/A 34727-2025 artfynd.xlsx", "A 34727-2025")</f>
        <v/>
      </c>
      <c r="W22">
        <f>HYPERLINK("https://klasma.github.io/Logging_2409/kartor/A 34727-2025 karta.png", "A 34727-2025")</f>
        <v/>
      </c>
      <c r="Y22">
        <f>HYPERLINK("https://klasma.github.io/Logging_2409/klagomål/A 34727-2025 FSC-klagomål.docx", "A 34727-2025")</f>
        <v/>
      </c>
      <c r="Z22">
        <f>HYPERLINK("https://klasma.github.io/Logging_2409/klagomålsmail/A 34727-2025 FSC-klagomål mail.docx", "A 34727-2025")</f>
        <v/>
      </c>
      <c r="AA22">
        <f>HYPERLINK("https://klasma.github.io/Logging_2409/tillsyn/A 34727-2025 tillsynsbegäran.docx", "A 34727-2025")</f>
        <v/>
      </c>
      <c r="AB22">
        <f>HYPERLINK("https://klasma.github.io/Logging_2409/tillsynsmail/A 34727-2025 tillsynsbegäran mail.docx", "A 34727-2025")</f>
        <v/>
      </c>
      <c r="AC22">
        <f>HYPERLINK("https://klasma.github.io/Logging_2409/fåglar/A 34727-2025 prioriterade fågelarter.docx", "A 34727-2025")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46219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s="2" t="inlineStr">
        <is>
          <t>Garnlav
Tretåig hackspett
Ullticka</t>
        </is>
      </c>
      <c r="V23">
        <f>HYPERLINK("https://klasma.github.io/Logging_2409/artfynd/A 2639-2026 artfynd.xlsx", "A 2639-2026")</f>
        <v/>
      </c>
      <c r="W23">
        <f>HYPERLINK("https://klasma.github.io/Logging_2409/kartor/A 2639-2026 karta.png", "A 2639-2026")</f>
        <v/>
      </c>
      <c r="Y23">
        <f>HYPERLINK("https://klasma.github.io/Logging_2409/klagomål/A 2639-2026 FSC-klagomål.docx", "A 2639-2026")</f>
        <v/>
      </c>
      <c r="Z23">
        <f>HYPERLINK("https://klasma.github.io/Logging_2409/klagomålsmail/A 2639-2026 FSC-klagomål mail.docx", "A 2639-2026")</f>
        <v/>
      </c>
      <c r="AA23">
        <f>HYPERLINK("https://klasma.github.io/Logging_2409/tillsyn/A 2639-2026 tillsynsbegäran.docx", "A 2639-2026")</f>
        <v/>
      </c>
      <c r="AB23">
        <f>HYPERLINK("https://klasma.github.io/Logging_2409/tillsynsmail/A 2639-2026 tillsynsbegäran mail.docx", "A 2639-2026")</f>
        <v/>
      </c>
      <c r="AC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46219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Garnlav
Tretåig hackspett</t>
        </is>
      </c>
      <c r="V24">
        <f>HYPERLINK("https://klasma.github.io/Logging_2409/artfynd/A 70365-2021 artfynd.xlsx", "A 70365-2021")</f>
        <v/>
      </c>
      <c r="W24">
        <f>HYPERLINK("https://klasma.github.io/Logging_2409/kartor/A 70365-2021 karta.png", "A 70365-2021")</f>
        <v/>
      </c>
      <c r="Y24">
        <f>HYPERLINK("https://klasma.github.io/Logging_2409/klagomål/A 70365-2021 FSC-klagomål.docx", "A 70365-2021")</f>
        <v/>
      </c>
      <c r="Z24">
        <f>HYPERLINK("https://klasma.github.io/Logging_2409/klagomålsmail/A 70365-2021 FSC-klagomål mail.docx", "A 70365-2021")</f>
        <v/>
      </c>
      <c r="AA24">
        <f>HYPERLINK("https://klasma.github.io/Logging_2409/tillsyn/A 70365-2021 tillsynsbegäran.docx", "A 70365-2021")</f>
        <v/>
      </c>
      <c r="AB24">
        <f>HYPERLINK("https://klasma.github.io/Logging_2409/tillsynsmail/A 70365-2021 tillsynsbegäran mail.docx", "A 70365-2021")</f>
        <v/>
      </c>
      <c r="AC24">
        <f>HYPERLINK("https://klasma.github.io/Logging_2409/fåglar/A 70365-2021 prioriterade fågelarter.docx", "A 70365-2021")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46219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Motaggsvamp
Skarp dropptaggsvamp</t>
        </is>
      </c>
      <c r="V25">
        <f>HYPERLINK("https://klasma.github.io/Logging_2409/artfynd/A 19724-2023 artfynd.xlsx", "A 19724-2023")</f>
        <v/>
      </c>
      <c r="W25">
        <f>HYPERLINK("https://klasma.github.io/Logging_2409/kartor/A 19724-2023 karta.png", "A 19724-2023")</f>
        <v/>
      </c>
      <c r="Y25">
        <f>HYPERLINK("https://klasma.github.io/Logging_2409/klagomål/A 19724-2023 FSC-klagomål.docx", "A 19724-2023")</f>
        <v/>
      </c>
      <c r="Z25">
        <f>HYPERLINK("https://klasma.github.io/Logging_2409/klagomålsmail/A 19724-2023 FSC-klagomål mail.docx", "A 19724-2023")</f>
        <v/>
      </c>
      <c r="AA25">
        <f>HYPERLINK("https://klasma.github.io/Logging_2409/tillsyn/A 19724-2023 tillsynsbegäran.docx", "A 19724-2023")</f>
        <v/>
      </c>
      <c r="AB25">
        <f>HYPERLINK("https://klasma.github.io/Logging_2409/tillsynsmail/A 19724-2023 tillsynsbegäran mail.docx", "A 19724-2023")</f>
        <v/>
      </c>
    </row>
    <row r="26" ht="15" customHeight="1">
      <c r="A26" t="inlineStr">
        <is>
          <t>A 43097-2023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46219</v>
      </c>
      <c r="F26" t="inlineStr">
        <is>
          <t>VÄSTERBOTTENS LÄN</t>
        </is>
      </c>
      <c r="G26" t="inlineStr">
        <is>
          <t>ROBERTSFORS</t>
        </is>
      </c>
      <c r="I26" t="n">
        <v>3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s="2" t="inlineStr">
        <is>
          <t>Garnlav
Talltita</t>
        </is>
      </c>
      <c r="V26">
        <f>HYPERLINK("https://klasma.github.io/Logging_2409/artfynd/A 43097-2023 artfynd.xlsx", "A 43097-2023")</f>
        <v/>
      </c>
      <c r="W26">
        <f>HYPERLINK("https://klasma.github.io/Logging_2409/kartor/A 43097-2023 karta.png", "A 43097-2023")</f>
        <v/>
      </c>
      <c r="Y26">
        <f>HYPERLINK("https://klasma.github.io/Logging_2409/klagomål/A 43097-2023 FSC-klagomål.docx", "A 43097-2023")</f>
        <v/>
      </c>
      <c r="Z26">
        <f>HYPERLINK("https://klasma.github.io/Logging_2409/klagomålsmail/A 43097-2023 FSC-klagomål mail.docx", "A 43097-2023")</f>
        <v/>
      </c>
      <c r="AA26">
        <f>HYPERLINK("https://klasma.github.io/Logging_2409/tillsyn/A 43097-2023 tillsynsbegäran.docx", "A 43097-2023")</f>
        <v/>
      </c>
      <c r="AB26">
        <f>HYPERLINK("https://klasma.github.io/Logging_2409/tillsynsmail/A 43097-2023 tillsynsbegäran mail.docx", "A 43097-2023")</f>
        <v/>
      </c>
      <c r="AC26">
        <f>HYPERLINK("https://klasma.github.io/Logging_2409/fåglar/A 43097-2023 prioriterade fågelarter.docx", "A 43097-2023")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46219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Harticka
Ullticka</t>
        </is>
      </c>
      <c r="V27">
        <f>HYPERLINK("https://klasma.github.io/Logging_2409/artfynd/A 48882-2025 artfynd.xlsx", "A 48882-2025")</f>
        <v/>
      </c>
      <c r="W27">
        <f>HYPERLINK("https://klasma.github.io/Logging_2409/kartor/A 48882-2025 karta.png", "A 48882-2025")</f>
        <v/>
      </c>
      <c r="Y27">
        <f>HYPERLINK("https://klasma.github.io/Logging_2409/klagomål/A 48882-2025 FSC-klagomål.docx", "A 48882-2025")</f>
        <v/>
      </c>
      <c r="Z27">
        <f>HYPERLINK("https://klasma.github.io/Logging_2409/klagomålsmail/A 48882-2025 FSC-klagomål mail.docx", "A 48882-2025")</f>
        <v/>
      </c>
      <c r="AA27">
        <f>HYPERLINK("https://klasma.github.io/Logging_2409/tillsyn/A 48882-2025 tillsynsbegäran.docx", "A 48882-2025")</f>
        <v/>
      </c>
      <c r="AB27">
        <f>HYPERLINK("https://klasma.github.io/Logging_2409/tillsynsmail/A 48882-2025 tillsynsbegäran mail.docx", "A 48882-2025")</f>
        <v/>
      </c>
    </row>
    <row r="28" ht="15" customHeight="1">
      <c r="A28" t="inlineStr">
        <is>
          <t>A 52805-2025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46219</v>
      </c>
      <c r="F28" t="inlineStr">
        <is>
          <t>VÄSTERBOTTENS LÄN</t>
        </is>
      </c>
      <c r="G28" t="inlineStr">
        <is>
          <t>ROBERTSFORS</t>
        </is>
      </c>
      <c r="I28" t="n">
        <v>7.7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s="2" t="inlineStr">
        <is>
          <t>Garnlav
Tjäder</t>
        </is>
      </c>
      <c r="V28">
        <f>HYPERLINK("https://klasma.github.io/Logging_2409/artfynd/A 52805-2025 artfynd.xlsx", "A 52805-2025")</f>
        <v/>
      </c>
      <c r="W28">
        <f>HYPERLINK("https://klasma.github.io/Logging_2409/kartor/A 52805-2025 karta.png", "A 52805-2025")</f>
        <v/>
      </c>
      <c r="Y28">
        <f>HYPERLINK("https://klasma.github.io/Logging_2409/klagomål/A 52805-2025 FSC-klagomål.docx", "A 52805-2025")</f>
        <v/>
      </c>
      <c r="Z28">
        <f>HYPERLINK("https://klasma.github.io/Logging_2409/klagomålsmail/A 52805-2025 FSC-klagomål mail.docx", "A 52805-2025")</f>
        <v/>
      </c>
      <c r="AA28">
        <f>HYPERLINK("https://klasma.github.io/Logging_2409/tillsyn/A 52805-2025 tillsynsbegäran.docx", "A 52805-2025")</f>
        <v/>
      </c>
      <c r="AB28">
        <f>HYPERLINK("https://klasma.github.io/Logging_2409/tillsynsmail/A 52805-2025 tillsynsbegäran mail.docx", "A 52805-2025")</f>
        <v/>
      </c>
      <c r="AC28">
        <f>HYPERLINK("https://klasma.github.io/Logging_2409/fåglar/A 52805-2025 prioriterade fågelarter.docx", "A 52805-2025")</f>
        <v/>
      </c>
    </row>
    <row r="29" ht="15" customHeight="1">
      <c r="A29" t="inlineStr">
        <is>
          <t>A 31320-2024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45504</v>
      </c>
      <c r="E29" s="1" t="n">
        <v>46219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4.9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s="2" t="inlineStr">
        <is>
          <t>Kolflarnlav
Vedflamlav</t>
        </is>
      </c>
      <c r="V29">
        <f>HYPERLINK("https://klasma.github.io/Logging_2409/artfynd/A 31320-2024 artfynd.xlsx", "A 31320-2024")</f>
        <v/>
      </c>
      <c r="W29">
        <f>HYPERLINK("https://klasma.github.io/Logging_2409/kartor/A 31320-2024 karta.png", "A 31320-2024")</f>
        <v/>
      </c>
      <c r="Y29">
        <f>HYPERLINK("https://klasma.github.io/Logging_2409/klagomål/A 31320-2024 FSC-klagomål.docx", "A 31320-2024")</f>
        <v/>
      </c>
      <c r="Z29">
        <f>HYPERLINK("https://klasma.github.io/Logging_2409/klagomålsmail/A 31320-2024 FSC-klagomål mail.docx", "A 31320-2024")</f>
        <v/>
      </c>
      <c r="AA29">
        <f>HYPERLINK("https://klasma.github.io/Logging_2409/tillsyn/A 31320-2024 tillsynsbegäran.docx", "A 31320-2024")</f>
        <v/>
      </c>
      <c r="AB29">
        <f>HYPERLINK("https://klasma.github.io/Logging_2409/tillsynsmail/A 31320-2024 tillsynsbegäran mail.docx", "A 31320-2024")</f>
        <v/>
      </c>
    </row>
    <row r="30" ht="15" customHeight="1">
      <c r="A30" t="inlineStr">
        <is>
          <t>A 41962-2023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45177</v>
      </c>
      <c r="E30" s="1" t="n">
        <v>46219</v>
      </c>
      <c r="F30" t="inlineStr">
        <is>
          <t>VÄSTERBOTTENS LÄN</t>
        </is>
      </c>
      <c r="G30" t="inlineStr">
        <is>
          <t>ROBERTSFORS</t>
        </is>
      </c>
      <c r="I30" t="n">
        <v>0.3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Ullticka
Vedticka</t>
        </is>
      </c>
      <c r="V30">
        <f>HYPERLINK("https://klasma.github.io/Logging_2409/artfynd/A 41962-2023 artfynd.xlsx", "A 41962-2023")</f>
        <v/>
      </c>
      <c r="W30">
        <f>HYPERLINK("https://klasma.github.io/Logging_2409/kartor/A 41962-2023 karta.png", "A 41962-2023")</f>
        <v/>
      </c>
      <c r="Y30">
        <f>HYPERLINK("https://klasma.github.io/Logging_2409/klagomål/A 41962-2023 FSC-klagomål.docx", "A 41962-2023")</f>
        <v/>
      </c>
      <c r="Z30">
        <f>HYPERLINK("https://klasma.github.io/Logging_2409/klagomålsmail/A 41962-2023 FSC-klagomål mail.docx", "A 41962-2023")</f>
        <v/>
      </c>
      <c r="AA30">
        <f>HYPERLINK("https://klasma.github.io/Logging_2409/tillsyn/A 41962-2023 tillsynsbegäran.docx", "A 41962-2023")</f>
        <v/>
      </c>
      <c r="AB30">
        <f>HYPERLINK("https://klasma.github.io/Logging_2409/tillsynsmail/A 41962-2023 tillsynsbegäran mail.docx", "A 41962-2023")</f>
        <v/>
      </c>
    </row>
    <row r="31" ht="15" customHeight="1">
      <c r="A31" t="inlineStr">
        <is>
          <t>A 43094-2023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46219</v>
      </c>
      <c r="F31" t="inlineStr">
        <is>
          <t>VÄSTERBOTTENS LÄN</t>
        </is>
      </c>
      <c r="G31" t="inlineStr">
        <is>
          <t>ROBERTSFORS</t>
        </is>
      </c>
      <c r="I31" t="n">
        <v>7.7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Svartvit flugsnappare
Ärtsångare</t>
        </is>
      </c>
      <c r="V31">
        <f>HYPERLINK("https://klasma.github.io/Logging_2409/artfynd/A 43094-2023 artfynd.xlsx", "A 43094-2023")</f>
        <v/>
      </c>
      <c r="W31">
        <f>HYPERLINK("https://klasma.github.io/Logging_2409/kartor/A 43094-2023 karta.png", "A 43094-2023")</f>
        <v/>
      </c>
      <c r="Y31">
        <f>HYPERLINK("https://klasma.github.io/Logging_2409/klagomål/A 43094-2023 FSC-klagomål.docx", "A 43094-2023")</f>
        <v/>
      </c>
      <c r="Z31">
        <f>HYPERLINK("https://klasma.github.io/Logging_2409/klagomålsmail/A 43094-2023 FSC-klagomål mail.docx", "A 43094-2023")</f>
        <v/>
      </c>
      <c r="AA31">
        <f>HYPERLINK("https://klasma.github.io/Logging_2409/tillsyn/A 43094-2023 tillsynsbegäran.docx", "A 43094-2023")</f>
        <v/>
      </c>
      <c r="AB31">
        <f>HYPERLINK("https://klasma.github.io/Logging_2409/tillsynsmail/A 43094-2023 tillsynsbegäran mail.docx", "A 43094-2023")</f>
        <v/>
      </c>
    </row>
    <row r="32" ht="15" customHeight="1">
      <c r="A32" t="inlineStr">
        <is>
          <t>A 2777-2026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46038</v>
      </c>
      <c r="E32" s="1" t="n">
        <v>46219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Harticka
Vedticka</t>
        </is>
      </c>
      <c r="V32">
        <f>HYPERLINK("https://klasma.github.io/Logging_2409/artfynd/A 2777-2026 artfynd.xlsx", "A 2777-2026")</f>
        <v/>
      </c>
      <c r="W32">
        <f>HYPERLINK("https://klasma.github.io/Logging_2409/kartor/A 2777-2026 karta.png", "A 2777-2026")</f>
        <v/>
      </c>
      <c r="Y32">
        <f>HYPERLINK("https://klasma.github.io/Logging_2409/klagomål/A 2777-2026 FSC-klagomål.docx", "A 2777-2026")</f>
        <v/>
      </c>
      <c r="Z32">
        <f>HYPERLINK("https://klasma.github.io/Logging_2409/klagomålsmail/A 2777-2026 FSC-klagomål mail.docx", "A 2777-2026")</f>
        <v/>
      </c>
      <c r="AA32">
        <f>HYPERLINK("https://klasma.github.io/Logging_2409/tillsyn/A 2777-2026 tillsynsbegäran.docx", "A 2777-2026")</f>
        <v/>
      </c>
      <c r="AB32">
        <f>HYPERLINK("https://klasma.github.io/Logging_2409/tillsynsmail/A 2777-2026 tillsynsbegäran mail.docx", "A 2777-2026")</f>
        <v/>
      </c>
    </row>
    <row r="33" ht="15" customHeight="1">
      <c r="A33" t="inlineStr">
        <is>
          <t>A 5283-2026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46219</v>
      </c>
      <c r="F33" t="inlineStr">
        <is>
          <t>VÄSTERBOTTENS LÄN</t>
        </is>
      </c>
      <c r="G33" t="inlineStr">
        <is>
          <t>ROBERTSFORS</t>
        </is>
      </c>
      <c r="I33" t="n">
        <v>1.2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Talltita
Utter</t>
        </is>
      </c>
      <c r="V33">
        <f>HYPERLINK("https://klasma.github.io/Logging_2409/artfynd/A 5283-2026 artfynd.xlsx", "A 5283-2026")</f>
        <v/>
      </c>
      <c r="W33">
        <f>HYPERLINK("https://klasma.github.io/Logging_2409/kartor/A 5283-2026 karta.png", "A 5283-2026")</f>
        <v/>
      </c>
      <c r="Y33">
        <f>HYPERLINK("https://klasma.github.io/Logging_2409/klagomål/A 5283-2026 FSC-klagomål.docx", "A 5283-2026")</f>
        <v/>
      </c>
      <c r="Z33">
        <f>HYPERLINK("https://klasma.github.io/Logging_2409/klagomålsmail/A 5283-2026 FSC-klagomål mail.docx", "A 5283-2026")</f>
        <v/>
      </c>
      <c r="AA33">
        <f>HYPERLINK("https://klasma.github.io/Logging_2409/tillsyn/A 5283-2026 tillsynsbegäran.docx", "A 5283-2026")</f>
        <v/>
      </c>
      <c r="AB33">
        <f>HYPERLINK("https://klasma.github.io/Logging_2409/tillsynsmail/A 5283-2026 tillsynsbegäran mail.docx", "A 5283-2026")</f>
        <v/>
      </c>
      <c r="AC33">
        <f>HYPERLINK("https://klasma.github.io/Logging_2409/fåglar/A 5283-2026 prioriterade fågelarter.docx", "A 5283-2026")</f>
        <v/>
      </c>
    </row>
    <row r="34" ht="15" customHeight="1">
      <c r="A34" t="inlineStr">
        <is>
          <t>A 5287-2026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46219</v>
      </c>
      <c r="F34" t="inlineStr">
        <is>
          <t>VÄSTERBOTTENS LÄN</t>
        </is>
      </c>
      <c r="G34" t="inlineStr">
        <is>
          <t>ROBERTSFORS</t>
        </is>
      </c>
      <c r="I34" t="n">
        <v>3.2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Gammelgransskål
Spillkråka</t>
        </is>
      </c>
      <c r="V34">
        <f>HYPERLINK("https://klasma.github.io/Logging_2409/artfynd/A 5287-2026 artfynd.xlsx", "A 5287-2026")</f>
        <v/>
      </c>
      <c r="W34">
        <f>HYPERLINK("https://klasma.github.io/Logging_2409/kartor/A 5287-2026 karta.png", "A 5287-2026")</f>
        <v/>
      </c>
      <c r="Y34">
        <f>HYPERLINK("https://klasma.github.io/Logging_2409/klagomål/A 5287-2026 FSC-klagomål.docx", "A 5287-2026")</f>
        <v/>
      </c>
      <c r="Z34">
        <f>HYPERLINK("https://klasma.github.io/Logging_2409/klagomålsmail/A 5287-2026 FSC-klagomål mail.docx", "A 5287-2026")</f>
        <v/>
      </c>
      <c r="AA34">
        <f>HYPERLINK("https://klasma.github.io/Logging_2409/tillsyn/A 5287-2026 tillsynsbegäran.docx", "A 5287-2026")</f>
        <v/>
      </c>
      <c r="AB34">
        <f>HYPERLINK("https://klasma.github.io/Logging_2409/tillsynsmail/A 5287-2026 tillsynsbegäran mail.docx", "A 5287-2026")</f>
        <v/>
      </c>
      <c r="AC34">
        <f>HYPERLINK("https://klasma.github.io/Logging_2409/fåglar/A 5287-2026 prioriterade fågelarter.docx", "A 5287-2026")</f>
        <v/>
      </c>
    </row>
    <row r="35" ht="15" customHeight="1">
      <c r="A35" t="inlineStr">
        <is>
          <t>A 5290-2026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46219</v>
      </c>
      <c r="F35" t="inlineStr">
        <is>
          <t>VÄSTERBOTTENS LÄN</t>
        </is>
      </c>
      <c r="G35" t="inlineStr">
        <is>
          <t>ROBERTSFORS</t>
        </is>
      </c>
      <c r="I35" t="n">
        <v>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Harticka
Vedticka</t>
        </is>
      </c>
      <c r="V35">
        <f>HYPERLINK("https://klasma.github.io/Logging_2409/artfynd/A 5290-2026 artfynd.xlsx", "A 5290-2026")</f>
        <v/>
      </c>
      <c r="W35">
        <f>HYPERLINK("https://klasma.github.io/Logging_2409/kartor/A 5290-2026 karta.png", "A 5290-2026")</f>
        <v/>
      </c>
      <c r="Y35">
        <f>HYPERLINK("https://klasma.github.io/Logging_2409/klagomål/A 5290-2026 FSC-klagomål.docx", "A 5290-2026")</f>
        <v/>
      </c>
      <c r="Z35">
        <f>HYPERLINK("https://klasma.github.io/Logging_2409/klagomålsmail/A 5290-2026 FSC-klagomål mail.docx", "A 5290-2026")</f>
        <v/>
      </c>
      <c r="AA35">
        <f>HYPERLINK("https://klasma.github.io/Logging_2409/tillsyn/A 5290-2026 tillsynsbegäran.docx", "A 5290-2026")</f>
        <v/>
      </c>
      <c r="AB35">
        <f>HYPERLINK("https://klasma.github.io/Logging_2409/tillsynsmail/A 5290-2026 tillsynsbegäran mail.docx", "A 5290-2026")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46219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s="2" t="inlineStr">
        <is>
          <t>Tretåig hackspett
Spillkråka</t>
        </is>
      </c>
      <c r="V36">
        <f>HYPERLINK("https://klasma.github.io/Logging_2409/artfynd/A 41723-2024 artfynd.xlsx", "A 41723-2024")</f>
        <v/>
      </c>
      <c r="W36">
        <f>HYPERLINK("https://klasma.github.io/Logging_2409/kartor/A 41723-2024 karta.png", "A 41723-2024")</f>
        <v/>
      </c>
      <c r="Y36">
        <f>HYPERLINK("https://klasma.github.io/Logging_2409/klagomål/A 41723-2024 FSC-klagomål.docx", "A 41723-2024")</f>
        <v/>
      </c>
      <c r="Z36">
        <f>HYPERLINK("https://klasma.github.io/Logging_2409/klagomålsmail/A 41723-2024 FSC-klagomål mail.docx", "A 41723-2024")</f>
        <v/>
      </c>
      <c r="AA36">
        <f>HYPERLINK("https://klasma.github.io/Logging_2409/tillsyn/A 41723-2024 tillsynsbegäran.docx", "A 41723-2024")</f>
        <v/>
      </c>
      <c r="AB36">
        <f>HYPERLINK("https://klasma.github.io/Logging_2409/tillsynsmail/A 41723-2024 tillsynsbegäran mail.docx", "A 41723-2024")</f>
        <v/>
      </c>
      <c r="AC36">
        <f>HYPERLINK("https://klasma.github.io/Logging_2409/fåglar/A 41723-2024 prioriterade fågelarter.docx", "A 41723-2024")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46219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s="2" t="inlineStr">
        <is>
          <t>Tjäder
Orre</t>
        </is>
      </c>
      <c r="V37">
        <f>HYPERLINK("https://klasma.github.io/Logging_2409/artfynd/A 26204-2024 artfynd.xlsx", "A 26204-2024")</f>
        <v/>
      </c>
      <c r="W37">
        <f>HYPERLINK("https://klasma.github.io/Logging_2409/kartor/A 26204-2024 karta.png", "A 26204-2024")</f>
        <v/>
      </c>
      <c r="Y37">
        <f>HYPERLINK("https://klasma.github.io/Logging_2409/klagomål/A 26204-2024 FSC-klagomål.docx", "A 26204-2024")</f>
        <v/>
      </c>
      <c r="Z37">
        <f>HYPERLINK("https://klasma.github.io/Logging_2409/klagomålsmail/A 26204-2024 FSC-klagomål mail.docx", "A 26204-2024")</f>
        <v/>
      </c>
      <c r="AA37">
        <f>HYPERLINK("https://klasma.github.io/Logging_2409/tillsyn/A 26204-2024 tillsynsbegäran.docx", "A 26204-2024")</f>
        <v/>
      </c>
      <c r="AB37">
        <f>HYPERLINK("https://klasma.github.io/Logging_2409/tillsynsmail/A 26204-2024 tillsynsbegäran mail.docx", "A 26204-2024")</f>
        <v/>
      </c>
      <c r="AC37">
        <f>HYPERLINK("https://klasma.github.io/Logging_2409/fåglar/A 26204-2024 prioriterade fågelarter.docx", "A 26204-2024")</f>
        <v/>
      </c>
    </row>
    <row r="38" ht="15" customHeight="1">
      <c r="A38" t="inlineStr">
        <is>
          <t>A 26807-2026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46219</v>
      </c>
      <c r="F38" t="inlineStr">
        <is>
          <t>VÄSTERBOTTENS LÄN</t>
        </is>
      </c>
      <c r="G38" t="inlineStr">
        <is>
          <t>ROBERTSFORS</t>
        </is>
      </c>
      <c r="I38" t="n">
        <v>4.2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16</v>
      </c>
      <c r="U38" s="2" t="inlineStr">
        <is>
          <t>Garnlav
Tretåig hackspett</t>
        </is>
      </c>
      <c r="V38">
        <f>HYPERLINK("https://klasma.github.io/Logging_2409/artfynd/A 26807-2026 artfynd.xlsx", "A 26807-2026")</f>
        <v/>
      </c>
      <c r="W38">
        <f>HYPERLINK("https://klasma.github.io/Logging_2409/kartor/A 26807-2026 karta.png", "A 26807-2026")</f>
        <v/>
      </c>
      <c r="Y38">
        <f>HYPERLINK("https://klasma.github.io/Logging_2409/klagomål/A 26807-2026 FSC-klagomål.docx", "A 26807-2026")</f>
        <v/>
      </c>
      <c r="Z38">
        <f>HYPERLINK("https://klasma.github.io/Logging_2409/klagomålsmail/A 26807-2026 FSC-klagomål mail.docx", "A 26807-2026")</f>
        <v/>
      </c>
      <c r="AA38">
        <f>HYPERLINK("https://klasma.github.io/Logging_2409/tillsyn/A 26807-2026 tillsynsbegäran.docx", "A 26807-2026")</f>
        <v/>
      </c>
      <c r="AB38">
        <f>HYPERLINK("https://klasma.github.io/Logging_2409/tillsynsmail/A 26807-2026 tillsynsbegäran mail.docx", "A 26807-2026")</f>
        <v/>
      </c>
      <c r="AC38">
        <f>HYPERLINK("https://klasma.github.io/Logging_2409/fåglar/A 26807-2026 prioriterade fågelarter.docx", "A 26807-2026")</f>
        <v/>
      </c>
    </row>
    <row r="39" ht="15" customHeight="1">
      <c r="A39" t="inlineStr">
        <is>
          <t>S 2618-2022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44699</v>
      </c>
      <c r="E39" s="1" t="n">
        <v>46219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208.7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Backsvala
Orre</t>
        </is>
      </c>
      <c r="V39">
        <f>HYPERLINK("https://klasma.github.io/Logging_2409/artfynd/S 2618-2022 artfynd.xlsx", "S 2618-2022")</f>
        <v/>
      </c>
      <c r="W39">
        <f>HYPERLINK("https://klasma.github.io/Logging_2409/kartor/S 2618-2022 karta.png", "S 2618-2022")</f>
        <v/>
      </c>
      <c r="Y39">
        <f>HYPERLINK("https://klasma.github.io/Logging_2409/klagomål/S 2618-2022 FSC-klagomål.docx", "S 2618-2022")</f>
        <v/>
      </c>
      <c r="Z39">
        <f>HYPERLINK("https://klasma.github.io/Logging_2409/klagomålsmail/S 2618-2022 FSC-klagomål mail.docx", "S 2618-2022")</f>
        <v/>
      </c>
      <c r="AA39">
        <f>HYPERLINK("https://klasma.github.io/Logging_2409/tillsyn/S 2618-2022 tillsynsbegäran.docx", "S 2618-2022")</f>
        <v/>
      </c>
      <c r="AB39">
        <f>HYPERLINK("https://klasma.github.io/Logging_2409/tillsynsmail/S 2618-2022 tillsynsbegäran mail.docx", "S 2618-2022")</f>
        <v/>
      </c>
      <c r="AC39">
        <f>HYPERLINK("https://klasma.github.io/Logging_2409/fåglar/S 2618-2022 prioriterade fågelarter.docx", "S 2618-2022")</f>
        <v/>
      </c>
    </row>
    <row r="40" ht="15" customHeight="1">
      <c r="A40" t="inlineStr">
        <is>
          <t>S 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44559</v>
      </c>
      <c r="E40" s="1" t="n">
        <v>46219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134.7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Rödvingetrast
Revlummer</t>
        </is>
      </c>
      <c r="V40">
        <f>HYPERLINK("https://klasma.github.io/Logging_2409/artfynd/S 9-2022 artfynd.xlsx", "S 9-2022")</f>
        <v/>
      </c>
      <c r="W40">
        <f>HYPERLINK("https://klasma.github.io/Logging_2409/kartor/S 9-2022 karta.png", "S 9-2022")</f>
        <v/>
      </c>
      <c r="Y40">
        <f>HYPERLINK("https://klasma.github.io/Logging_2409/klagomål/S 9-2022 FSC-klagomål.docx", "S 9-2022")</f>
        <v/>
      </c>
      <c r="Z40">
        <f>HYPERLINK("https://klasma.github.io/Logging_2409/klagomålsmail/S 9-2022 FSC-klagomål mail.docx", "S 9-2022")</f>
        <v/>
      </c>
      <c r="AA40">
        <f>HYPERLINK("https://klasma.github.io/Logging_2409/tillsyn/S 9-2022 tillsynsbegäran.docx", "S 9-2022")</f>
        <v/>
      </c>
      <c r="AB40">
        <f>HYPERLINK("https://klasma.github.io/Logging_2409/tillsynsmail/S 9-2022 tillsynsbegäran mail.docx", "S 9-2022")</f>
        <v/>
      </c>
      <c r="AC40">
        <f>HYPERLINK("https://klasma.github.io/Logging_2409/fåglar/S 9-2022 prioriterade fågelarter.docx", "S 9-2022")</f>
        <v/>
      </c>
    </row>
    <row r="41" ht="15" customHeight="1">
      <c r="A41" t="inlineStr">
        <is>
          <t>A 36167-2022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46219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Sångsvan</t>
        </is>
      </c>
      <c r="V41">
        <f>HYPERLINK("https://klasma.github.io/Logging_2409/artfynd/A 36167-2022 artfynd.xlsx", "A 36167-2022")</f>
        <v/>
      </c>
      <c r="W41">
        <f>HYPERLINK("https://klasma.github.io/Logging_2409/kartor/A 36167-2022 karta.png", "A 36167-2022")</f>
        <v/>
      </c>
      <c r="Y41">
        <f>HYPERLINK("https://klasma.github.io/Logging_2409/klagomål/A 36167-2022 FSC-klagomål.docx", "A 36167-2022")</f>
        <v/>
      </c>
      <c r="Z41">
        <f>HYPERLINK("https://klasma.github.io/Logging_2409/klagomålsmail/A 36167-2022 FSC-klagomål mail.docx", "A 36167-2022")</f>
        <v/>
      </c>
      <c r="AA41">
        <f>HYPERLINK("https://klasma.github.io/Logging_2409/tillsyn/A 36167-2022 tillsynsbegäran.docx", "A 36167-2022")</f>
        <v/>
      </c>
      <c r="AB41">
        <f>HYPERLINK("https://klasma.github.io/Logging_2409/tillsynsmail/A 36167-2022 tillsynsbegäran mail.docx", "A 36167-2022")</f>
        <v/>
      </c>
      <c r="AC41">
        <f>HYPERLINK("https://klasma.github.io/Logging_2409/fåglar/A 36167-2022 prioriterade fågelarter.docx", "A 36167-2022")</f>
        <v/>
      </c>
    </row>
    <row r="42" ht="15" customHeight="1">
      <c r="A42" t="inlineStr">
        <is>
          <t>A 60833-2021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46219</v>
      </c>
      <c r="F42" t="inlineStr">
        <is>
          <t>VÄSTERBOTTENS LÄN</t>
        </is>
      </c>
      <c r="G42" t="inlineStr">
        <is>
          <t>ROBERTSFORS</t>
        </is>
      </c>
      <c r="I42" t="n">
        <v>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Stuplav</t>
        </is>
      </c>
      <c r="V42">
        <f>HYPERLINK("https://klasma.github.io/Logging_2409/artfynd/A 60833-2021 artfynd.xlsx", "A 60833-2021")</f>
        <v/>
      </c>
      <c r="W42">
        <f>HYPERLINK("https://klasma.github.io/Logging_2409/kartor/A 60833-2021 karta.png", "A 60833-2021")</f>
        <v/>
      </c>
      <c r="Y42">
        <f>HYPERLINK("https://klasma.github.io/Logging_2409/klagomål/A 60833-2021 FSC-klagomål.docx", "A 60833-2021")</f>
        <v/>
      </c>
      <c r="Z42">
        <f>HYPERLINK("https://klasma.github.io/Logging_2409/klagomålsmail/A 60833-2021 FSC-klagomål mail.docx", "A 60833-2021")</f>
        <v/>
      </c>
      <c r="AA42">
        <f>HYPERLINK("https://klasma.github.io/Logging_2409/tillsyn/A 60833-2021 tillsynsbegäran.docx", "A 60833-2021")</f>
        <v/>
      </c>
      <c r="AB42">
        <f>HYPERLINK("https://klasma.github.io/Logging_2409/tillsynsmail/A 60833-2021 tillsynsbegäran mail.docx", "A 60833-2021")</f>
        <v/>
      </c>
    </row>
    <row r="43" ht="15" customHeight="1">
      <c r="A43" t="inlineStr">
        <is>
          <t>A 32023-2024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45510</v>
      </c>
      <c r="E43" s="1" t="n">
        <v>46219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Dropptaggsvamp</t>
        </is>
      </c>
      <c r="V43">
        <f>HYPERLINK("https://klasma.github.io/Logging_2409/artfynd/A 32023-2024 artfynd.xlsx", "A 32023-2024")</f>
        <v/>
      </c>
      <c r="W43">
        <f>HYPERLINK("https://klasma.github.io/Logging_2409/kartor/A 32023-2024 karta.png", "A 32023-2024")</f>
        <v/>
      </c>
      <c r="Y43">
        <f>HYPERLINK("https://klasma.github.io/Logging_2409/klagomål/A 32023-2024 FSC-klagomål.docx", "A 32023-2024")</f>
        <v/>
      </c>
      <c r="Z43">
        <f>HYPERLINK("https://klasma.github.io/Logging_2409/klagomålsmail/A 32023-2024 FSC-klagomål mail.docx", "A 32023-2024")</f>
        <v/>
      </c>
      <c r="AA43">
        <f>HYPERLINK("https://klasma.github.io/Logging_2409/tillsyn/A 32023-2024 tillsynsbegäran.docx", "A 32023-2024")</f>
        <v/>
      </c>
      <c r="AB43">
        <f>HYPERLINK("https://klasma.github.io/Logging_2409/tillsynsmail/A 32023-2024 tillsynsbegäran mail.docx", "A 32023-2024")</f>
        <v/>
      </c>
    </row>
    <row r="44" ht="15" customHeight="1">
      <c r="A44" t="inlineStr">
        <is>
          <t>A 49086-2023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46219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8.300000000000001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Utter</t>
        </is>
      </c>
      <c r="V44">
        <f>HYPERLINK("https://klasma.github.io/Logging_2409/artfynd/A 49086-2023 artfynd.xlsx", "A 49086-2023")</f>
        <v/>
      </c>
      <c r="W44">
        <f>HYPERLINK("https://klasma.github.io/Logging_2409/kartor/A 49086-2023 karta.png", "A 49086-2023")</f>
        <v/>
      </c>
      <c r="Y44">
        <f>HYPERLINK("https://klasma.github.io/Logging_2409/klagomål/A 49086-2023 FSC-klagomål.docx", "A 49086-2023")</f>
        <v/>
      </c>
      <c r="Z44">
        <f>HYPERLINK("https://klasma.github.io/Logging_2409/klagomålsmail/A 49086-2023 FSC-klagomål mail.docx", "A 49086-2023")</f>
        <v/>
      </c>
      <c r="AA44">
        <f>HYPERLINK("https://klasma.github.io/Logging_2409/tillsyn/A 49086-2023 tillsynsbegäran.docx", "A 49086-2023")</f>
        <v/>
      </c>
      <c r="AB44">
        <f>HYPERLINK("https://klasma.github.io/Logging_2409/tillsynsmail/A 49086-2023 tillsynsbegäran mail.docx", "A 49086-2023")</f>
        <v/>
      </c>
    </row>
    <row r="45" ht="15" customHeight="1">
      <c r="A45" t="inlineStr">
        <is>
          <t>A 57270-2023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46219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Tallticka</t>
        </is>
      </c>
      <c r="V45">
        <f>HYPERLINK("https://klasma.github.io/Logging_2409/artfynd/A 57270-2023 artfynd.xlsx", "A 57270-2023")</f>
        <v/>
      </c>
      <c r="W45">
        <f>HYPERLINK("https://klasma.github.io/Logging_2409/kartor/A 57270-2023 karta.png", "A 57270-2023")</f>
        <v/>
      </c>
      <c r="Y45">
        <f>HYPERLINK("https://klasma.github.io/Logging_2409/klagomål/A 57270-2023 FSC-klagomål.docx", "A 57270-2023")</f>
        <v/>
      </c>
      <c r="Z45">
        <f>HYPERLINK("https://klasma.github.io/Logging_2409/klagomålsmail/A 57270-2023 FSC-klagomål mail.docx", "A 57270-2023")</f>
        <v/>
      </c>
      <c r="AA45">
        <f>HYPERLINK("https://klasma.github.io/Logging_2409/tillsyn/A 57270-2023 tillsynsbegäran.docx", "A 57270-2023")</f>
        <v/>
      </c>
      <c r="AB45">
        <f>HYPERLINK("https://klasma.github.io/Logging_2409/tillsynsmail/A 57270-2023 tillsynsbegäran mail.docx", "A 57270-2023")</f>
        <v/>
      </c>
    </row>
    <row r="46" ht="15" customHeight="1">
      <c r="A46" t="inlineStr">
        <is>
          <t>A 38777-2023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45163</v>
      </c>
      <c r="E46" s="1" t="n">
        <v>46219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Talltita</t>
        </is>
      </c>
      <c r="V46">
        <f>HYPERLINK("https://klasma.github.io/Logging_2409/artfynd/A 38777-2023 artfynd.xlsx", "A 38777-2023")</f>
        <v/>
      </c>
      <c r="W46">
        <f>HYPERLINK("https://klasma.github.io/Logging_2409/kartor/A 38777-2023 karta.png", "A 38777-2023")</f>
        <v/>
      </c>
      <c r="Y46">
        <f>HYPERLINK("https://klasma.github.io/Logging_2409/klagomål/A 38777-2023 FSC-klagomål.docx", "A 38777-2023")</f>
        <v/>
      </c>
      <c r="Z46">
        <f>HYPERLINK("https://klasma.github.io/Logging_2409/klagomålsmail/A 38777-2023 FSC-klagomål mail.docx", "A 38777-2023")</f>
        <v/>
      </c>
      <c r="AA46">
        <f>HYPERLINK("https://klasma.github.io/Logging_2409/tillsyn/A 38777-2023 tillsynsbegäran.docx", "A 38777-2023")</f>
        <v/>
      </c>
      <c r="AB46">
        <f>HYPERLINK("https://klasma.github.io/Logging_2409/tillsynsmail/A 38777-2023 tillsynsbegäran mail.docx", "A 38777-2023")</f>
        <v/>
      </c>
      <c r="AC46">
        <f>HYPERLINK("https://klasma.github.io/Logging_2409/fåglar/A 38777-2023 prioriterade fågelarter.docx", "A 38777-2023")</f>
        <v/>
      </c>
    </row>
    <row r="47" ht="15" customHeight="1">
      <c r="A47" t="inlineStr">
        <is>
          <t>A 41767-2023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46219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0.8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Nordfladdermus</t>
        </is>
      </c>
      <c r="V47">
        <f>HYPERLINK("https://klasma.github.io/Logging_2409/artfynd/A 41767-2023 artfynd.xlsx", "A 41767-2023")</f>
        <v/>
      </c>
      <c r="W47">
        <f>HYPERLINK("https://klasma.github.io/Logging_2409/kartor/A 41767-2023 karta.png", "A 41767-2023")</f>
        <v/>
      </c>
      <c r="Y47">
        <f>HYPERLINK("https://klasma.github.io/Logging_2409/klagomål/A 41767-2023 FSC-klagomål.docx", "A 41767-2023")</f>
        <v/>
      </c>
      <c r="Z47">
        <f>HYPERLINK("https://klasma.github.io/Logging_2409/klagomålsmail/A 41767-2023 FSC-klagomål mail.docx", "A 41767-2023")</f>
        <v/>
      </c>
      <c r="AA47">
        <f>HYPERLINK("https://klasma.github.io/Logging_2409/tillsyn/A 41767-2023 tillsynsbegäran.docx", "A 41767-2023")</f>
        <v/>
      </c>
      <c r="AB47">
        <f>HYPERLINK("https://klasma.github.io/Logging_2409/tillsynsmail/A 41767-2023 tillsynsbegäran mail.docx", "A 41767-2023")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46219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Fiskgjuse</t>
        </is>
      </c>
      <c r="V48">
        <f>HYPERLINK("https://klasma.github.io/Logging_2409/artfynd/A 40600-2022 artfynd.xlsx", "A 40600-2022")</f>
        <v/>
      </c>
      <c r="W48">
        <f>HYPERLINK("https://klasma.github.io/Logging_2409/kartor/A 40600-2022 karta.png", "A 40600-2022")</f>
        <v/>
      </c>
      <c r="Y48">
        <f>HYPERLINK("https://klasma.github.io/Logging_2409/klagomål/A 40600-2022 FSC-klagomål.docx", "A 40600-2022")</f>
        <v/>
      </c>
      <c r="Z48">
        <f>HYPERLINK("https://klasma.github.io/Logging_2409/klagomålsmail/A 40600-2022 FSC-klagomål mail.docx", "A 40600-2022")</f>
        <v/>
      </c>
      <c r="AA48">
        <f>HYPERLINK("https://klasma.github.io/Logging_2409/tillsyn/A 40600-2022 tillsynsbegäran.docx", "A 40600-2022")</f>
        <v/>
      </c>
      <c r="AB48">
        <f>HYPERLINK("https://klasma.github.io/Logging_2409/tillsynsmail/A 40600-2022 tillsynsbegäran mail.docx", "A 40600-2022")</f>
        <v/>
      </c>
      <c r="AC48">
        <f>HYPERLINK("https://klasma.github.io/Logging_2409/fåglar/A 40600-2022 prioriterade fågelarter.docx", "A 40600-2022")</f>
        <v/>
      </c>
    </row>
    <row r="49" ht="15" customHeight="1">
      <c r="A49" t="inlineStr">
        <is>
          <t>A 54484-2023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45233</v>
      </c>
      <c r="E49" s="1" t="n">
        <v>46219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s="2" t="inlineStr">
        <is>
          <t>Dropptaggsvamp</t>
        </is>
      </c>
      <c r="V49">
        <f>HYPERLINK("https://klasma.github.io/Logging_2409/artfynd/A 54484-2023 artfynd.xlsx", "A 54484-2023")</f>
        <v/>
      </c>
      <c r="W49">
        <f>HYPERLINK("https://klasma.github.io/Logging_2409/kartor/A 54484-2023 karta.png", "A 54484-2023")</f>
        <v/>
      </c>
      <c r="Y49">
        <f>HYPERLINK("https://klasma.github.io/Logging_2409/klagomål/A 54484-2023 FSC-klagomål.docx", "A 54484-2023")</f>
        <v/>
      </c>
      <c r="Z49">
        <f>HYPERLINK("https://klasma.github.io/Logging_2409/klagomålsmail/A 54484-2023 FSC-klagomål mail.docx", "A 54484-2023")</f>
        <v/>
      </c>
      <c r="AA49">
        <f>HYPERLINK("https://klasma.github.io/Logging_2409/tillsyn/A 54484-2023 tillsynsbegäran.docx", "A 54484-2023")</f>
        <v/>
      </c>
      <c r="AB49">
        <f>HYPERLINK("https://klasma.github.io/Logging_2409/tillsynsmail/A 54484-2023 tillsynsbegäran mail.docx", "A 54484-2023")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46219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Garnlav</t>
        </is>
      </c>
      <c r="V50">
        <f>HYPERLINK("https://klasma.github.io/Logging_2409/artfynd/A 35497-2023 artfynd.xlsx", "A 35497-2023")</f>
        <v/>
      </c>
      <c r="W50">
        <f>HYPERLINK("https://klasma.github.io/Logging_2409/kartor/A 35497-2023 karta.png", "A 35497-2023")</f>
        <v/>
      </c>
      <c r="Y50">
        <f>HYPERLINK("https://klasma.github.io/Logging_2409/klagomål/A 35497-2023 FSC-klagomål.docx", "A 35497-2023")</f>
        <v/>
      </c>
      <c r="Z50">
        <f>HYPERLINK("https://klasma.github.io/Logging_2409/klagomålsmail/A 35497-2023 FSC-klagomål mail.docx", "A 35497-2023")</f>
        <v/>
      </c>
      <c r="AA50">
        <f>HYPERLINK("https://klasma.github.io/Logging_2409/tillsyn/A 35497-2023 tillsynsbegäran.docx", "A 35497-2023")</f>
        <v/>
      </c>
      <c r="AB50">
        <f>HYPERLINK("https://klasma.github.io/Logging_2409/tillsynsmail/A 35497-2023 tillsynsbegäran mail.docx", "A 35497-2023")</f>
        <v/>
      </c>
    </row>
    <row r="51" ht="15" customHeight="1">
      <c r="A51" t="inlineStr">
        <is>
          <t>A 29583-2026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46204</v>
      </c>
      <c r="E51" s="1" t="n">
        <v>46219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SCA</t>
        </is>
      </c>
      <c r="I51" t="n">
        <v>1.6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Björksplintborre</t>
        </is>
      </c>
      <c r="V51">
        <f>HYPERLINK("https://klasma.github.io/Logging_2409/artfynd/A 29583-2026 artfynd.xlsx", "A 29583-2026")</f>
        <v/>
      </c>
      <c r="W51">
        <f>HYPERLINK("https://klasma.github.io/Logging_2409/kartor/A 29583-2026 karta.png", "A 29583-2026")</f>
        <v/>
      </c>
      <c r="Y51">
        <f>HYPERLINK("https://klasma.github.io/Logging_2409/klagomål/A 29583-2026 FSC-klagomål.docx", "A 29583-2026")</f>
        <v/>
      </c>
      <c r="Z51">
        <f>HYPERLINK("https://klasma.github.io/Logging_2409/klagomålsmail/A 29583-2026 FSC-klagomål mail.docx", "A 29583-2026")</f>
        <v/>
      </c>
      <c r="AA51">
        <f>HYPERLINK("https://klasma.github.io/Logging_2409/tillsyn/A 29583-2026 tillsynsbegäran.docx", "A 29583-2026")</f>
        <v/>
      </c>
      <c r="AB51">
        <f>HYPERLINK("https://klasma.github.io/Logging_2409/tillsynsmail/A 29583-2026 tillsynsbegäran mail.docx", "A 29583-2026")</f>
        <v/>
      </c>
    </row>
    <row r="52" ht="15" customHeight="1">
      <c r="A52" t="inlineStr">
        <is>
          <t>A 52723-2025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46219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Orre</t>
        </is>
      </c>
      <c r="V52">
        <f>HYPERLINK("https://klasma.github.io/Logging_2409/artfynd/A 52723-2025 artfynd.xlsx", "A 52723-2025")</f>
        <v/>
      </c>
      <c r="W52">
        <f>HYPERLINK("https://klasma.github.io/Logging_2409/kartor/A 52723-2025 karta.png", "A 52723-2025")</f>
        <v/>
      </c>
      <c r="Y52">
        <f>HYPERLINK("https://klasma.github.io/Logging_2409/klagomål/A 52723-2025 FSC-klagomål.docx", "A 52723-2025")</f>
        <v/>
      </c>
      <c r="Z52">
        <f>HYPERLINK("https://klasma.github.io/Logging_2409/klagomålsmail/A 52723-2025 FSC-klagomål mail.docx", "A 52723-2025")</f>
        <v/>
      </c>
      <c r="AA52">
        <f>HYPERLINK("https://klasma.github.io/Logging_2409/tillsyn/A 52723-2025 tillsynsbegäran.docx", "A 52723-2025")</f>
        <v/>
      </c>
      <c r="AB52">
        <f>HYPERLINK("https://klasma.github.io/Logging_2409/tillsynsmail/A 52723-2025 tillsynsbegäran mail.docx", "A 52723-2025")</f>
        <v/>
      </c>
      <c r="AC52">
        <f>HYPERLINK("https://klasma.github.io/Logging_2409/fåglar/A 52723-2025 prioriterade fågelarter.docx", "A 52723-2025")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46219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HYPERLINK("https://klasma.github.io/Logging_2409/artfynd/A 32876-2023 artfynd.xlsx", "A 32876-2023")</f>
        <v/>
      </c>
      <c r="W53">
        <f>HYPERLINK("https://klasma.github.io/Logging_2409/kartor/A 32876-2023 karta.png", "A 32876-2023")</f>
        <v/>
      </c>
      <c r="Y53">
        <f>HYPERLINK("https://klasma.github.io/Logging_2409/klagomål/A 32876-2023 FSC-klagomål.docx", "A 32876-2023")</f>
        <v/>
      </c>
      <c r="Z53">
        <f>HYPERLINK("https://klasma.github.io/Logging_2409/klagomålsmail/A 32876-2023 FSC-klagomål mail.docx", "A 32876-2023")</f>
        <v/>
      </c>
      <c r="AA53">
        <f>HYPERLINK("https://klasma.github.io/Logging_2409/tillsyn/A 32876-2023 tillsynsbegäran.docx", "A 32876-2023")</f>
        <v/>
      </c>
      <c r="AB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46219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Tallkötticka</t>
        </is>
      </c>
      <c r="V54">
        <f>HYPERLINK("https://klasma.github.io/Logging_2409/artfynd/A 36703-2023 artfynd.xlsx", "A 36703-2023")</f>
        <v/>
      </c>
      <c r="W54">
        <f>HYPERLINK("https://klasma.github.io/Logging_2409/kartor/A 36703-2023 karta.png", "A 36703-2023")</f>
        <v/>
      </c>
      <c r="Y54">
        <f>HYPERLINK("https://klasma.github.io/Logging_2409/klagomål/A 36703-2023 FSC-klagomål.docx", "A 36703-2023")</f>
        <v/>
      </c>
      <c r="Z54">
        <f>HYPERLINK("https://klasma.github.io/Logging_2409/klagomålsmail/A 36703-2023 FSC-klagomål mail.docx", "A 36703-2023")</f>
        <v/>
      </c>
      <c r="AA54">
        <f>HYPERLINK("https://klasma.github.io/Logging_2409/tillsyn/A 36703-2023 tillsynsbegäran.docx", "A 36703-2023")</f>
        <v/>
      </c>
      <c r="AB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46219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Blå kärrhök</t>
        </is>
      </c>
      <c r="V55">
        <f>HYPERLINK("https://klasma.github.io/Logging_2409/artfynd/A 57653-2024 artfynd.xlsx", "A 57653-2024")</f>
        <v/>
      </c>
      <c r="W55">
        <f>HYPERLINK("https://klasma.github.io/Logging_2409/kartor/A 57653-2024 karta.png", "A 57653-2024")</f>
        <v/>
      </c>
      <c r="Y55">
        <f>HYPERLINK("https://klasma.github.io/Logging_2409/klagomål/A 57653-2024 FSC-klagomål.docx", "A 57653-2024")</f>
        <v/>
      </c>
      <c r="Z55">
        <f>HYPERLINK("https://klasma.github.io/Logging_2409/klagomålsmail/A 57653-2024 FSC-klagomål mail.docx", "A 57653-2024")</f>
        <v/>
      </c>
      <c r="AA55">
        <f>HYPERLINK("https://klasma.github.io/Logging_2409/tillsyn/A 57653-2024 tillsynsbegäran.docx", "A 57653-2024")</f>
        <v/>
      </c>
      <c r="AB55">
        <f>HYPERLINK("https://klasma.github.io/Logging_2409/tillsynsmail/A 57653-2024 tillsynsbegäran mail.docx", "A 57653-2024")</f>
        <v/>
      </c>
      <c r="AC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46219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HYPERLINK("https://klasma.github.io/Logging_2409/artfynd/A 8753-2025 artfynd.xlsx", "A 8753-2025")</f>
        <v/>
      </c>
      <c r="W56">
        <f>HYPERLINK("https://klasma.github.io/Logging_2409/kartor/A 8753-2025 karta.png", "A 8753-2025")</f>
        <v/>
      </c>
      <c r="Y56">
        <f>HYPERLINK("https://klasma.github.io/Logging_2409/klagomål/A 8753-2025 FSC-klagomål.docx", "A 8753-2025")</f>
        <v/>
      </c>
      <c r="Z56">
        <f>HYPERLINK("https://klasma.github.io/Logging_2409/klagomålsmail/A 8753-2025 FSC-klagomål mail.docx", "A 8753-2025")</f>
        <v/>
      </c>
      <c r="AA56">
        <f>HYPERLINK("https://klasma.github.io/Logging_2409/tillsyn/A 8753-2025 tillsynsbegäran.docx", "A 8753-2025")</f>
        <v/>
      </c>
      <c r="AB56">
        <f>HYPERLINK("https://klasma.github.io/Logging_2409/tillsynsmail/A 8753-2025 tillsynsbegäran mail.docx", "A 8753-2025")</f>
        <v/>
      </c>
    </row>
    <row r="57" ht="15" customHeight="1">
      <c r="A57" t="inlineStr">
        <is>
          <t>A 5285-2026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46219</v>
      </c>
      <c r="F57" t="inlineStr">
        <is>
          <t>VÄSTERBOTTENS LÄN</t>
        </is>
      </c>
      <c r="G57" t="inlineStr">
        <is>
          <t>ROBERTSFORS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Tjäder</t>
        </is>
      </c>
      <c r="V57">
        <f>HYPERLINK("https://klasma.github.io/Logging_2409/artfynd/A 5285-2026 artfynd.xlsx", "A 5285-2026")</f>
        <v/>
      </c>
      <c r="W57">
        <f>HYPERLINK("https://klasma.github.io/Logging_2409/kartor/A 5285-2026 karta.png", "A 5285-2026")</f>
        <v/>
      </c>
      <c r="Y57">
        <f>HYPERLINK("https://klasma.github.io/Logging_2409/klagomål/A 5285-2026 FSC-klagomål.docx", "A 5285-2026")</f>
        <v/>
      </c>
      <c r="Z57">
        <f>HYPERLINK("https://klasma.github.io/Logging_2409/klagomålsmail/A 5285-2026 FSC-klagomål mail.docx", "A 5285-2026")</f>
        <v/>
      </c>
      <c r="AA57">
        <f>HYPERLINK("https://klasma.github.io/Logging_2409/tillsyn/A 5285-2026 tillsynsbegäran.docx", "A 5285-2026")</f>
        <v/>
      </c>
      <c r="AB57">
        <f>HYPERLINK("https://klasma.github.io/Logging_2409/tillsynsmail/A 5285-2026 tillsynsbegäran mail.docx", "A 5285-2026")</f>
        <v/>
      </c>
      <c r="AC57">
        <f>HYPERLINK("https://klasma.github.io/Logging_2409/fåglar/A 5285-2026 prioriterade fågelarter.docx", "A 5285-2026")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46219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HYPERLINK("https://klasma.github.io/Logging_2409/artfynd/A 5284-2026 artfynd.xlsx", "A 5284-2026")</f>
        <v/>
      </c>
      <c r="W58">
        <f>HYPERLINK("https://klasma.github.io/Logging_2409/kartor/A 5284-2026 karta.png", "A 5284-2026")</f>
        <v/>
      </c>
      <c r="Y58">
        <f>HYPERLINK("https://klasma.github.io/Logging_2409/klagomål/A 5284-2026 FSC-klagomål.docx", "A 5284-2026")</f>
        <v/>
      </c>
      <c r="Z58">
        <f>HYPERLINK("https://klasma.github.io/Logging_2409/klagomålsmail/A 5284-2026 FSC-klagomål mail.docx", "A 5284-2026")</f>
        <v/>
      </c>
      <c r="AA58">
        <f>HYPERLINK("https://klasma.github.io/Logging_2409/tillsyn/A 5284-2026 tillsynsbegäran.docx", "A 5284-2026")</f>
        <v/>
      </c>
      <c r="AB58">
        <f>HYPERLINK("https://klasma.github.io/Logging_2409/tillsynsmail/A 5284-2026 tillsynsbegäran mail.docx", "A 5284-2026")</f>
        <v/>
      </c>
      <c r="AC58">
        <f>HYPERLINK("https://klasma.github.io/Logging_2409/fåglar/A 5284-2026 prioriterade fågelarter.docx", "A 5284-2026")</f>
        <v/>
      </c>
    </row>
    <row r="59" ht="15" customHeight="1">
      <c r="A59" t="inlineStr">
        <is>
          <t>A 5289-2026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46219</v>
      </c>
      <c r="F59" t="inlineStr">
        <is>
          <t>VÄSTERBOTTENS LÄN</t>
        </is>
      </c>
      <c r="G59" t="inlineStr">
        <is>
          <t>ROBERTSFORS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Björktrast</t>
        </is>
      </c>
      <c r="V59">
        <f>HYPERLINK("https://klasma.github.io/Logging_2409/artfynd/A 5289-2026 artfynd.xlsx", "A 5289-2026")</f>
        <v/>
      </c>
      <c r="W59">
        <f>HYPERLINK("https://klasma.github.io/Logging_2409/kartor/A 5289-2026 karta.png", "A 5289-2026")</f>
        <v/>
      </c>
      <c r="Y59">
        <f>HYPERLINK("https://klasma.github.io/Logging_2409/klagomål/A 5289-2026 FSC-klagomål.docx", "A 5289-2026")</f>
        <v/>
      </c>
      <c r="Z59">
        <f>HYPERLINK("https://klasma.github.io/Logging_2409/klagomålsmail/A 5289-2026 FSC-klagomål mail.docx", "A 5289-2026")</f>
        <v/>
      </c>
      <c r="AA59">
        <f>HYPERLINK("https://klasma.github.io/Logging_2409/tillsyn/A 5289-2026 tillsynsbegäran.docx", "A 5289-2026")</f>
        <v/>
      </c>
      <c r="AB59">
        <f>HYPERLINK("https://klasma.github.io/Logging_2409/tillsynsmail/A 5289-2026 tillsynsbegäran mail.docx", "A 5289-2026")</f>
        <v/>
      </c>
      <c r="AC59">
        <f>HYPERLINK("https://klasma.github.io/Logging_2409/fåglar/A 5289-2026 prioriterade fågelarter.docx", "A 5289-2026")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46219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HYPERLINK("https://klasma.github.io/Logging_2409/artfynd/A 57284-2023 artfynd.xlsx", "A 57284-2023")</f>
        <v/>
      </c>
      <c r="W60">
        <f>HYPERLINK("https://klasma.github.io/Logging_2409/kartor/A 57284-2023 karta.png", "A 57284-2023")</f>
        <v/>
      </c>
      <c r="Y60">
        <f>HYPERLINK("https://klasma.github.io/Logging_2409/klagomål/A 57284-2023 FSC-klagomål.docx", "A 57284-2023")</f>
        <v/>
      </c>
      <c r="Z60">
        <f>HYPERLINK("https://klasma.github.io/Logging_2409/klagomålsmail/A 57284-2023 FSC-klagomål mail.docx", "A 57284-2023")</f>
        <v/>
      </c>
      <c r="AA60">
        <f>HYPERLINK("https://klasma.github.io/Logging_2409/tillsyn/A 57284-2023 tillsynsbegäran.docx", "A 57284-2023")</f>
        <v/>
      </c>
      <c r="AB60">
        <f>HYPERLINK("https://klasma.github.io/Logging_2409/tillsynsmail/A 57284-2023 tillsynsbegäran mail.docx", "A 57284-2023")</f>
        <v/>
      </c>
    </row>
    <row r="61" ht="15" customHeight="1">
      <c r="A61" t="inlineStr">
        <is>
          <t>A 30344-2025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46219</v>
      </c>
      <c r="F61" t="inlineStr">
        <is>
          <t>VÄSTERBOTTENS LÄN</t>
        </is>
      </c>
      <c r="G61" t="inlineStr">
        <is>
          <t>ROBERTSFORS</t>
        </is>
      </c>
      <c r="I61" t="n">
        <v>22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Järpe</t>
        </is>
      </c>
      <c r="V61">
        <f>HYPERLINK("https://klasma.github.io/Logging_2409/artfynd/A 30344-2025 artfynd.xlsx", "A 30344-2025")</f>
        <v/>
      </c>
      <c r="W61">
        <f>HYPERLINK("https://klasma.github.io/Logging_2409/kartor/A 30344-2025 karta.png", "A 30344-2025")</f>
        <v/>
      </c>
      <c r="Y61">
        <f>HYPERLINK("https://klasma.github.io/Logging_2409/klagomål/A 30344-2025 FSC-klagomål.docx", "A 30344-2025")</f>
        <v/>
      </c>
      <c r="Z61">
        <f>HYPERLINK("https://klasma.github.io/Logging_2409/klagomålsmail/A 30344-2025 FSC-klagomål mail.docx", "A 30344-2025")</f>
        <v/>
      </c>
      <c r="AA61">
        <f>HYPERLINK("https://klasma.github.io/Logging_2409/tillsyn/A 30344-2025 tillsynsbegäran.docx", "A 30344-2025")</f>
        <v/>
      </c>
      <c r="AB61">
        <f>HYPERLINK("https://klasma.github.io/Logging_2409/tillsynsmail/A 30344-2025 tillsynsbegäran mail.docx", "A 30344-2025")</f>
        <v/>
      </c>
      <c r="AC61">
        <f>HYPERLINK("https://klasma.github.io/Logging_2409/fåglar/A 30344-2025 prioriterade fågelarter.docx", "A 30344-2025")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46219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Tretåig hackspett</t>
        </is>
      </c>
      <c r="V62">
        <f>HYPERLINK("https://klasma.github.io/Logging_2409/artfynd/A 5969-2025 artfynd.xlsx", "A 5969-2025")</f>
        <v/>
      </c>
      <c r="W62">
        <f>HYPERLINK("https://klasma.github.io/Logging_2409/kartor/A 5969-2025 karta.png", "A 5969-2025")</f>
        <v/>
      </c>
      <c r="Y62">
        <f>HYPERLINK("https://klasma.github.io/Logging_2409/klagomål/A 5969-2025 FSC-klagomål.docx", "A 5969-2025")</f>
        <v/>
      </c>
      <c r="Z62">
        <f>HYPERLINK("https://klasma.github.io/Logging_2409/klagomålsmail/A 5969-2025 FSC-klagomål mail.docx", "A 5969-2025")</f>
        <v/>
      </c>
      <c r="AA62">
        <f>HYPERLINK("https://klasma.github.io/Logging_2409/tillsyn/A 5969-2025 tillsynsbegäran.docx", "A 5969-2025")</f>
        <v/>
      </c>
      <c r="AB62">
        <f>HYPERLINK("https://klasma.github.io/Logging_2409/tillsynsmail/A 5969-2025 tillsynsbegäran mail.docx", "A 5969-2025")</f>
        <v/>
      </c>
      <c r="AC62">
        <f>HYPERLINK("https://klasma.github.io/Logging_2409/fåglar/A 5969-2025 prioriterade fågelarter.docx", "A 5969-2025")</f>
        <v/>
      </c>
    </row>
    <row r="63" ht="15" customHeight="1">
      <c r="A63" t="inlineStr">
        <is>
          <t>A 32263-2025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45835</v>
      </c>
      <c r="E63" s="1" t="n">
        <v>46219</v>
      </c>
      <c r="F63" t="inlineStr">
        <is>
          <t>VÄSTERBOTTENS LÄN</t>
        </is>
      </c>
      <c r="G63" t="inlineStr">
        <is>
          <t>ROBERTSFORS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Gullviva</t>
        </is>
      </c>
      <c r="V63">
        <f>HYPERLINK("https://klasma.github.io/Logging_2409/artfynd/A 32263-2025 artfynd.xlsx", "A 32263-2025")</f>
        <v/>
      </c>
      <c r="W63">
        <f>HYPERLINK("https://klasma.github.io/Logging_2409/kartor/A 32263-2025 karta.png", "A 32263-2025")</f>
        <v/>
      </c>
      <c r="Y63">
        <f>HYPERLINK("https://klasma.github.io/Logging_2409/klagomål/A 32263-2025 FSC-klagomål.docx", "A 32263-2025")</f>
        <v/>
      </c>
      <c r="Z63">
        <f>HYPERLINK("https://klasma.github.io/Logging_2409/klagomålsmail/A 32263-2025 FSC-klagomål mail.docx", "A 32263-2025")</f>
        <v/>
      </c>
      <c r="AA63">
        <f>HYPERLINK("https://klasma.github.io/Logging_2409/tillsyn/A 32263-2025 tillsynsbegäran.docx", "A 32263-2025")</f>
        <v/>
      </c>
      <c r="AB63">
        <f>HYPERLINK("https://klasma.github.io/Logging_2409/tillsynsmail/A 32263-2025 tillsynsbegäran mail.docx", "A 32263-2025")</f>
        <v/>
      </c>
    </row>
    <row r="64" ht="15" customHeight="1">
      <c r="A64" t="inlineStr">
        <is>
          <t>A 42891-2023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45182</v>
      </c>
      <c r="E64" s="1" t="n">
        <v>46219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Garnlav</t>
        </is>
      </c>
      <c r="V64">
        <f>HYPERLINK("https://klasma.github.io/Logging_2409/artfynd/A 42891-2023 artfynd.xlsx", "A 42891-2023")</f>
        <v/>
      </c>
      <c r="W64">
        <f>HYPERLINK("https://klasma.github.io/Logging_2409/kartor/A 42891-2023 karta.png", "A 42891-2023")</f>
        <v/>
      </c>
      <c r="Y64">
        <f>HYPERLINK("https://klasma.github.io/Logging_2409/klagomål/A 42891-2023 FSC-klagomål.docx", "A 42891-2023")</f>
        <v/>
      </c>
      <c r="Z64">
        <f>HYPERLINK("https://klasma.github.io/Logging_2409/klagomålsmail/A 42891-2023 FSC-klagomål mail.docx", "A 42891-2023")</f>
        <v/>
      </c>
      <c r="AA64">
        <f>HYPERLINK("https://klasma.github.io/Logging_2409/tillsyn/A 42891-2023 tillsynsbegäran.docx", "A 42891-2023")</f>
        <v/>
      </c>
      <c r="AB64">
        <f>HYPERLINK("https://klasma.github.io/Logging_2409/tillsynsmail/A 42891-2023 tillsynsbegäran mail.docx", "A 42891-2023")</f>
        <v/>
      </c>
    </row>
    <row r="65" ht="15" customHeight="1">
      <c r="A65" t="inlineStr">
        <is>
          <t>A 35551-2025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45856</v>
      </c>
      <c r="E65" s="1" t="n">
        <v>46219</v>
      </c>
      <c r="F65" t="inlineStr">
        <is>
          <t>VÄSTERBOTTENS LÄN</t>
        </is>
      </c>
      <c r="G65" t="inlineStr">
        <is>
          <t>ROBERTSFORS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Tjäder</t>
        </is>
      </c>
      <c r="V65">
        <f>HYPERLINK("https://klasma.github.io/Logging_2409/artfynd/A 35551-2025 artfynd.xlsx", "A 35551-2025")</f>
        <v/>
      </c>
      <c r="W65">
        <f>HYPERLINK("https://klasma.github.io/Logging_2409/kartor/A 35551-2025 karta.png", "A 35551-2025")</f>
        <v/>
      </c>
      <c r="Y65">
        <f>HYPERLINK("https://klasma.github.io/Logging_2409/klagomål/A 35551-2025 FSC-klagomål.docx", "A 35551-2025")</f>
        <v/>
      </c>
      <c r="Z65">
        <f>HYPERLINK("https://klasma.github.io/Logging_2409/klagomålsmail/A 35551-2025 FSC-klagomål mail.docx", "A 35551-2025")</f>
        <v/>
      </c>
      <c r="AA65">
        <f>HYPERLINK("https://klasma.github.io/Logging_2409/tillsyn/A 35551-2025 tillsynsbegäran.docx", "A 35551-2025")</f>
        <v/>
      </c>
      <c r="AB65">
        <f>HYPERLINK("https://klasma.github.io/Logging_2409/tillsynsmail/A 35551-2025 tillsynsbegäran mail.docx", "A 35551-2025")</f>
        <v/>
      </c>
      <c r="AC65">
        <f>HYPERLINK("https://klasma.github.io/Logging_2409/fåglar/A 35551-2025 prioriterade fågelarter.docx", "A 35551-2025")</f>
        <v/>
      </c>
    </row>
    <row r="66" ht="15" customHeight="1">
      <c r="A66" t="inlineStr">
        <is>
          <t>A 34007-2025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45844</v>
      </c>
      <c r="E66" s="1" t="n">
        <v>46219</v>
      </c>
      <c r="F66" t="inlineStr">
        <is>
          <t>VÄSTERBOTTENS LÄN</t>
        </is>
      </c>
      <c r="G66" t="inlineStr">
        <is>
          <t>ROBERTSFORS</t>
        </is>
      </c>
      <c r="I66" t="n">
        <v>1.3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s="2" t="inlineStr">
        <is>
          <t>Harticka</t>
        </is>
      </c>
      <c r="V66">
        <f>HYPERLINK("https://klasma.github.io/Logging_2409/artfynd/A 34007-2025 artfynd.xlsx", "A 34007-2025")</f>
        <v/>
      </c>
      <c r="W66">
        <f>HYPERLINK("https://klasma.github.io/Logging_2409/kartor/A 34007-2025 karta.png", "A 34007-2025")</f>
        <v/>
      </c>
      <c r="Y66">
        <f>HYPERLINK("https://klasma.github.io/Logging_2409/klagomål/A 34007-2025 FSC-klagomål.docx", "A 34007-2025")</f>
        <v/>
      </c>
      <c r="Z66">
        <f>HYPERLINK("https://klasma.github.io/Logging_2409/klagomålsmail/A 34007-2025 FSC-klagomål mail.docx", "A 34007-2025")</f>
        <v/>
      </c>
      <c r="AA66">
        <f>HYPERLINK("https://klasma.github.io/Logging_2409/tillsyn/A 34007-2025 tillsynsbegäran.docx", "A 34007-2025")</f>
        <v/>
      </c>
      <c r="AB66">
        <f>HYPERLINK("https://klasma.github.io/Logging_2409/tillsynsmail/A 34007-2025 tillsynsbegäran mail.docx", "A 34007-2025")</f>
        <v/>
      </c>
    </row>
    <row r="67" ht="15" customHeight="1">
      <c r="A67" t="inlineStr">
        <is>
          <t>A 10145-2025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45719</v>
      </c>
      <c r="E67" s="1" t="n">
        <v>46219</v>
      </c>
      <c r="F67" t="inlineStr">
        <is>
          <t>VÄSTERBOTTENS LÄN</t>
        </is>
      </c>
      <c r="G67" t="inlineStr">
        <is>
          <t>ROBERTSFORS</t>
        </is>
      </c>
      <c r="I67" t="n">
        <v>5.3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Fläcknycklar</t>
        </is>
      </c>
      <c r="V67">
        <f>HYPERLINK("https://klasma.github.io/Logging_2409/artfynd/A 10145-2025 artfynd.xlsx", "A 10145-2025")</f>
        <v/>
      </c>
      <c r="W67">
        <f>HYPERLINK("https://klasma.github.io/Logging_2409/kartor/A 10145-2025 karta.png", "A 10145-2025")</f>
        <v/>
      </c>
      <c r="Y67">
        <f>HYPERLINK("https://klasma.github.io/Logging_2409/klagomål/A 10145-2025 FSC-klagomål.docx", "A 10145-2025")</f>
        <v/>
      </c>
      <c r="Z67">
        <f>HYPERLINK("https://klasma.github.io/Logging_2409/klagomålsmail/A 10145-2025 FSC-klagomål mail.docx", "A 10145-2025")</f>
        <v/>
      </c>
      <c r="AA67">
        <f>HYPERLINK("https://klasma.github.io/Logging_2409/tillsyn/A 10145-2025 tillsynsbegäran.docx", "A 10145-2025")</f>
        <v/>
      </c>
      <c r="AB67">
        <f>HYPERLINK("https://klasma.github.io/Logging_2409/tillsynsmail/A 10145-2025 tillsynsbegäran mail.docx", "A 10145-2025")</f>
        <v/>
      </c>
    </row>
    <row r="68" ht="15" customHeight="1">
      <c r="A68" t="inlineStr">
        <is>
          <t>A 28224-2026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46196</v>
      </c>
      <c r="E68" s="1" t="n">
        <v>46219</v>
      </c>
      <c r="F68" t="inlineStr">
        <is>
          <t>VÄSTERBOTTENS LÄN</t>
        </is>
      </c>
      <c r="G68" t="inlineStr">
        <is>
          <t>ROBERTSFORS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6</v>
      </c>
      <c r="U68" s="2" t="inlineStr">
        <is>
          <t>Garnlav</t>
        </is>
      </c>
      <c r="V68">
        <f>HYPERLINK("https://klasma.github.io/Logging_2409/artfynd/A 28224-2026 artfynd.xlsx", "A 28224-2026")</f>
        <v/>
      </c>
      <c r="W68">
        <f>HYPERLINK("https://klasma.github.io/Logging_2409/kartor/A 28224-2026 karta.png", "A 28224-2026")</f>
        <v/>
      </c>
      <c r="Y68">
        <f>HYPERLINK("https://klasma.github.io/Logging_2409/klagomål/A 28224-2026 FSC-klagomål.docx", "A 28224-2026")</f>
        <v/>
      </c>
      <c r="Z68">
        <f>HYPERLINK("https://klasma.github.io/Logging_2409/klagomålsmail/A 28224-2026 FSC-klagomål mail.docx", "A 28224-2026")</f>
        <v/>
      </c>
      <c r="AA68">
        <f>HYPERLINK("https://klasma.github.io/Logging_2409/tillsyn/A 28224-2026 tillsynsbegäran.docx", "A 28224-2026")</f>
        <v/>
      </c>
      <c r="AB68">
        <f>HYPERLINK("https://klasma.github.io/Logging_2409/tillsynsmail/A 28224-2026 tillsynsbegäran mail.docx", "A 28224-2026")</f>
        <v/>
      </c>
    </row>
    <row r="69" ht="15" customHeight="1">
      <c r="A69" t="inlineStr">
        <is>
          <t>A 28750-2026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46219</v>
      </c>
      <c r="F69" t="inlineStr">
        <is>
          <t>VÄSTERBOTTENS LÄN</t>
        </is>
      </c>
      <c r="G69" t="inlineStr">
        <is>
          <t>ROBERTSFORS</t>
        </is>
      </c>
      <c r="I69" t="n">
        <v>0.7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Nordfladdermus</t>
        </is>
      </c>
      <c r="V69">
        <f>HYPERLINK("https://klasma.github.io/Logging_2409/artfynd/A 28750-2026 artfynd.xlsx", "A 28750-2026")</f>
        <v/>
      </c>
      <c r="W69">
        <f>HYPERLINK("https://klasma.github.io/Logging_2409/kartor/A 28750-2026 karta.png", "A 28750-2026")</f>
        <v/>
      </c>
      <c r="Y69">
        <f>HYPERLINK("https://klasma.github.io/Logging_2409/klagomål/A 28750-2026 FSC-klagomål.docx", "A 28750-2026")</f>
        <v/>
      </c>
      <c r="Z69">
        <f>HYPERLINK("https://klasma.github.io/Logging_2409/klagomålsmail/A 28750-2026 FSC-klagomål mail.docx", "A 28750-2026")</f>
        <v/>
      </c>
      <c r="AA69">
        <f>HYPERLINK("https://klasma.github.io/Logging_2409/tillsyn/A 28750-2026 tillsynsbegäran.docx", "A 28750-2026")</f>
        <v/>
      </c>
      <c r="AB69">
        <f>HYPERLINK("https://klasma.github.io/Logging_2409/tillsynsmail/A 28750-2026 tillsynsbegäran mail.docx", "A 28750-2026")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46219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Skrovlig taggsvamp</t>
        </is>
      </c>
      <c r="V70">
        <f>HYPERLINK("https://klasma.github.io/Logging_2409/artfynd/S 905-2021 artfynd.xlsx", "S 905-2021")</f>
        <v/>
      </c>
      <c r="W70">
        <f>HYPERLINK("https://klasma.github.io/Logging_2409/kartor/S 905-2021 karta.png", "S 905-2021")</f>
        <v/>
      </c>
      <c r="Y70">
        <f>HYPERLINK("https://klasma.github.io/Logging_2409/klagomål/S 905-2021 FSC-klagomål.docx", "S 905-2021")</f>
        <v/>
      </c>
      <c r="Z70">
        <f>HYPERLINK("https://klasma.github.io/Logging_2409/klagomålsmail/S 905-2021 FSC-klagomål mail.docx", "S 905-2021")</f>
        <v/>
      </c>
      <c r="AA70">
        <f>HYPERLINK("https://klasma.github.io/Logging_2409/tillsyn/S 905-2021 tillsynsbegäran.docx", "S 905-2021")</f>
        <v/>
      </c>
      <c r="AB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46219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Gammelgransskål</t>
        </is>
      </c>
      <c r="V71">
        <f>HYPERLINK("https://klasma.github.io/Logging_2409/artfynd/S 1045-2025 artfynd.xlsx", "S 1045-2025")</f>
        <v/>
      </c>
      <c r="W71">
        <f>HYPERLINK("https://klasma.github.io/Logging_2409/kartor/S 1045-2025 karta.png", "S 1045-2025")</f>
        <v/>
      </c>
      <c r="Y71">
        <f>HYPERLINK("https://klasma.github.io/Logging_2409/klagomål/S 1045-2025 FSC-klagomål.docx", "S 1045-2025")</f>
        <v/>
      </c>
      <c r="Z71">
        <f>HYPERLINK("https://klasma.github.io/Logging_2409/klagomålsmail/S 1045-2025 FSC-klagomål mail.docx", "S 1045-2025")</f>
        <v/>
      </c>
      <c r="AA71">
        <f>HYPERLINK("https://klasma.github.io/Logging_2409/tillsyn/S 1045-2025 tillsynsbegäran.docx", "S 1045-2025")</f>
        <v/>
      </c>
      <c r="AB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46219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Vedticka</t>
        </is>
      </c>
      <c r="V72">
        <f>HYPERLINK("https://klasma.github.io/Logging_2409/artfynd/S 2636-2025 artfynd.xlsx", "S 2636-2025")</f>
        <v/>
      </c>
      <c r="W72">
        <f>HYPERLINK("https://klasma.github.io/Logging_2409/kartor/S 2636-2025 karta.png", "S 2636-2025")</f>
        <v/>
      </c>
      <c r="Y72">
        <f>HYPERLINK("https://klasma.github.io/Logging_2409/klagomål/S 2636-2025 FSC-klagomål.docx", "S 2636-2025")</f>
        <v/>
      </c>
      <c r="Z72">
        <f>HYPERLINK("https://klasma.github.io/Logging_2409/klagomålsmail/S 2636-2025 FSC-klagomål mail.docx", "S 2636-2025")</f>
        <v/>
      </c>
      <c r="AA72">
        <f>HYPERLINK("https://klasma.github.io/Logging_2409/tillsyn/S 2636-2025 tillsynsbegäran.docx", "S 2636-2025")</f>
        <v/>
      </c>
      <c r="AB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46219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46219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46219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46219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46219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46219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46219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46219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46219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46219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46219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46219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46219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46219</v>
      </c>
      <c r="F86" t="inlineStr">
        <is>
          <t>VÄSTERBOTTENS LÄN</t>
        </is>
      </c>
      <c r="G86" t="inlineStr">
        <is>
          <t>ROBERTSFORS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8459-2022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44612</v>
      </c>
      <c r="E87" s="1" t="n">
        <v>46219</v>
      </c>
      <c r="F87" t="inlineStr">
        <is>
          <t>VÄSTERBOTTENS LÄN</t>
        </is>
      </c>
      <c r="G87" t="inlineStr">
        <is>
          <t>ROBERTSFORS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46219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46219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46219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46219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26231-2022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44735</v>
      </c>
      <c r="E92" s="1" t="n">
        <v>46219</v>
      </c>
      <c r="F92" t="inlineStr">
        <is>
          <t>VÄSTERBOTTENS LÄN</t>
        </is>
      </c>
      <c r="G92" t="inlineStr">
        <is>
          <t>ROBERTSFORS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46219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46219</v>
      </c>
      <c r="F94" t="inlineStr">
        <is>
          <t>VÄSTERBOTTENS LÄN</t>
        </is>
      </c>
      <c r="G94" t="inlineStr">
        <is>
          <t>ROBERTSFORS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46219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46219</v>
      </c>
      <c r="F96" t="inlineStr">
        <is>
          <t>VÄSTERBOTTENS LÄN</t>
        </is>
      </c>
      <c r="G96" t="inlineStr">
        <is>
          <t>ROBERTSFORS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46219</v>
      </c>
      <c r="F97" t="inlineStr">
        <is>
          <t>VÄSTERBOTTENS LÄN</t>
        </is>
      </c>
      <c r="G97" t="inlineStr">
        <is>
          <t>ROBERTSFORS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48823-2021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46219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46219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66503-2021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46219</v>
      </c>
      <c r="F100" t="inlineStr">
        <is>
          <t>VÄSTERBOTTENS LÄN</t>
        </is>
      </c>
      <c r="G100" t="inlineStr">
        <is>
          <t>ROBERTSFORS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46219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46219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46219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46219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8458-2022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46219</v>
      </c>
      <c r="F105" t="inlineStr">
        <is>
          <t>VÄSTERBOTTENS LÄN</t>
        </is>
      </c>
      <c r="G105" t="inlineStr">
        <is>
          <t>ROBERTSFORS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46219</v>
      </c>
      <c r="F106" t="inlineStr">
        <is>
          <t>VÄSTERBOTTENS LÄN</t>
        </is>
      </c>
      <c r="G106" t="inlineStr">
        <is>
          <t>ROBERTSFORS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46731-2022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46219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46219</v>
      </c>
      <c r="F108" t="inlineStr">
        <is>
          <t>VÄSTERBOTTENS LÄN</t>
        </is>
      </c>
      <c r="G108" t="inlineStr">
        <is>
          <t>ROBERTSFORS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44819</v>
      </c>
      <c r="E109" s="1" t="n">
        <v>46219</v>
      </c>
      <c r="F109" t="inlineStr">
        <is>
          <t>VÄSTERBOTTENS LÄN</t>
        </is>
      </c>
      <c r="G109" t="inlineStr">
        <is>
          <t>ROBERTSFORS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46219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44697</v>
      </c>
      <c r="E111" s="1" t="n">
        <v>46219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46219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41645-2022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46219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44822-2022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46219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13329-2022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44644</v>
      </c>
      <c r="E115" s="1" t="n">
        <v>46219</v>
      </c>
      <c r="F115" t="inlineStr">
        <is>
          <t>VÄSTERBOTTENS LÄN</t>
        </is>
      </c>
      <c r="G115" t="inlineStr">
        <is>
          <t>ROBERTSFORS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37901-2023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45160</v>
      </c>
      <c r="E116" s="1" t="n">
        <v>46219</v>
      </c>
      <c r="F116" t="inlineStr">
        <is>
          <t>VÄSTERBOTTENS LÄN</t>
        </is>
      </c>
      <c r="G116" t="inlineStr">
        <is>
          <t>ROBERTSFORS</t>
        </is>
      </c>
      <c r="H116" t="inlineStr">
        <is>
          <t>Holmen skog AB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39283-2022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44817</v>
      </c>
      <c r="E117" s="1" t="n">
        <v>46219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15799-2024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46219</v>
      </c>
      <c r="F118" t="inlineStr">
        <is>
          <t>VÄSTERBOTTENS LÄN</t>
        </is>
      </c>
      <c r="G118" t="inlineStr">
        <is>
          <t>ROBERTSFORS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56703-2024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45627</v>
      </c>
      <c r="E119" s="1" t="n">
        <v>46219</v>
      </c>
      <c r="F119" t="inlineStr">
        <is>
          <t>VÄSTERBOTTENS LÄN</t>
        </is>
      </c>
      <c r="G119" t="inlineStr">
        <is>
          <t>ROBERTSFORS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41047-2022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44824</v>
      </c>
      <c r="E120" s="1" t="n">
        <v>46219</v>
      </c>
      <c r="F120" t="inlineStr">
        <is>
          <t>VÄSTERBOTTENS LÄN</t>
        </is>
      </c>
      <c r="G120" t="inlineStr">
        <is>
          <t>ROBERTSFORS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45679</v>
      </c>
      <c r="E121" s="1" t="n">
        <v>46219</v>
      </c>
      <c r="F121" t="inlineStr">
        <is>
          <t>VÄSTERBOTTENS LÄN</t>
        </is>
      </c>
      <c r="G121" t="inlineStr">
        <is>
          <t>ROBERTSFORS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46219</v>
      </c>
      <c r="F122" t="inlineStr">
        <is>
          <t>VÄSTERBOTTENS LÄN</t>
        </is>
      </c>
      <c r="G122" t="inlineStr">
        <is>
          <t>ROBERTSFORS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55484-2021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46219</v>
      </c>
      <c r="F123" t="inlineStr">
        <is>
          <t>VÄSTERBOTTENS LÄN</t>
        </is>
      </c>
      <c r="G123" t="inlineStr">
        <is>
          <t>ROBERTSFORS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38949-2024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46219</v>
      </c>
      <c r="F124" t="inlineStr">
        <is>
          <t>VÄSTERBOTTENS LÄN</t>
        </is>
      </c>
      <c r="G124" t="inlineStr">
        <is>
          <t>ROBERTSFORS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58631-2021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46219</v>
      </c>
      <c r="F125" t="inlineStr">
        <is>
          <t>VÄSTERBOTTENS LÄN</t>
        </is>
      </c>
      <c r="G125" t="inlineStr">
        <is>
          <t>ROBERTSFORS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10906-2022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46219</v>
      </c>
      <c r="F126" t="inlineStr">
        <is>
          <t>VÄSTERBOTTENS LÄN</t>
        </is>
      </c>
      <c r="G126" t="inlineStr">
        <is>
          <t>ROBERTSFORS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10907-2022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44627</v>
      </c>
      <c r="E127" s="1" t="n">
        <v>46219</v>
      </c>
      <c r="F127" t="inlineStr">
        <is>
          <t>VÄSTERBOTTENS LÄN</t>
        </is>
      </c>
      <c r="G127" t="inlineStr">
        <is>
          <t>ROBERTSFORS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33584-2022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44789</v>
      </c>
      <c r="E128" s="1" t="n">
        <v>46219</v>
      </c>
      <c r="F128" t="inlineStr">
        <is>
          <t>VÄSTERBOTTENS LÄN</t>
        </is>
      </c>
      <c r="G128" t="inlineStr">
        <is>
          <t>ROBERTSFORS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25575-2022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44732</v>
      </c>
      <c r="E129" s="1" t="n">
        <v>46219</v>
      </c>
      <c r="F129" t="inlineStr">
        <is>
          <t>VÄSTERBOTTENS LÄN</t>
        </is>
      </c>
      <c r="G129" t="inlineStr">
        <is>
          <t>ROBERTSFORS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2590-2022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44580</v>
      </c>
      <c r="E130" s="1" t="n">
        <v>46219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44574</v>
      </c>
      <c r="E131" s="1" t="n">
        <v>46219</v>
      </c>
      <c r="F131" t="inlineStr">
        <is>
          <t>VÄSTERBOTTENS LÄN</t>
        </is>
      </c>
      <c r="G131" t="inlineStr">
        <is>
          <t>ROBERTSFORS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12629-2022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44641</v>
      </c>
      <c r="E132" s="1" t="n">
        <v>46219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18827-2023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45042</v>
      </c>
      <c r="E133" s="1" t="n">
        <v>46219</v>
      </c>
      <c r="F133" t="inlineStr">
        <is>
          <t>VÄSTERBOTTENS LÄN</t>
        </is>
      </c>
      <c r="G133" t="inlineStr">
        <is>
          <t>ROBERTSFORS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50046-2024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46219</v>
      </c>
      <c r="F134" t="inlineStr">
        <is>
          <t>VÄSTERBOTTENS LÄN</t>
        </is>
      </c>
      <c r="G134" t="inlineStr">
        <is>
          <t>ROBERTSFORS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43547-2023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45184</v>
      </c>
      <c r="E135" s="1" t="n">
        <v>46219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58565-2023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46219</v>
      </c>
      <c r="F136" t="inlineStr">
        <is>
          <t>VÄSTERBOTTENS LÄN</t>
        </is>
      </c>
      <c r="G136" t="inlineStr">
        <is>
          <t>ROBERTSFORS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9463-2025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46219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41269-2024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45559</v>
      </c>
      <c r="E138" s="1" t="n">
        <v>46219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62506-2023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46219</v>
      </c>
      <c r="F139" t="inlineStr">
        <is>
          <t>VÄSTERBOTTENS LÄN</t>
        </is>
      </c>
      <c r="G139" t="inlineStr">
        <is>
          <t>ROBERTSFORS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8686-2025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45712</v>
      </c>
      <c r="E140" s="1" t="n">
        <v>46219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58624-2023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46219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41299-2024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46219</v>
      </c>
      <c r="F142" t="inlineStr">
        <is>
          <t>VÄSTERBOTTENS LÄN</t>
        </is>
      </c>
      <c r="G142" t="inlineStr">
        <is>
          <t>ROBERTSFORS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51873-2024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45607</v>
      </c>
      <c r="E143" s="1" t="n">
        <v>46219</v>
      </c>
      <c r="F143" t="inlineStr">
        <is>
          <t>VÄSTERBOTTENS LÄN</t>
        </is>
      </c>
      <c r="G143" t="inlineStr">
        <is>
          <t>ROBERTSFORS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55469-2021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44475</v>
      </c>
      <c r="E144" s="1" t="n">
        <v>46219</v>
      </c>
      <c r="F144" t="inlineStr">
        <is>
          <t>VÄSTERBOTTENS LÄN</t>
        </is>
      </c>
      <c r="G144" t="inlineStr">
        <is>
          <t>ROBERTSFORS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26797-2023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46219</v>
      </c>
      <c r="F145" t="inlineStr">
        <is>
          <t>VÄSTERBOTTENS LÄN</t>
        </is>
      </c>
      <c r="G145" t="inlineStr">
        <is>
          <t>ROBERTSFORS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45029</v>
      </c>
      <c r="E146" s="1" t="n">
        <v>46219</v>
      </c>
      <c r="F146" t="inlineStr">
        <is>
          <t>VÄSTERBOTTENS LÄN</t>
        </is>
      </c>
      <c r="G146" t="inlineStr">
        <is>
          <t>ROBERTSFORS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45671</v>
      </c>
      <c r="E147" s="1" t="n">
        <v>46219</v>
      </c>
      <c r="F147" t="inlineStr">
        <is>
          <t>VÄSTERBOTTENS LÄN</t>
        </is>
      </c>
      <c r="G147" t="inlineStr">
        <is>
          <t>ROBERTSFORS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44960</v>
      </c>
      <c r="E148" s="1" t="n">
        <v>46219</v>
      </c>
      <c r="F148" t="inlineStr">
        <is>
          <t>VÄSTERBOTTENS LÄN</t>
        </is>
      </c>
      <c r="G148" t="inlineStr">
        <is>
          <t>ROBERTSFORS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46219</v>
      </c>
      <c r="F149" t="inlineStr">
        <is>
          <t>VÄSTERBOTTENS LÄN</t>
        </is>
      </c>
      <c r="G149" t="inlineStr">
        <is>
          <t>ROBERTSFORS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5691-2023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46219</v>
      </c>
      <c r="F150" t="inlineStr">
        <is>
          <t>VÄSTERBOTTENS LÄN</t>
        </is>
      </c>
      <c r="G150" t="inlineStr">
        <is>
          <t>ROBERTSFORS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24295-2023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46219</v>
      </c>
      <c r="F151" t="inlineStr">
        <is>
          <t>VÄSTERBOTTENS LÄN</t>
        </is>
      </c>
      <c r="G151" t="inlineStr">
        <is>
          <t>ROBERTSFORS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59256-2022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44904</v>
      </c>
      <c r="E152" s="1" t="n">
        <v>46219</v>
      </c>
      <c r="F152" t="inlineStr">
        <is>
          <t>VÄSTERBOTTENS LÄN</t>
        </is>
      </c>
      <c r="G152" t="inlineStr">
        <is>
          <t>ROBERTSFORS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42494-2024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45565</v>
      </c>
      <c r="E153" s="1" t="n">
        <v>46219</v>
      </c>
      <c r="F153" t="inlineStr">
        <is>
          <t>VÄSTERBOTTENS LÄN</t>
        </is>
      </c>
      <c r="G153" t="inlineStr">
        <is>
          <t>ROBERTSFORS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15528-2023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45020</v>
      </c>
      <c r="E154" s="1" t="n">
        <v>46219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Sveaskog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44952</v>
      </c>
      <c r="E155" s="1" t="n">
        <v>46219</v>
      </c>
      <c r="F155" t="inlineStr">
        <is>
          <t>VÄSTERBOTTENS LÄN</t>
        </is>
      </c>
      <c r="G155" t="inlineStr">
        <is>
          <t>ROBERTSFORS</t>
        </is>
      </c>
      <c r="I155" t="n">
        <v>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65771-2021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44516</v>
      </c>
      <c r="E156" s="1" t="n">
        <v>46219</v>
      </c>
      <c r="F156" t="inlineStr">
        <is>
          <t>VÄSTERBOTTENS LÄN</t>
        </is>
      </c>
      <c r="G156" t="inlineStr">
        <is>
          <t>ROBERTSFORS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26788-2023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45090</v>
      </c>
      <c r="E157" s="1" t="n">
        <v>46219</v>
      </c>
      <c r="F157" t="inlineStr">
        <is>
          <t>VÄSTERBOTTENS LÄN</t>
        </is>
      </c>
      <c r="G157" t="inlineStr">
        <is>
          <t>ROBERTSFORS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58240-2023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46219</v>
      </c>
      <c r="F158" t="inlineStr">
        <is>
          <t>VÄSTERBOTTENS LÄN</t>
        </is>
      </c>
      <c r="G158" t="inlineStr">
        <is>
          <t>ROBERTSFORS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48259-2023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46219</v>
      </c>
      <c r="F159" t="inlineStr">
        <is>
          <t>VÄSTERBOTTENS LÄN</t>
        </is>
      </c>
      <c r="G159" t="inlineStr">
        <is>
          <t>ROBERTSFORS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59549-2023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46219</v>
      </c>
      <c r="F160" t="inlineStr">
        <is>
          <t>VÄSTERBOTTENS LÄN</t>
        </is>
      </c>
      <c r="G160" t="inlineStr">
        <is>
          <t>ROBERTSFORS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46219</v>
      </c>
      <c r="F161" t="inlineStr">
        <is>
          <t>VÄSTERBOTTENS LÄN</t>
        </is>
      </c>
      <c r="G161" t="inlineStr">
        <is>
          <t>ROBERTSFORS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9369-2025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45715</v>
      </c>
      <c r="E162" s="1" t="n">
        <v>46219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45659</v>
      </c>
      <c r="E163" s="1" t="n">
        <v>46219</v>
      </c>
      <c r="F163" t="inlineStr">
        <is>
          <t>VÄSTERBOTTENS LÄN</t>
        </is>
      </c>
      <c r="G163" t="inlineStr">
        <is>
          <t>ROBERTSFORS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34771-2024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45526</v>
      </c>
      <c r="E164" s="1" t="n">
        <v>46219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24899-2024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45461</v>
      </c>
      <c r="E165" s="1" t="n">
        <v>46219</v>
      </c>
      <c r="F165" t="inlineStr">
        <is>
          <t>VÄSTERBOTTENS LÄN</t>
        </is>
      </c>
      <c r="G165" t="inlineStr">
        <is>
          <t>ROBERTSFORS</t>
        </is>
      </c>
      <c r="I165" t="n">
        <v>14.3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46219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23647-2024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46219</v>
      </c>
      <c r="F167" t="inlineStr">
        <is>
          <t>VÄSTERBOTTENS LÄN</t>
        </is>
      </c>
      <c r="G167" t="inlineStr">
        <is>
          <t>ROBERTSFORS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46219</v>
      </c>
      <c r="F168" t="inlineStr">
        <is>
          <t>VÄSTERBOTTENS LÄN</t>
        </is>
      </c>
      <c r="G168" t="inlineStr">
        <is>
          <t>ROBERTSFORS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45661</v>
      </c>
      <c r="E169" s="1" t="n">
        <v>46219</v>
      </c>
      <c r="F169" t="inlineStr">
        <is>
          <t>VÄSTERBOTTENS LÄN</t>
        </is>
      </c>
      <c r="G169" t="inlineStr">
        <is>
          <t>ROBERTSFORS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45664</v>
      </c>
      <c r="E170" s="1" t="n">
        <v>46219</v>
      </c>
      <c r="F170" t="inlineStr">
        <is>
          <t>VÄSTERBOTTENS LÄN</t>
        </is>
      </c>
      <c r="G170" t="inlineStr">
        <is>
          <t>ROBERTSFORS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44651-2023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45184</v>
      </c>
      <c r="E171" s="1" t="n">
        <v>46219</v>
      </c>
      <c r="F171" t="inlineStr">
        <is>
          <t>VÄSTERBOTTENS LÄN</t>
        </is>
      </c>
      <c r="G171" t="inlineStr">
        <is>
          <t>ROBERTSFORS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58712-2024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45635</v>
      </c>
      <c r="E172" s="1" t="n">
        <v>46219</v>
      </c>
      <c r="F172" t="inlineStr">
        <is>
          <t>VÄSTERBOTTENS LÄN</t>
        </is>
      </c>
      <c r="G172" t="inlineStr">
        <is>
          <t>ROBERTSFORS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39315-2025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46219</v>
      </c>
      <c r="F173" t="inlineStr">
        <is>
          <t>VÄSTERBOTTENS LÄN</t>
        </is>
      </c>
      <c r="G173" t="inlineStr">
        <is>
          <t>ROBERTSFORS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39677-2025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46219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46219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16995-2023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45033</v>
      </c>
      <c r="E176" s="1" t="n">
        <v>46219</v>
      </c>
      <c r="F176" t="inlineStr">
        <is>
          <t>VÄSTERBOTTENS LÄN</t>
        </is>
      </c>
      <c r="G176" t="inlineStr">
        <is>
          <t>ROBERTSFORS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49146-2022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46219</v>
      </c>
      <c r="F177" t="inlineStr">
        <is>
          <t>VÄSTERBOTTENS LÄN</t>
        </is>
      </c>
      <c r="G177" t="inlineStr">
        <is>
          <t>ROBERTSFORS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39437-2024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45551</v>
      </c>
      <c r="E178" s="1" t="n">
        <v>46219</v>
      </c>
      <c r="F178" t="inlineStr">
        <is>
          <t>VÄSTERBOTTENS LÄN</t>
        </is>
      </c>
      <c r="G178" t="inlineStr">
        <is>
          <t>ROBERTSFORS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34821-2023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45140</v>
      </c>
      <c r="E179" s="1" t="n">
        <v>46219</v>
      </c>
      <c r="F179" t="inlineStr">
        <is>
          <t>VÄSTERBOTTENS LÄN</t>
        </is>
      </c>
      <c r="G179" t="inlineStr">
        <is>
          <t>ROBERTSFORS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39822-2025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46219</v>
      </c>
      <c r="F180" t="inlineStr">
        <is>
          <t>VÄSTERBOTTENS LÄN</t>
        </is>
      </c>
      <c r="G180" t="inlineStr">
        <is>
          <t>ROBERTSFORS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39982-2025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45893</v>
      </c>
      <c r="E181" s="1" t="n">
        <v>46219</v>
      </c>
      <c r="F181" t="inlineStr">
        <is>
          <t>VÄSTERBOTTENS LÄN</t>
        </is>
      </c>
      <c r="G181" t="inlineStr">
        <is>
          <t>ROBERTSFORS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24466-2024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45458</v>
      </c>
      <c r="E182" s="1" t="n">
        <v>46219</v>
      </c>
      <c r="F182" t="inlineStr">
        <is>
          <t>VÄSTERBOTTENS LÄN</t>
        </is>
      </c>
      <c r="G182" t="inlineStr">
        <is>
          <t>ROBERTSFORS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60604-2024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45644</v>
      </c>
      <c r="E183" s="1" t="n">
        <v>46219</v>
      </c>
      <c r="F183" t="inlineStr">
        <is>
          <t>VÄSTERBOTTENS LÄN</t>
        </is>
      </c>
      <c r="G183" t="inlineStr">
        <is>
          <t>ROBERTSFORS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46219</v>
      </c>
      <c r="F184" t="inlineStr">
        <is>
          <t>VÄSTERBOTTENS LÄN</t>
        </is>
      </c>
      <c r="G184" t="inlineStr">
        <is>
          <t>ROBERTSFORS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40638-2025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46219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38026-2024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46219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SCA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7873-2023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46219</v>
      </c>
      <c r="F187" t="inlineStr">
        <is>
          <t>VÄSTERBOTTENS LÄN</t>
        </is>
      </c>
      <c r="G187" t="inlineStr">
        <is>
          <t>ROBERTSFORS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24467-2024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45458</v>
      </c>
      <c r="E188" s="1" t="n">
        <v>46219</v>
      </c>
      <c r="F188" t="inlineStr">
        <is>
          <t>VÄSTERBOTTENS LÄN</t>
        </is>
      </c>
      <c r="G188" t="inlineStr">
        <is>
          <t>ROBERTSFORS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48252-2023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45205</v>
      </c>
      <c r="E189" s="1" t="n">
        <v>46219</v>
      </c>
      <c r="F189" t="inlineStr">
        <is>
          <t>VÄSTERBOTTENS LÄN</t>
        </is>
      </c>
      <c r="G189" t="inlineStr">
        <is>
          <t>ROBERTSFORS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43424-2024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46219</v>
      </c>
      <c r="F190" t="inlineStr">
        <is>
          <t>VÄSTERBOTTENS LÄN</t>
        </is>
      </c>
      <c r="G190" t="inlineStr">
        <is>
          <t>ROBERTSFORS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41898-2025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46219</v>
      </c>
      <c r="F191" t="inlineStr">
        <is>
          <t>VÄSTERBOTTENS LÄN</t>
        </is>
      </c>
      <c r="G191" t="inlineStr">
        <is>
          <t>ROBERTSFORS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45692</v>
      </c>
      <c r="E192" s="1" t="n">
        <v>46219</v>
      </c>
      <c r="F192" t="inlineStr">
        <is>
          <t>VÄSTERBOTTENS LÄN</t>
        </is>
      </c>
      <c r="G192" t="inlineStr">
        <is>
          <t>ROBERTSFORS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43027-2023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45182</v>
      </c>
      <c r="E193" s="1" t="n">
        <v>46219</v>
      </c>
      <c r="F193" t="inlineStr">
        <is>
          <t>VÄSTERBOTTENS LÄN</t>
        </is>
      </c>
      <c r="G193" t="inlineStr">
        <is>
          <t>ROBERTSFORS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46331-2023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45197</v>
      </c>
      <c r="E194" s="1" t="n">
        <v>46219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46219</v>
      </c>
      <c r="F195" t="inlineStr">
        <is>
          <t>VÄSTERBOTTENS LÄN</t>
        </is>
      </c>
      <c r="G195" t="inlineStr">
        <is>
          <t>ROBERTSFORS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30722-2024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45496</v>
      </c>
      <c r="E196" s="1" t="n">
        <v>46219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37482-2024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46219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37357-2024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46219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43048-2025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46219</v>
      </c>
      <c r="F199" t="inlineStr">
        <is>
          <t>VÄSTERBOTTENS LÄN</t>
        </is>
      </c>
      <c r="G199" t="inlineStr">
        <is>
          <t>ROBERTSFORS</t>
        </is>
      </c>
      <c r="I199" t="n">
        <v>12.7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18143-2023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45040</v>
      </c>
      <c r="E200" s="1" t="n">
        <v>46219</v>
      </c>
      <c r="F200" t="inlineStr">
        <is>
          <t>VÄSTERBOTTENS LÄN</t>
        </is>
      </c>
      <c r="G200" t="inlineStr">
        <is>
          <t>ROBERTSFORS</t>
        </is>
      </c>
      <c r="I200" t="n">
        <v>11.5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41850-2023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46219</v>
      </c>
      <c r="F201" t="inlineStr">
        <is>
          <t>VÄSTERBOTTENS LÄN</t>
        </is>
      </c>
      <c r="G201" t="inlineStr">
        <is>
          <t>ROBERTSFORS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35222-2024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45530</v>
      </c>
      <c r="E202" s="1" t="n">
        <v>46219</v>
      </c>
      <c r="F202" t="inlineStr">
        <is>
          <t>VÄSTERBOTTENS LÄN</t>
        </is>
      </c>
      <c r="G202" t="inlineStr">
        <is>
          <t>ROBERTSFORS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44130-2025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45915</v>
      </c>
      <c r="E203" s="1" t="n">
        <v>46219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45307</v>
      </c>
      <c r="E204" s="1" t="n">
        <v>46219</v>
      </c>
      <c r="F204" t="inlineStr">
        <is>
          <t>VÄSTERBOTTENS LÄN</t>
        </is>
      </c>
      <c r="G204" t="inlineStr">
        <is>
          <t>ROBERTSFORS</t>
        </is>
      </c>
      <c r="I204" t="n">
        <v>12.1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45687</v>
      </c>
      <c r="E205" s="1" t="n">
        <v>46219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44979-2025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45918</v>
      </c>
      <c r="E206" s="1" t="n">
        <v>46219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13533-2023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45005</v>
      </c>
      <c r="E207" s="1" t="n">
        <v>46219</v>
      </c>
      <c r="F207" t="inlineStr">
        <is>
          <t>VÄSTERBOTTENS LÄN</t>
        </is>
      </c>
      <c r="G207" t="inlineStr">
        <is>
          <t>ROBERTSFORS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45267-2025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45919</v>
      </c>
      <c r="E208" s="1" t="n">
        <v>46219</v>
      </c>
      <c r="F208" t="inlineStr">
        <is>
          <t>VÄSTERBOTTENS LÄN</t>
        </is>
      </c>
      <c r="G208" t="inlineStr">
        <is>
          <t>ROBERTSFORS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58030-2024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45631</v>
      </c>
      <c r="E209" s="1" t="n">
        <v>46219</v>
      </c>
      <c r="F209" t="inlineStr">
        <is>
          <t>VÄSTERBOTTENS LÄN</t>
        </is>
      </c>
      <c r="G209" t="inlineStr">
        <is>
          <t>ROBERTSFORS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57979-2021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44487</v>
      </c>
      <c r="E210" s="1" t="n">
        <v>46219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59032-2024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46219</v>
      </c>
      <c r="F211" t="inlineStr">
        <is>
          <t>VÄSTERBOTTENS LÄN</t>
        </is>
      </c>
      <c r="G211" t="inlineStr">
        <is>
          <t>ROBERTSFORS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46168-2025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45924</v>
      </c>
      <c r="E212" s="1" t="n">
        <v>46219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46647-2025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46219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60738-2022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44913</v>
      </c>
      <c r="E214" s="1" t="n">
        <v>46219</v>
      </c>
      <c r="F214" t="inlineStr">
        <is>
          <t>VÄSTERBOTTENS LÄN</t>
        </is>
      </c>
      <c r="G214" t="inlineStr">
        <is>
          <t>ROBERTSFORS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46388-2023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46219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46219</v>
      </c>
      <c r="F216" t="inlineStr">
        <is>
          <t>VÄSTERBOTTENS LÄN</t>
        </is>
      </c>
      <c r="G216" t="inlineStr">
        <is>
          <t>ROBERTSFORS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53984-2022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44876</v>
      </c>
      <c r="E217" s="1" t="n">
        <v>46219</v>
      </c>
      <c r="F217" t="inlineStr">
        <is>
          <t>VÄSTERBOTTENS LÄN</t>
        </is>
      </c>
      <c r="G217" t="inlineStr">
        <is>
          <t>ROBERTSFORS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45664</v>
      </c>
      <c r="E218" s="1" t="n">
        <v>46219</v>
      </c>
      <c r="F218" t="inlineStr">
        <is>
          <t>VÄSTERBOTTENS LÄN</t>
        </is>
      </c>
      <c r="G218" t="inlineStr">
        <is>
          <t>ROBERTSFORS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13187-2023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46219</v>
      </c>
      <c r="F219" t="inlineStr">
        <is>
          <t>VÄSTERBOTTENS LÄN</t>
        </is>
      </c>
      <c r="G219" t="inlineStr">
        <is>
          <t>ROBERTSFORS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45659</v>
      </c>
      <c r="E220" s="1" t="n">
        <v>46219</v>
      </c>
      <c r="F220" t="inlineStr">
        <is>
          <t>VÄSTERBOTTENS LÄN</t>
        </is>
      </c>
      <c r="G220" t="inlineStr">
        <is>
          <t>ROBERTSFORS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38270-2023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46219</v>
      </c>
      <c r="F221" t="inlineStr">
        <is>
          <t>VÄSTERBOTTENS LÄN</t>
        </is>
      </c>
      <c r="G221" t="inlineStr">
        <is>
          <t>ROBERTSFORS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36449-2024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46219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46980-2025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46219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33821-2023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45133</v>
      </c>
      <c r="E224" s="1" t="n">
        <v>46219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58604-2022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44894</v>
      </c>
      <c r="E225" s="1" t="n">
        <v>46219</v>
      </c>
      <c r="F225" t="inlineStr">
        <is>
          <t>VÄSTERBOTTENS LÄN</t>
        </is>
      </c>
      <c r="G225" t="inlineStr">
        <is>
          <t>ROBERTSFORS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58426-2022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44901</v>
      </c>
      <c r="E226" s="1" t="n">
        <v>46219</v>
      </c>
      <c r="F226" t="inlineStr">
        <is>
          <t>VÄSTERBOTTENS LÄN</t>
        </is>
      </c>
      <c r="G226" t="inlineStr">
        <is>
          <t>ROBERTSFORS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9135-2024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45357</v>
      </c>
      <c r="E227" s="1" t="n">
        <v>46219</v>
      </c>
      <c r="F227" t="inlineStr">
        <is>
          <t>VÄSTERBOTTENS LÄN</t>
        </is>
      </c>
      <c r="G227" t="inlineStr">
        <is>
          <t>ROBERTSFORS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54366-2024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45617</v>
      </c>
      <c r="E228" s="1" t="n">
        <v>46219</v>
      </c>
      <c r="F228" t="inlineStr">
        <is>
          <t>VÄSTERBOTTENS LÄN</t>
        </is>
      </c>
      <c r="G228" t="inlineStr">
        <is>
          <t>ROBERTSFORS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49148-2025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46219</v>
      </c>
      <c r="F229" t="inlineStr">
        <is>
          <t>VÄSTERBOTTENS LÄN</t>
        </is>
      </c>
      <c r="G229" t="inlineStr">
        <is>
          <t>ROBERTSFORS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21397-2025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46219</v>
      </c>
      <c r="F230" t="inlineStr">
        <is>
          <t>VÄSTERBOTTENS LÄN</t>
        </is>
      </c>
      <c r="G230" t="inlineStr">
        <is>
          <t>ROBERTSFORS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16653-2023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45030</v>
      </c>
      <c r="E231" s="1" t="n">
        <v>46219</v>
      </c>
      <c r="F231" t="inlineStr">
        <is>
          <t>VÄSTERBOTTENS LÄN</t>
        </is>
      </c>
      <c r="G231" t="inlineStr">
        <is>
          <t>ROBERTSFORS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59051-2024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46219</v>
      </c>
      <c r="F232" t="inlineStr">
        <is>
          <t>VÄSTERBOTTENS LÄN</t>
        </is>
      </c>
      <c r="G232" t="inlineStr">
        <is>
          <t>ROBERTSFORS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22257-2023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45070</v>
      </c>
      <c r="E233" s="1" t="n">
        <v>46219</v>
      </c>
      <c r="F233" t="inlineStr">
        <is>
          <t>VÄSTERBOTTENS LÄN</t>
        </is>
      </c>
      <c r="G233" t="inlineStr">
        <is>
          <t>ROBERTSFORS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45947</v>
      </c>
      <c r="E234" s="1" t="n">
        <v>46219</v>
      </c>
      <c r="F234" t="inlineStr">
        <is>
          <t>VÄSTERBOTTENS LÄN</t>
        </is>
      </c>
      <c r="G234" t="inlineStr">
        <is>
          <t>ROBERTSFORS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26791-2023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46219</v>
      </c>
      <c r="F235" t="inlineStr">
        <is>
          <t>VÄSTERBOTTENS LÄN</t>
        </is>
      </c>
      <c r="G235" t="inlineStr">
        <is>
          <t>ROBERTSFORS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30733-2024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45496</v>
      </c>
      <c r="E236" s="1" t="n">
        <v>46219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8.6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29600-2026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46204</v>
      </c>
      <c r="E237" s="1" t="n">
        <v>46219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SCA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59833-2022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46219</v>
      </c>
      <c r="F238" t="inlineStr">
        <is>
          <t>VÄSTERBOTTENS LÄN</t>
        </is>
      </c>
      <c r="G238" t="inlineStr">
        <is>
          <t>ROBERTSFORS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31058-2024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45502</v>
      </c>
      <c r="E239" s="1" t="n">
        <v>46219</v>
      </c>
      <c r="F239" t="inlineStr">
        <is>
          <t>VÄSTERBOTTENS LÄN</t>
        </is>
      </c>
      <c r="G239" t="inlineStr">
        <is>
          <t>ROBERTSFORS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58790-2022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46219</v>
      </c>
      <c r="F240" t="inlineStr">
        <is>
          <t>VÄSTERBOTTENS LÄN</t>
        </is>
      </c>
      <c r="G240" t="inlineStr">
        <is>
          <t>ROBERTSFORS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29459-2026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46203</v>
      </c>
      <c r="E241" s="1" t="n">
        <v>46219</v>
      </c>
      <c r="F241" t="inlineStr">
        <is>
          <t>VÄSTERBOTTENS LÄN</t>
        </is>
      </c>
      <c r="G241" t="inlineStr">
        <is>
          <t>ROBERTSFORS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46219</v>
      </c>
      <c r="F242" t="inlineStr">
        <is>
          <t>VÄSTERBOTTENS LÄN</t>
        </is>
      </c>
      <c r="G242" t="inlineStr">
        <is>
          <t>ROBERTSFORS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10188-2023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46219</v>
      </c>
      <c r="F243" t="inlineStr">
        <is>
          <t>VÄSTERBOTTENS LÄN</t>
        </is>
      </c>
      <c r="G243" t="inlineStr">
        <is>
          <t>ROBERTSFORS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52934-2025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46219</v>
      </c>
      <c r="F244" t="inlineStr">
        <is>
          <t>VÄSTERBOTTENS LÄN</t>
        </is>
      </c>
      <c r="G244" t="inlineStr">
        <is>
          <t>ROBERTSFORS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53218-2025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45958</v>
      </c>
      <c r="E245" s="1" t="n">
        <v>46219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52746-2025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46219</v>
      </c>
      <c r="F246" t="inlineStr">
        <is>
          <t>VÄSTERBOTTENS LÄN</t>
        </is>
      </c>
      <c r="G246" t="inlineStr">
        <is>
          <t>ROBERTSFORS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34029-2023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45135</v>
      </c>
      <c r="E247" s="1" t="n">
        <v>46219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53485-2025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46219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53320-2025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45959</v>
      </c>
      <c r="E249" s="1" t="n">
        <v>46219</v>
      </c>
      <c r="F249" t="inlineStr">
        <is>
          <t>VÄSTERBOTTENS LÄN</t>
        </is>
      </c>
      <c r="G249" t="inlineStr">
        <is>
          <t>ROBERTSFORS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54344-2024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46219</v>
      </c>
      <c r="F250" t="inlineStr">
        <is>
          <t>VÄSTERBOTTENS LÄN</t>
        </is>
      </c>
      <c r="G250" t="inlineStr">
        <is>
          <t>ROBERTSFORS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54395-2024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46219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29964-2026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46205</v>
      </c>
      <c r="E252" s="1" t="n">
        <v>46219</v>
      </c>
      <c r="F252" t="inlineStr">
        <is>
          <t>VÄSTERBOTTENS LÄN</t>
        </is>
      </c>
      <c r="G252" t="inlineStr">
        <is>
          <t>ROBERTSFORS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53806-2025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46219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53824-2025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46219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29958-2026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46205</v>
      </c>
      <c r="E255" s="1" t="n">
        <v>46219</v>
      </c>
      <c r="F255" t="inlineStr">
        <is>
          <t>VÄSTERBOTTENS LÄN</t>
        </is>
      </c>
      <c r="G255" t="inlineStr">
        <is>
          <t>ROBERTSFORS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30081-2026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46219</v>
      </c>
      <c r="F256" t="inlineStr">
        <is>
          <t>VÄSTERBOTTENS LÄN</t>
        </is>
      </c>
      <c r="G256" t="inlineStr">
        <is>
          <t>ROBERTSFORS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54589-2025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46219</v>
      </c>
      <c r="F257" t="inlineStr">
        <is>
          <t>VÄSTERBOTTENS LÄN</t>
        </is>
      </c>
      <c r="G257" t="inlineStr">
        <is>
          <t>ROBERTSFORS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54607-2025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46219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54311-2025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46219</v>
      </c>
      <c r="F259" t="inlineStr">
        <is>
          <t>VÄSTERBOTTENS LÄN</t>
        </is>
      </c>
      <c r="G259" t="inlineStr">
        <is>
          <t>ROBERTSFORS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46219</v>
      </c>
      <c r="F260" t="inlineStr">
        <is>
          <t>VÄSTERBOTTENS LÄN</t>
        </is>
      </c>
      <c r="G260" t="inlineStr">
        <is>
          <t>ROBERTSFORS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54588-2025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46219</v>
      </c>
      <c r="F261" t="inlineStr">
        <is>
          <t>VÄSTERBOTTENS LÄN</t>
        </is>
      </c>
      <c r="G261" t="inlineStr">
        <is>
          <t>ROBERTSFORS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58526-2023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45251</v>
      </c>
      <c r="E262" s="1" t="n">
        <v>46219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13.9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54594-2025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46219</v>
      </c>
      <c r="F263" t="inlineStr">
        <is>
          <t>VÄSTERBOTTENS LÄN</t>
        </is>
      </c>
      <c r="G263" t="inlineStr">
        <is>
          <t>ROBERTSFORS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44571</v>
      </c>
      <c r="E264" s="1" t="n">
        <v>46219</v>
      </c>
      <c r="F264" t="inlineStr">
        <is>
          <t>VÄSTERBOTTENS LÄN</t>
        </is>
      </c>
      <c r="G264" t="inlineStr">
        <is>
          <t>ROBERTSFORS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47420-2024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46219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SCA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15879-2024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45405</v>
      </c>
      <c r="E266" s="1" t="n">
        <v>46219</v>
      </c>
      <c r="F266" t="inlineStr">
        <is>
          <t>VÄSTERBOTTENS LÄN</t>
        </is>
      </c>
      <c r="G266" t="inlineStr">
        <is>
          <t>ROBERTSFORS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59877-2022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44901</v>
      </c>
      <c r="E267" s="1" t="n">
        <v>46219</v>
      </c>
      <c r="F267" t="inlineStr">
        <is>
          <t>VÄSTERBOTTENS LÄN</t>
        </is>
      </c>
      <c r="G267" t="inlineStr">
        <is>
          <t>ROBERTSFORS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56231-2025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46219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45846-2024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45580</v>
      </c>
      <c r="E269" s="1" t="n">
        <v>46219</v>
      </c>
      <c r="F269" t="inlineStr">
        <is>
          <t>VÄSTERBOTTENS LÄN</t>
        </is>
      </c>
      <c r="G269" t="inlineStr">
        <is>
          <t>ROBERTSFORS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15294-2023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45019</v>
      </c>
      <c r="E270" s="1" t="n">
        <v>46219</v>
      </c>
      <c r="F270" t="inlineStr">
        <is>
          <t>VÄSTERBOTTENS LÄN</t>
        </is>
      </c>
      <c r="G270" t="inlineStr">
        <is>
          <t>ROBERTSFORS</t>
        </is>
      </c>
      <c r="I270" t="n">
        <v>9.9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52834-2024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45610</v>
      </c>
      <c r="E271" s="1" t="n">
        <v>46219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SCA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43946-2024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45572</v>
      </c>
      <c r="E272" s="1" t="n">
        <v>46219</v>
      </c>
      <c r="F272" t="inlineStr">
        <is>
          <t>VÄSTERBOTTENS LÄN</t>
        </is>
      </c>
      <c r="G272" t="inlineStr">
        <is>
          <t>ROBERTSFORS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19378-2023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45049</v>
      </c>
      <c r="E273" s="1" t="n">
        <v>46219</v>
      </c>
      <c r="F273" t="inlineStr">
        <is>
          <t>VÄSTERBOTTENS LÄN</t>
        </is>
      </c>
      <c r="G273" t="inlineStr">
        <is>
          <t>ROBERTSFORS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24365-2026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46169</v>
      </c>
      <c r="E274" s="1" t="n">
        <v>46219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15.9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15484-2023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45020</v>
      </c>
      <c r="E275" s="1" t="n">
        <v>46219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54365-2024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46219</v>
      </c>
      <c r="F276" t="inlineStr">
        <is>
          <t>VÄSTERBOTTENS LÄN</t>
        </is>
      </c>
      <c r="G276" t="inlineStr">
        <is>
          <t>ROBERTSFORS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35787-2023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45148</v>
      </c>
      <c r="E277" s="1" t="n">
        <v>46219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28906-2024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45480</v>
      </c>
      <c r="E278" s="1" t="n">
        <v>46219</v>
      </c>
      <c r="F278" t="inlineStr">
        <is>
          <t>VÄSTERBOTTENS LÄN</t>
        </is>
      </c>
      <c r="G278" t="inlineStr">
        <is>
          <t>ROBERTSFORS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34844-2023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46219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57793-2025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46219</v>
      </c>
      <c r="F280" t="inlineStr">
        <is>
          <t>VÄSTERBOTTENS LÄN</t>
        </is>
      </c>
      <c r="G280" t="inlineStr">
        <is>
          <t>ROBERTSFORS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64625-2023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45281</v>
      </c>
      <c r="E281" s="1" t="n">
        <v>46219</v>
      </c>
      <c r="F281" t="inlineStr">
        <is>
          <t>VÄSTERBOTTENS LÄN</t>
        </is>
      </c>
      <c r="G281" t="inlineStr">
        <is>
          <t>ROBERTSFORS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57698-2025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46219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26372-2024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45468</v>
      </c>
      <c r="E283" s="1" t="n">
        <v>46219</v>
      </c>
      <c r="F283" t="inlineStr">
        <is>
          <t>VÄSTERBOTTENS LÄN</t>
        </is>
      </c>
      <c r="G283" t="inlineStr">
        <is>
          <t>ROBERTSFORS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57737-2025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46219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27852-2024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46219</v>
      </c>
      <c r="F285" t="inlineStr">
        <is>
          <t>VÄSTERBOTTENS LÄN</t>
        </is>
      </c>
      <c r="G285" t="inlineStr">
        <is>
          <t>ROBERTSFORS</t>
        </is>
      </c>
      <c r="I285" t="n">
        <v>10.5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13164-2024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45386</v>
      </c>
      <c r="E286" s="1" t="n">
        <v>46219</v>
      </c>
      <c r="F286" t="inlineStr">
        <is>
          <t>VÄSTERBOTTENS LÄN</t>
        </is>
      </c>
      <c r="G286" t="inlineStr">
        <is>
          <t>ROBERTSFORS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24705-2026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46171</v>
      </c>
      <c r="E287" s="1" t="n">
        <v>46219</v>
      </c>
      <c r="F287" t="inlineStr">
        <is>
          <t>VÄSTERBOTTENS LÄN</t>
        </is>
      </c>
      <c r="G287" t="inlineStr">
        <is>
          <t>ROBERTSFORS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52833-2024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46219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SCA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36139-2023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45149</v>
      </c>
      <c r="E289" s="1" t="n">
        <v>46219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27586-2024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45474</v>
      </c>
      <c r="E290" s="1" t="n">
        <v>46219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57646-2023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46219</v>
      </c>
      <c r="F291" t="inlineStr">
        <is>
          <t>VÄSTERBOTTENS LÄN</t>
        </is>
      </c>
      <c r="G291" t="inlineStr">
        <is>
          <t>ROBERTSFORS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24484-2026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46170</v>
      </c>
      <c r="E292" s="1" t="n">
        <v>46219</v>
      </c>
      <c r="F292" t="inlineStr">
        <is>
          <t>VÄSTERBOTTENS LÄN</t>
        </is>
      </c>
      <c r="G292" t="inlineStr">
        <is>
          <t>ROBERTSFORS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58850-2025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45987</v>
      </c>
      <c r="E293" s="1" t="n">
        <v>46219</v>
      </c>
      <c r="F293" t="inlineStr">
        <is>
          <t>VÄSTERBOTTENS LÄN</t>
        </is>
      </c>
      <c r="G293" t="inlineStr">
        <is>
          <t>ROBERTSFORS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24647-2026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46171</v>
      </c>
      <c r="E294" s="1" t="n">
        <v>46219</v>
      </c>
      <c r="F294" t="inlineStr">
        <is>
          <t>VÄSTERBOTTENS LÄN</t>
        </is>
      </c>
      <c r="G294" t="inlineStr">
        <is>
          <t>ROBERTSFORS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24468-2024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45458</v>
      </c>
      <c r="E295" s="1" t="n">
        <v>46219</v>
      </c>
      <c r="F295" t="inlineStr">
        <is>
          <t>VÄSTERBOTTENS LÄN</t>
        </is>
      </c>
      <c r="G295" t="inlineStr">
        <is>
          <t>ROBERTSFORS</t>
        </is>
      </c>
      <c r="I295" t="n">
        <v>7.3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34434-2024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45525</v>
      </c>
      <c r="E296" s="1" t="n">
        <v>46219</v>
      </c>
      <c r="F296" t="inlineStr">
        <is>
          <t>VÄSTERBOTTENS LÄN</t>
        </is>
      </c>
      <c r="G296" t="inlineStr">
        <is>
          <t>ROBERTSFORS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73557-2021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44551</v>
      </c>
      <c r="E297" s="1" t="n">
        <v>46219</v>
      </c>
      <c r="F297" t="inlineStr">
        <is>
          <t>VÄSTERBOTTENS LÄN</t>
        </is>
      </c>
      <c r="G297" t="inlineStr">
        <is>
          <t>ROBERTSFORS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25847-2026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46176</v>
      </c>
      <c r="E298" s="1" t="n">
        <v>46219</v>
      </c>
      <c r="F298" t="inlineStr">
        <is>
          <t>VÄSTERBOTTENS LÄN</t>
        </is>
      </c>
      <c r="G298" t="inlineStr">
        <is>
          <t>ROBERTSFORS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29622-2024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45484</v>
      </c>
      <c r="E299" s="1" t="n">
        <v>46219</v>
      </c>
      <c r="F299" t="inlineStr">
        <is>
          <t>VÄSTERBOTTENS LÄN</t>
        </is>
      </c>
      <c r="G299" t="inlineStr">
        <is>
          <t>ROBERTSFORS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38480-2023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46219</v>
      </c>
      <c r="F300" t="inlineStr">
        <is>
          <t>VÄSTERBOTTENS LÄN</t>
        </is>
      </c>
      <c r="G300" t="inlineStr">
        <is>
          <t>ROBERTSFORS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25154-2026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46219</v>
      </c>
      <c r="F301" t="inlineStr">
        <is>
          <t>VÄSTERBOTTENS LÄN</t>
        </is>
      </c>
      <c r="G301" t="inlineStr">
        <is>
          <t>ROBERTSFORS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18533-2023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45041</v>
      </c>
      <c r="E302" s="1" t="n">
        <v>46219</v>
      </c>
      <c r="F302" t="inlineStr">
        <is>
          <t>VÄSTERBOTTENS LÄN</t>
        </is>
      </c>
      <c r="G302" t="inlineStr">
        <is>
          <t>ROBERTSFORS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45302</v>
      </c>
      <c r="E303" s="1" t="n">
        <v>46219</v>
      </c>
      <c r="F303" t="inlineStr">
        <is>
          <t>VÄSTERBOTTENS LÄN</t>
        </is>
      </c>
      <c r="G303" t="inlineStr">
        <is>
          <t>ROBERTSFORS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10234-2024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46219</v>
      </c>
      <c r="F304" t="inlineStr">
        <is>
          <t>VÄSTERBOTTENS LÄN</t>
        </is>
      </c>
      <c r="G304" t="inlineStr">
        <is>
          <t>ROBERTSFORS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60693-2025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45996</v>
      </c>
      <c r="E305" s="1" t="n">
        <v>46219</v>
      </c>
      <c r="F305" t="inlineStr">
        <is>
          <t>VÄSTERBOTTENS LÄN</t>
        </is>
      </c>
      <c r="G305" t="inlineStr">
        <is>
          <t>ROBERTSFORS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46663-2024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45583</v>
      </c>
      <c r="E306" s="1" t="n">
        <v>46219</v>
      </c>
      <c r="F306" t="inlineStr">
        <is>
          <t>VÄSTERBOTTENS LÄN</t>
        </is>
      </c>
      <c r="G306" t="inlineStr">
        <is>
          <t>ROBERTSFORS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15888-2024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45405</v>
      </c>
      <c r="E307" s="1" t="n">
        <v>46219</v>
      </c>
      <c r="F307" t="inlineStr">
        <is>
          <t>VÄSTERBOTTENS LÄN</t>
        </is>
      </c>
      <c r="G307" t="inlineStr">
        <is>
          <t>ROBERTSFORS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61114-2025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46219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Sveaskog</t>
        </is>
      </c>
      <c r="I308" t="n">
        <v>9.199999999999999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10330-2024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46219</v>
      </c>
      <c r="F309" t="inlineStr">
        <is>
          <t>VÄSTERBOTTENS LÄN</t>
        </is>
      </c>
      <c r="G309" t="inlineStr">
        <is>
          <t>ROBERTSFORS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61185-2025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46219</v>
      </c>
      <c r="F310" t="inlineStr">
        <is>
          <t>VÄSTERBOTTENS LÄN</t>
        </is>
      </c>
      <c r="G310" t="inlineStr">
        <is>
          <t>ROBERTSFORS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52832-2024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45610</v>
      </c>
      <c r="E311" s="1" t="n">
        <v>46219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10334-2023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46219</v>
      </c>
      <c r="F312" t="inlineStr">
        <is>
          <t>VÄSTERBOTTENS LÄN</t>
        </is>
      </c>
      <c r="G312" t="inlineStr">
        <is>
          <t>ROBERTSFORS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13529-2023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45005</v>
      </c>
      <c r="E313" s="1" t="n">
        <v>46219</v>
      </c>
      <c r="F313" t="inlineStr">
        <is>
          <t>VÄSTERBOTTENS LÄN</t>
        </is>
      </c>
      <c r="G313" t="inlineStr">
        <is>
          <t>ROBERTSFORS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5902-2024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45335</v>
      </c>
      <c r="E314" s="1" t="n">
        <v>46219</v>
      </c>
      <c r="F314" t="inlineStr">
        <is>
          <t>VÄSTERBOTTENS LÄN</t>
        </is>
      </c>
      <c r="G314" t="inlineStr">
        <is>
          <t>ROBERTSFORS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25572-2023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45082</v>
      </c>
      <c r="E315" s="1" t="n">
        <v>46219</v>
      </c>
      <c r="F315" t="inlineStr">
        <is>
          <t>VÄSTERBOTTENS LÄN</t>
        </is>
      </c>
      <c r="G315" t="inlineStr">
        <is>
          <t>ROBERTSFORS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8681-2025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45712</v>
      </c>
      <c r="E316" s="1" t="n">
        <v>46219</v>
      </c>
      <c r="F316" t="inlineStr">
        <is>
          <t>VÄSTERBOTTENS LÄN</t>
        </is>
      </c>
      <c r="G316" t="inlineStr">
        <is>
          <t>ROBERTSFORS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32434-2024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45512</v>
      </c>
      <c r="E317" s="1" t="n">
        <v>46219</v>
      </c>
      <c r="F317" t="inlineStr">
        <is>
          <t>VÄSTERBOTTENS LÄN</t>
        </is>
      </c>
      <c r="G317" t="inlineStr">
        <is>
          <t>ROBERTSFORS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45678</v>
      </c>
      <c r="E318" s="1" t="n">
        <v>46219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50187-2023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46219</v>
      </c>
      <c r="F319" t="inlineStr">
        <is>
          <t>VÄSTERBOTTENS LÄN</t>
        </is>
      </c>
      <c r="G319" t="inlineStr">
        <is>
          <t>ROBERTSFORS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43095-2023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45182</v>
      </c>
      <c r="E320" s="1" t="n">
        <v>46219</v>
      </c>
      <c r="F320" t="inlineStr">
        <is>
          <t>VÄSTERBOTTENS LÄN</t>
        </is>
      </c>
      <c r="G320" t="inlineStr">
        <is>
          <t>ROBERTSFORS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45687</v>
      </c>
      <c r="E321" s="1" t="n">
        <v>46219</v>
      </c>
      <c r="F321" t="inlineStr">
        <is>
          <t>VÄSTERBOTTENS LÄN</t>
        </is>
      </c>
      <c r="G321" t="inlineStr">
        <is>
          <t>ROBERTSFORS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38120-2024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45545</v>
      </c>
      <c r="E322" s="1" t="n">
        <v>46219</v>
      </c>
      <c r="F322" t="inlineStr">
        <is>
          <t>VÄSTERBOTTENS LÄN</t>
        </is>
      </c>
      <c r="G322" t="inlineStr">
        <is>
          <t>ROBERTSFORS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39789-2024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45553</v>
      </c>
      <c r="E323" s="1" t="n">
        <v>46219</v>
      </c>
      <c r="F323" t="inlineStr">
        <is>
          <t>VÄSTERBOTTENS LÄN</t>
        </is>
      </c>
      <c r="G323" t="inlineStr">
        <is>
          <t>ROBERTSFORS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6994-2025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45701</v>
      </c>
      <c r="E324" s="1" t="n">
        <v>46219</v>
      </c>
      <c r="F324" t="inlineStr">
        <is>
          <t>VÄSTERBOTTENS LÄN</t>
        </is>
      </c>
      <c r="G324" t="inlineStr">
        <is>
          <t>ROBERTSFORS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58679-2024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45635</v>
      </c>
      <c r="E325" s="1" t="n">
        <v>46219</v>
      </c>
      <c r="F325" t="inlineStr">
        <is>
          <t>VÄSTERBOTTENS LÄN</t>
        </is>
      </c>
      <c r="G325" t="inlineStr">
        <is>
          <t>ROBERTSFORS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45157-2023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45191</v>
      </c>
      <c r="E326" s="1" t="n">
        <v>46219</v>
      </c>
      <c r="F326" t="inlineStr">
        <is>
          <t>VÄSTERBOTTENS LÄN</t>
        </is>
      </c>
      <c r="G326" t="inlineStr">
        <is>
          <t>ROBERTSFORS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56724-2024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45628</v>
      </c>
      <c r="E327" s="1" t="n">
        <v>46219</v>
      </c>
      <c r="F327" t="inlineStr">
        <is>
          <t>VÄSTERBOTTENS LÄN</t>
        </is>
      </c>
      <c r="G327" t="inlineStr">
        <is>
          <t>ROBERTSFORS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44580</v>
      </c>
      <c r="E328" s="1" t="n">
        <v>46219</v>
      </c>
      <c r="F328" t="inlineStr">
        <is>
          <t>VÄSTERBOTTENS LÄN</t>
        </is>
      </c>
      <c r="G328" t="inlineStr">
        <is>
          <t>ROBERTSFORS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59211-2023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45251</v>
      </c>
      <c r="E329" s="1" t="n">
        <v>46219</v>
      </c>
      <c r="F329" t="inlineStr">
        <is>
          <t>VÄSTERBOTTENS LÄN</t>
        </is>
      </c>
      <c r="G329" t="inlineStr">
        <is>
          <t>ROBERTSFORS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52835-2024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45610</v>
      </c>
      <c r="E330" s="1" t="n">
        <v>46219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SCA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17848-2022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44683</v>
      </c>
      <c r="E331" s="1" t="n">
        <v>46219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60570-2024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46219</v>
      </c>
      <c r="F332" t="inlineStr">
        <is>
          <t>VÄSTERBOTTENS LÄN</t>
        </is>
      </c>
      <c r="G332" t="inlineStr">
        <is>
          <t>ROBERTSFORS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57008-2024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46219</v>
      </c>
      <c r="F333" t="inlineStr">
        <is>
          <t>VÄSTERBOTTENS LÄN</t>
        </is>
      </c>
      <c r="G333" t="inlineStr">
        <is>
          <t>ROBERTSFORS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38083-2023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46219</v>
      </c>
      <c r="F334" t="inlineStr">
        <is>
          <t>VÄSTERBOTTENS LÄN</t>
        </is>
      </c>
      <c r="G334" t="inlineStr">
        <is>
          <t>ROBERTSFORS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38352-2023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45161</v>
      </c>
      <c r="E335" s="1" t="n">
        <v>46219</v>
      </c>
      <c r="F335" t="inlineStr">
        <is>
          <t>VÄSTERBOTTENS LÄN</t>
        </is>
      </c>
      <c r="G335" t="inlineStr">
        <is>
          <t>ROBERTSFORS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58579-2023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46219</v>
      </c>
      <c r="F336" t="inlineStr">
        <is>
          <t>VÄSTERBOTTENS LÄN</t>
        </is>
      </c>
      <c r="G336" t="inlineStr">
        <is>
          <t>ROBERTSFORS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51949-2024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46219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56502-2024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45625</v>
      </c>
      <c r="E338" s="1" t="n">
        <v>46219</v>
      </c>
      <c r="F338" t="inlineStr">
        <is>
          <t>VÄSTERBOTTENS LÄN</t>
        </is>
      </c>
      <c r="G338" t="inlineStr">
        <is>
          <t>ROBERTSFORS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58582-2023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45246</v>
      </c>
      <c r="E339" s="1" t="n">
        <v>46219</v>
      </c>
      <c r="F339" t="inlineStr">
        <is>
          <t>VÄSTERBOTTENS LÄN</t>
        </is>
      </c>
      <c r="G339" t="inlineStr">
        <is>
          <t>ROBERTSFORS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50448-2024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45601</v>
      </c>
      <c r="E340" s="1" t="n">
        <v>46219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36771-2022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44805</v>
      </c>
      <c r="E341" s="1" t="n">
        <v>46219</v>
      </c>
      <c r="F341" t="inlineStr">
        <is>
          <t>VÄSTERBOTTENS LÄN</t>
        </is>
      </c>
      <c r="G341" t="inlineStr">
        <is>
          <t>ROBERTSFORS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2651-2026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46219</v>
      </c>
      <c r="F342" t="inlineStr">
        <is>
          <t>VÄSTERBOTTENS LÄN</t>
        </is>
      </c>
      <c r="G342" t="inlineStr">
        <is>
          <t>ROBERTSFORS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46219</v>
      </c>
      <c r="F343" t="inlineStr">
        <is>
          <t>VÄSTERBOTTENS LÄN</t>
        </is>
      </c>
      <c r="G343" t="inlineStr">
        <is>
          <t>ROBERTSFORS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4614-2025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45687</v>
      </c>
      <c r="E344" s="1" t="n">
        <v>46219</v>
      </c>
      <c r="F344" t="inlineStr">
        <is>
          <t>VÄSTERBOTTENS LÄN</t>
        </is>
      </c>
      <c r="G344" t="inlineStr">
        <is>
          <t>ROBERTSFORS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8238-2025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45708</v>
      </c>
      <c r="E345" s="1" t="n">
        <v>46219</v>
      </c>
      <c r="F345" t="inlineStr">
        <is>
          <t>VÄSTERBOTTENS LÄN</t>
        </is>
      </c>
      <c r="G345" t="inlineStr">
        <is>
          <t>ROBERTSFORS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4376-2022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44588</v>
      </c>
      <c r="E346" s="1" t="n">
        <v>46219</v>
      </c>
      <c r="F346" t="inlineStr">
        <is>
          <t>VÄSTERBOTTENS LÄN</t>
        </is>
      </c>
      <c r="G346" t="inlineStr">
        <is>
          <t>ROBERTSFORS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46219</v>
      </c>
      <c r="F347" t="inlineStr">
        <is>
          <t>VÄSTERBOTTENS LÄN</t>
        </is>
      </c>
      <c r="G347" t="inlineStr">
        <is>
          <t>ROBERTSFORS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10173-2022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44622</v>
      </c>
      <c r="E348" s="1" t="n">
        <v>46219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289-2025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45653</v>
      </c>
      <c r="E349" s="1" t="n">
        <v>46219</v>
      </c>
      <c r="F349" t="inlineStr">
        <is>
          <t>VÄSTERBOTTENS LÄN</t>
        </is>
      </c>
      <c r="G349" t="inlineStr">
        <is>
          <t>ROBERTSFORS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46219</v>
      </c>
      <c r="F350" t="inlineStr">
        <is>
          <t>VÄSTERBOTTENS LÄN</t>
        </is>
      </c>
      <c r="G350" t="inlineStr">
        <is>
          <t>ROBERTSFORS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46219</v>
      </c>
      <c r="F351" t="inlineStr">
        <is>
          <t>VÄSTERBOTTENS LÄN</t>
        </is>
      </c>
      <c r="G351" t="inlineStr">
        <is>
          <t>ROBERTSFORS</t>
        </is>
      </c>
      <c r="I351" t="n">
        <v>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20519-2022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44699</v>
      </c>
      <c r="E352" s="1" t="n">
        <v>46219</v>
      </c>
      <c r="F352" t="inlineStr">
        <is>
          <t>VÄSTERBOTTENS LÄN</t>
        </is>
      </c>
      <c r="G352" t="inlineStr">
        <is>
          <t>ROBERTSFORS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46219</v>
      </c>
      <c r="F353" t="inlineStr">
        <is>
          <t>VÄSTERBOTTENS LÄN</t>
        </is>
      </c>
      <c r="G353" t="inlineStr">
        <is>
          <t>ROBERTSFORS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46219</v>
      </c>
      <c r="F354" t="inlineStr">
        <is>
          <t>VÄSTERBOTTENS LÄN</t>
        </is>
      </c>
      <c r="G354" t="inlineStr">
        <is>
          <t>ROBERTSFORS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46219</v>
      </c>
      <c r="F355" t="inlineStr">
        <is>
          <t>VÄSTERBOTTENS LÄN</t>
        </is>
      </c>
      <c r="G355" t="inlineStr">
        <is>
          <t>ROBERTSFORS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45659</v>
      </c>
      <c r="E356" s="1" t="n">
        <v>46219</v>
      </c>
      <c r="F356" t="inlineStr">
        <is>
          <t>VÄSTERBOTTENS LÄN</t>
        </is>
      </c>
      <c r="G356" t="inlineStr">
        <is>
          <t>ROBERTSFORS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53564-2024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45611</v>
      </c>
      <c r="E357" s="1" t="n">
        <v>46219</v>
      </c>
      <c r="F357" t="inlineStr">
        <is>
          <t>VÄSTERBOTTENS LÄN</t>
        </is>
      </c>
      <c r="G357" t="inlineStr">
        <is>
          <t>ROBERTSFORS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45670</v>
      </c>
      <c r="E358" s="1" t="n">
        <v>46219</v>
      </c>
      <c r="F358" t="inlineStr">
        <is>
          <t>VÄSTERBOTTENS LÄN</t>
        </is>
      </c>
      <c r="G358" t="inlineStr">
        <is>
          <t>ROBERTSFORS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60225-2024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45642</v>
      </c>
      <c r="E359" s="1" t="n">
        <v>46219</v>
      </c>
      <c r="F359" t="inlineStr">
        <is>
          <t>VÄSTERBOTTENS LÄN</t>
        </is>
      </c>
      <c r="G359" t="inlineStr">
        <is>
          <t>ROBERTSFORS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44026-2022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44838</v>
      </c>
      <c r="E360" s="1" t="n">
        <v>46219</v>
      </c>
      <c r="F360" t="inlineStr">
        <is>
          <t>VÄSTERBOTTENS LÄN</t>
        </is>
      </c>
      <c r="G360" t="inlineStr">
        <is>
          <t>ROBERTSFORS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22339-2024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45446</v>
      </c>
      <c r="E361" s="1" t="n">
        <v>46219</v>
      </c>
      <c r="F361" t="inlineStr">
        <is>
          <t>VÄSTERBOTTENS LÄN</t>
        </is>
      </c>
      <c r="G361" t="inlineStr">
        <is>
          <t>ROBERTSFORS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7170-2026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46219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7499-2026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46219</v>
      </c>
      <c r="F363" t="inlineStr">
        <is>
          <t>VÄSTERBOTTENS LÄN</t>
        </is>
      </c>
      <c r="G363" t="inlineStr">
        <is>
          <t>ROBERTSFORS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7482-2026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46219</v>
      </c>
      <c r="F364" t="inlineStr">
        <is>
          <t>VÄSTERBOTTENS LÄN</t>
        </is>
      </c>
      <c r="G364" t="inlineStr">
        <is>
          <t>ROBERTSFORS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6725-2025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45700</v>
      </c>
      <c r="E365" s="1" t="n">
        <v>46219</v>
      </c>
      <c r="F365" t="inlineStr">
        <is>
          <t>VÄSTERBOTTENS LÄN</t>
        </is>
      </c>
      <c r="G365" t="inlineStr">
        <is>
          <t>ROBERTSFORS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8090-2026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46219</v>
      </c>
      <c r="F366" t="inlineStr">
        <is>
          <t>VÄSTERBOTTENS LÄN</t>
        </is>
      </c>
      <c r="G366" t="inlineStr">
        <is>
          <t>ROBERTSFORS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48547-2023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45202</v>
      </c>
      <c r="E367" s="1" t="n">
        <v>46219</v>
      </c>
      <c r="F367" t="inlineStr">
        <is>
          <t>VÄSTERBOTTENS LÄN</t>
        </is>
      </c>
      <c r="G367" t="inlineStr">
        <is>
          <t>ROBERTSFORS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30643-2024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45495</v>
      </c>
      <c r="E368" s="1" t="n">
        <v>46219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8484-2026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46219</v>
      </c>
      <c r="F369" t="inlineStr">
        <is>
          <t>VÄSTERBOTTENS LÄN</t>
        </is>
      </c>
      <c r="G369" t="inlineStr">
        <is>
          <t>ROBERTSFORS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8472-2026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46219</v>
      </c>
      <c r="F370" t="inlineStr">
        <is>
          <t>VÄSTERBOTTENS LÄN</t>
        </is>
      </c>
      <c r="G370" t="inlineStr">
        <is>
          <t>ROBERTSFORS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23631-2025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45792</v>
      </c>
      <c r="E371" s="1" t="n">
        <v>46219</v>
      </c>
      <c r="F371" t="inlineStr">
        <is>
          <t>VÄSTERBOTTENS LÄN</t>
        </is>
      </c>
      <c r="G371" t="inlineStr">
        <is>
          <t>ROBERTSFORS</t>
        </is>
      </c>
      <c r="I371" t="n">
        <v>10.1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23593-2025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45792</v>
      </c>
      <c r="E372" s="1" t="n">
        <v>46219</v>
      </c>
      <c r="F372" t="inlineStr">
        <is>
          <t>VÄSTERBOTTENS LÄN</t>
        </is>
      </c>
      <c r="G372" t="inlineStr">
        <is>
          <t>ROBERTSFORS</t>
        </is>
      </c>
      <c r="I372" t="n">
        <v>11.3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23605-2025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45792</v>
      </c>
      <c r="E373" s="1" t="n">
        <v>46219</v>
      </c>
      <c r="F373" t="inlineStr">
        <is>
          <t>VÄSTERBOTTENS LÄN</t>
        </is>
      </c>
      <c r="G373" t="inlineStr">
        <is>
          <t>ROBERTSFORS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45678</v>
      </c>
      <c r="E374" s="1" t="n">
        <v>46219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8.9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44372-2023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45188</v>
      </c>
      <c r="E375" s="1" t="n">
        <v>46219</v>
      </c>
      <c r="F375" t="inlineStr">
        <is>
          <t>VÄSTERBOTTENS LÄN</t>
        </is>
      </c>
      <c r="G375" t="inlineStr">
        <is>
          <t>ROBERTSFORS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10258-2026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46076</v>
      </c>
      <c r="E376" s="1" t="n">
        <v>46219</v>
      </c>
      <c r="F376" t="inlineStr">
        <is>
          <t>VÄSTERBOTTENS LÄN</t>
        </is>
      </c>
      <c r="G376" t="inlineStr">
        <is>
          <t>ROBERTSFORS</t>
        </is>
      </c>
      <c r="I376" t="n">
        <v>10.8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8256-2025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45708</v>
      </c>
      <c r="E377" s="1" t="n">
        <v>46219</v>
      </c>
      <c r="F377" t="inlineStr">
        <is>
          <t>VÄSTERBOTTENS LÄN</t>
        </is>
      </c>
      <c r="G377" t="inlineStr">
        <is>
          <t>ROBERTSFORS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17210-2025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45756</v>
      </c>
      <c r="E378" s="1" t="n">
        <v>46219</v>
      </c>
      <c r="F378" t="inlineStr">
        <is>
          <t>VÄSTERBOTTENS LÄN</t>
        </is>
      </c>
      <c r="G378" t="inlineStr">
        <is>
          <t>ROBERTSFORS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23961-2025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45794</v>
      </c>
      <c r="E379" s="1" t="n">
        <v>46219</v>
      </c>
      <c r="F379" t="inlineStr">
        <is>
          <t>VÄSTERBOTTENS LÄN</t>
        </is>
      </c>
      <c r="G379" t="inlineStr">
        <is>
          <t>ROBERTSFORS</t>
        </is>
      </c>
      <c r="I379" t="n">
        <v>7.3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32581-2022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44783</v>
      </c>
      <c r="E380" s="1" t="n">
        <v>46219</v>
      </c>
      <c r="F380" t="inlineStr">
        <is>
          <t>VÄSTERBOTTENS LÄN</t>
        </is>
      </c>
      <c r="G380" t="inlineStr">
        <is>
          <t>ROBERTSFORS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11421-2026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46219</v>
      </c>
      <c r="F381" t="inlineStr">
        <is>
          <t>VÄSTERBOTTENS LÄN</t>
        </is>
      </c>
      <c r="G381" t="inlineStr">
        <is>
          <t>ROBERTSFORS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25446-2024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45463</v>
      </c>
      <c r="E382" s="1" t="n">
        <v>46219</v>
      </c>
      <c r="F382" t="inlineStr">
        <is>
          <t>VÄSTERBOTTENS LÄN</t>
        </is>
      </c>
      <c r="G382" t="inlineStr">
        <is>
          <t>ROBERTSFORS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991-2024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46219</v>
      </c>
      <c r="F383" t="inlineStr">
        <is>
          <t>VÄSTERBOTTENS LÄN</t>
        </is>
      </c>
      <c r="G383" t="inlineStr">
        <is>
          <t>ROBERTSFORS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18168-2025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45761</v>
      </c>
      <c r="E384" s="1" t="n">
        <v>46219</v>
      </c>
      <c r="F384" t="inlineStr">
        <is>
          <t>VÄSTERBOTTENS LÄN</t>
        </is>
      </c>
      <c r="G384" t="inlineStr">
        <is>
          <t>ROBERTSFORS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13397-2026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46219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14671-2023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45013</v>
      </c>
      <c r="E386" s="1" t="n">
        <v>46219</v>
      </c>
      <c r="F386" t="inlineStr">
        <is>
          <t>VÄSTERBOTTENS LÄN</t>
        </is>
      </c>
      <c r="G386" t="inlineStr">
        <is>
          <t>ROBERTSFORS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25333-2025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45800</v>
      </c>
      <c r="E387" s="1" t="n">
        <v>46219</v>
      </c>
      <c r="F387" t="inlineStr">
        <is>
          <t>VÄSTERBOTTENS LÄN</t>
        </is>
      </c>
      <c r="G387" t="inlineStr">
        <is>
          <t>ROBERTSFORS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14096-2026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46219</v>
      </c>
      <c r="F388" t="inlineStr">
        <is>
          <t>VÄSTERBOTTENS LÄN</t>
        </is>
      </c>
      <c r="G388" t="inlineStr">
        <is>
          <t>ROBERTSFORS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25201-2025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45800</v>
      </c>
      <c r="E389" s="1" t="n">
        <v>46219</v>
      </c>
      <c r="F389" t="inlineStr">
        <is>
          <t>VÄSTERBOTTENS LÄN</t>
        </is>
      </c>
      <c r="G389" t="inlineStr">
        <is>
          <t>ROBERTSFORS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14098-2026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46219</v>
      </c>
      <c r="F390" t="inlineStr">
        <is>
          <t>VÄSTERBOTTENS LÄN</t>
        </is>
      </c>
      <c r="G390" t="inlineStr">
        <is>
          <t>ROBERTSFORS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25373-2025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46219</v>
      </c>
      <c r="F391" t="inlineStr">
        <is>
          <t>VÄSTERBOTTENS LÄN</t>
        </is>
      </c>
      <c r="G391" t="inlineStr">
        <is>
          <t>ROBERTSFORS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36477-2024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45537</v>
      </c>
      <c r="E392" s="1" t="n">
        <v>46219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15015-2026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46104</v>
      </c>
      <c r="E393" s="1" t="n">
        <v>46219</v>
      </c>
      <c r="F393" t="inlineStr">
        <is>
          <t>VÄSTERBOTTENS LÄN</t>
        </is>
      </c>
      <c r="G393" t="inlineStr">
        <is>
          <t>ROBERTSFORS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1922-2023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44938</v>
      </c>
      <c r="E394" s="1" t="n">
        <v>46219</v>
      </c>
      <c r="F394" t="inlineStr">
        <is>
          <t>VÄSTERBOTTENS LÄN</t>
        </is>
      </c>
      <c r="G394" t="inlineStr">
        <is>
          <t>ROBERTSFORS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61553-2023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45261</v>
      </c>
      <c r="E395" s="1" t="n">
        <v>46219</v>
      </c>
      <c r="F395" t="inlineStr">
        <is>
          <t>VÄSTERBOTTENS LÄN</t>
        </is>
      </c>
      <c r="G395" t="inlineStr">
        <is>
          <t>ROBERTSFORS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46219</v>
      </c>
      <c r="F396" t="inlineStr">
        <is>
          <t>VÄSTERBOTTENS LÄN</t>
        </is>
      </c>
      <c r="G396" t="inlineStr">
        <is>
          <t>ROBERTSFORS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25579-2025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46219</v>
      </c>
      <c r="F397" t="inlineStr">
        <is>
          <t>VÄSTERBOTTENS LÄN</t>
        </is>
      </c>
      <c r="G397" t="inlineStr">
        <is>
          <t>ROBERTSFORS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25577-2025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45803</v>
      </c>
      <c r="E398" s="1" t="n">
        <v>46219</v>
      </c>
      <c r="F398" t="inlineStr">
        <is>
          <t>VÄSTERBOTTENS LÄN</t>
        </is>
      </c>
      <c r="G398" t="inlineStr">
        <is>
          <t>ROBERTSFORS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26368-2024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45468</v>
      </c>
      <c r="E399" s="1" t="n">
        <v>46219</v>
      </c>
      <c r="F399" t="inlineStr">
        <is>
          <t>VÄSTERBOTTENS LÄN</t>
        </is>
      </c>
      <c r="G399" t="inlineStr">
        <is>
          <t>ROBERTSFORS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60882-2024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46219</v>
      </c>
      <c r="F400" t="inlineStr">
        <is>
          <t>VÄSTERBOTTENS LÄN</t>
        </is>
      </c>
      <c r="G400" t="inlineStr">
        <is>
          <t>ROBERTSFORS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16482-2026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46219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16872-2026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46219</v>
      </c>
      <c r="F402" t="inlineStr">
        <is>
          <t>VÄSTERBOTTENS LÄN</t>
        </is>
      </c>
      <c r="G402" t="inlineStr">
        <is>
          <t>ROBERTSFORS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31905-2024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45510</v>
      </c>
      <c r="E403" s="1" t="n">
        <v>46219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55717-2024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45622</v>
      </c>
      <c r="E404" s="1" t="n">
        <v>46219</v>
      </c>
      <c r="F404" t="inlineStr">
        <is>
          <t>VÄSTERBOTTENS LÄN</t>
        </is>
      </c>
      <c r="G404" t="inlineStr">
        <is>
          <t>ROBERTSFORS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45671</v>
      </c>
      <c r="E405" s="1" t="n">
        <v>46219</v>
      </c>
      <c r="F405" t="inlineStr">
        <is>
          <t>VÄSTERBOTTENS LÄN</t>
        </is>
      </c>
      <c r="G405" t="inlineStr">
        <is>
          <t>ROBERTSFORS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9305-2023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46219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4602-2025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45687</v>
      </c>
      <c r="E407" s="1" t="n">
        <v>46219</v>
      </c>
      <c r="F407" t="inlineStr">
        <is>
          <t>VÄSTERBOTTENS LÄN</t>
        </is>
      </c>
      <c r="G407" t="inlineStr">
        <is>
          <t>ROBERTSFORS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46300-2024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45581</v>
      </c>
      <c r="E408" s="1" t="n">
        <v>46219</v>
      </c>
      <c r="F408" t="inlineStr">
        <is>
          <t>VÄSTERBOTTENS LÄN</t>
        </is>
      </c>
      <c r="G408" t="inlineStr">
        <is>
          <t>ROBERTSFORS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59028-2024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45636</v>
      </c>
      <c r="E409" s="1" t="n">
        <v>46219</v>
      </c>
      <c r="F409" t="inlineStr">
        <is>
          <t>VÄSTERBOTTENS LÄN</t>
        </is>
      </c>
      <c r="G409" t="inlineStr">
        <is>
          <t>ROBERTSFORS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38951-2024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45548</v>
      </c>
      <c r="E410" s="1" t="n">
        <v>46219</v>
      </c>
      <c r="F410" t="inlineStr">
        <is>
          <t>VÄSTERBOTTENS LÄN</t>
        </is>
      </c>
      <c r="G410" t="inlineStr">
        <is>
          <t>ROBERTSFORS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17780-2026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46219</v>
      </c>
      <c r="F411" t="inlineStr">
        <is>
          <t>VÄSTERBOTTENS LÄN</t>
        </is>
      </c>
      <c r="G411" t="inlineStr">
        <is>
          <t>ROBERTSFORS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17753-2026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46219</v>
      </c>
      <c r="F412" t="inlineStr">
        <is>
          <t>VÄSTERBOTTENS LÄN</t>
        </is>
      </c>
      <c r="G412" t="inlineStr">
        <is>
          <t>ROBERTSFORS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26984-2025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45811</v>
      </c>
      <c r="E413" s="1" t="n">
        <v>46219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12.7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65772-2021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44516</v>
      </c>
      <c r="E414" s="1" t="n">
        <v>46219</v>
      </c>
      <c r="F414" t="inlineStr">
        <is>
          <t>VÄSTERBOTTENS LÄN</t>
        </is>
      </c>
      <c r="G414" t="inlineStr">
        <is>
          <t>ROBERTSFORS</t>
        </is>
      </c>
      <c r="I414" t="n">
        <v>18.2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17765-2026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46219</v>
      </c>
      <c r="F415" t="inlineStr">
        <is>
          <t>VÄSTERBOTTENS LÄN</t>
        </is>
      </c>
      <c r="G415" t="inlineStr">
        <is>
          <t>ROBERTSFORS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16993-2023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45033</v>
      </c>
      <c r="E416" s="1" t="n">
        <v>46219</v>
      </c>
      <c r="F416" t="inlineStr">
        <is>
          <t>VÄSTERBOTTENS LÄN</t>
        </is>
      </c>
      <c r="G416" t="inlineStr">
        <is>
          <t>ROBERTSFORS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19160-2023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45048</v>
      </c>
      <c r="E417" s="1" t="n">
        <v>46219</v>
      </c>
      <c r="F417" t="inlineStr">
        <is>
          <t>VÄSTERBOTTENS LÄN</t>
        </is>
      </c>
      <c r="G417" t="inlineStr">
        <is>
          <t>ROBERTSFORS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18294-2026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46126</v>
      </c>
      <c r="E418" s="1" t="n">
        <v>46219</v>
      </c>
      <c r="F418" t="inlineStr">
        <is>
          <t>VÄSTERBOTTENS LÄN</t>
        </is>
      </c>
      <c r="G418" t="inlineStr">
        <is>
          <t>ROBERTSFORS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18404-2026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46126</v>
      </c>
      <c r="E419" s="1" t="n">
        <v>46219</v>
      </c>
      <c r="F419" t="inlineStr">
        <is>
          <t>VÄSTERBOTTENS LÄN</t>
        </is>
      </c>
      <c r="G419" t="inlineStr">
        <is>
          <t>ROBERTSFORS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18289-2026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46219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27541-2025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45813</v>
      </c>
      <c r="E421" s="1" t="n">
        <v>46219</v>
      </c>
      <c r="F421" t="inlineStr">
        <is>
          <t>VÄSTERBOTTENS LÄN</t>
        </is>
      </c>
      <c r="G421" t="inlineStr">
        <is>
          <t>ROBERTSFORS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44936</v>
      </c>
      <c r="E422" s="1" t="n">
        <v>46219</v>
      </c>
      <c r="F422" t="inlineStr">
        <is>
          <t>VÄSTERBOTTENS LÄN</t>
        </is>
      </c>
      <c r="G422" t="inlineStr">
        <is>
          <t>ROBERTSFORS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19776-2024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45432</v>
      </c>
      <c r="E423" s="1" t="n">
        <v>46219</v>
      </c>
      <c r="F423" t="inlineStr">
        <is>
          <t>VÄSTERBOTTENS LÄN</t>
        </is>
      </c>
      <c r="G423" t="inlineStr">
        <is>
          <t>ROBERTSFORS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19103-2026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46219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28330-2025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45818</v>
      </c>
      <c r="E425" s="1" t="n">
        <v>46219</v>
      </c>
      <c r="F425" t="inlineStr">
        <is>
          <t>VÄSTERBOTTENS LÄN</t>
        </is>
      </c>
      <c r="G425" t="inlineStr">
        <is>
          <t>ROBERTSFORS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19126-2026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46219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19077-2026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46219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38092-2022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44811</v>
      </c>
      <c r="E428" s="1" t="n">
        <v>46219</v>
      </c>
      <c r="F428" t="inlineStr">
        <is>
          <t>VÄSTERBOTTENS LÄN</t>
        </is>
      </c>
      <c r="G428" t="inlineStr">
        <is>
          <t>ROBERTSFORS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62084-2022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44919</v>
      </c>
      <c r="E429" s="1" t="n">
        <v>46219</v>
      </c>
      <c r="F429" t="inlineStr">
        <is>
          <t>VÄSTERBOTTENS LÄN</t>
        </is>
      </c>
      <c r="G429" t="inlineStr">
        <is>
          <t>ROBERTSFORS</t>
        </is>
      </c>
      <c r="I429" t="n">
        <v>64.7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19294-2026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46133</v>
      </c>
      <c r="E430" s="1" t="n">
        <v>46219</v>
      </c>
      <c r="F430" t="inlineStr">
        <is>
          <t>VÄSTERBOTTENS LÄN</t>
        </is>
      </c>
      <c r="G430" t="inlineStr">
        <is>
          <t>ROBERTSFORS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19925-2026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46136</v>
      </c>
      <c r="E431" s="1" t="n">
        <v>46219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51966-2024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45607</v>
      </c>
      <c r="E432" s="1" t="n">
        <v>46219</v>
      </c>
      <c r="F432" t="inlineStr">
        <is>
          <t>VÄSTERBOTTENS LÄN</t>
        </is>
      </c>
      <c r="G432" t="inlineStr">
        <is>
          <t>ROBERTSFORS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19732-2026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46219</v>
      </c>
      <c r="F433" t="inlineStr">
        <is>
          <t>VÄSTERBOTTENS LÄN</t>
        </is>
      </c>
      <c r="G433" t="inlineStr">
        <is>
          <t>ROBERTSFORS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19828-2026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46219</v>
      </c>
      <c r="F434" t="inlineStr">
        <is>
          <t>VÄSTERBOTTENS LÄN</t>
        </is>
      </c>
      <c r="G434" t="inlineStr">
        <is>
          <t>ROBERTSFORS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62187-2021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44502</v>
      </c>
      <c r="E435" s="1" t="n">
        <v>46219</v>
      </c>
      <c r="F435" t="inlineStr">
        <is>
          <t>VÄSTERBOTTENS LÄN</t>
        </is>
      </c>
      <c r="G435" t="inlineStr">
        <is>
          <t>ROBERTSFORS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25588-2026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46219</v>
      </c>
      <c r="F436" t="inlineStr">
        <is>
          <t>VÄSTERBOTTENS LÄN</t>
        </is>
      </c>
      <c r="G436" t="inlineStr">
        <is>
          <t>ROBERTSFORS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2708-2022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44580</v>
      </c>
      <c r="E437" s="1" t="n">
        <v>46219</v>
      </c>
      <c r="F437" t="inlineStr">
        <is>
          <t>VÄSTERBOTTENS LÄN</t>
        </is>
      </c>
      <c r="G437" t="inlineStr">
        <is>
          <t>ROBERTSFORS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19734-2026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46135</v>
      </c>
      <c r="E438" s="1" t="n">
        <v>46219</v>
      </c>
      <c r="F438" t="inlineStr">
        <is>
          <t>VÄSTERBOTTENS LÄN</t>
        </is>
      </c>
      <c r="G438" t="inlineStr">
        <is>
          <t>ROBERTSFORS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25845-2026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46219</v>
      </c>
      <c r="F439" t="inlineStr">
        <is>
          <t>VÄSTERBOTTENS LÄN</t>
        </is>
      </c>
      <c r="G439" t="inlineStr">
        <is>
          <t>ROBERTSFORS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19730-2026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46219</v>
      </c>
      <c r="F440" t="inlineStr">
        <is>
          <t>VÄSTERBOTTENS LÄN</t>
        </is>
      </c>
      <c r="G440" t="inlineStr">
        <is>
          <t>ROBERTSFORS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53271-2021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46219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31110-2025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46219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45924-2024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45580</v>
      </c>
      <c r="E443" s="1" t="n">
        <v>46219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30790-2025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46219</v>
      </c>
      <c r="F444" t="inlineStr">
        <is>
          <t>VÄSTERBOTTENS LÄN</t>
        </is>
      </c>
      <c r="G444" t="inlineStr">
        <is>
          <t>ROBERTSFORS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39325-2021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44413</v>
      </c>
      <c r="E445" s="1" t="n">
        <v>46219</v>
      </c>
      <c r="F445" t="inlineStr">
        <is>
          <t>VÄSTERBOTTENS LÄN</t>
        </is>
      </c>
      <c r="G445" t="inlineStr">
        <is>
          <t>ROBERTSFORS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41529-2025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45901</v>
      </c>
      <c r="E446" s="1" t="n">
        <v>46219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13026-2025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45734</v>
      </c>
      <c r="E447" s="1" t="n">
        <v>46219</v>
      </c>
      <c r="F447" t="inlineStr">
        <is>
          <t>VÄSTERBOTTENS LÄN</t>
        </is>
      </c>
      <c r="G447" t="inlineStr">
        <is>
          <t>ROBERTSFORS</t>
        </is>
      </c>
      <c r="I447" t="n">
        <v>24.4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54968-2024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45620</v>
      </c>
      <c r="E448" s="1" t="n">
        <v>46219</v>
      </c>
      <c r="F448" t="inlineStr">
        <is>
          <t>VÄSTERBOTTENS LÄN</t>
        </is>
      </c>
      <c r="G448" t="inlineStr">
        <is>
          <t>ROBERTSFORS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32499-2025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46219</v>
      </c>
      <c r="F449" t="inlineStr">
        <is>
          <t>VÄSTERBOTTENS LÄN</t>
        </is>
      </c>
      <c r="G449" t="inlineStr">
        <is>
          <t>ROBERTSFORS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26894-2024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45470</v>
      </c>
      <c r="E450" s="1" t="n">
        <v>46219</v>
      </c>
      <c r="F450" t="inlineStr">
        <is>
          <t>VÄSTERBOTTENS LÄN</t>
        </is>
      </c>
      <c r="G450" t="inlineStr">
        <is>
          <t>ROBERTSFORS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57629-2023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46219</v>
      </c>
      <c r="F451" t="inlineStr">
        <is>
          <t>VÄSTERBOTTENS LÄN</t>
        </is>
      </c>
      <c r="G451" t="inlineStr">
        <is>
          <t>ROBERTSFORS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27557-2024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45474</v>
      </c>
      <c r="E452" s="1" t="n">
        <v>46219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16921-2023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45029</v>
      </c>
      <c r="E453" s="1" t="n">
        <v>46219</v>
      </c>
      <c r="F453" t="inlineStr">
        <is>
          <t>VÄSTERBOTTENS LÄN</t>
        </is>
      </c>
      <c r="G453" t="inlineStr">
        <is>
          <t>ROBERTSFORS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39324-2021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44413</v>
      </c>
      <c r="E454" s="1" t="n">
        <v>46219</v>
      </c>
      <c r="F454" t="inlineStr">
        <is>
          <t>VÄSTERBOTTENS LÄN</t>
        </is>
      </c>
      <c r="G454" t="inlineStr">
        <is>
          <t>ROBERTSFORS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32814-2025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45839</v>
      </c>
      <c r="E455" s="1" t="n">
        <v>46219</v>
      </c>
      <c r="F455" t="inlineStr">
        <is>
          <t>VÄSTERBOTTENS LÄN</t>
        </is>
      </c>
      <c r="G455" t="inlineStr">
        <is>
          <t>ROBERTSFORS</t>
        </is>
      </c>
      <c r="I455" t="n">
        <v>7.6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32820-2025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45839</v>
      </c>
      <c r="E456" s="1" t="n">
        <v>46219</v>
      </c>
      <c r="F456" t="inlineStr">
        <is>
          <t>VÄSTERBOTTENS LÄN</t>
        </is>
      </c>
      <c r="G456" t="inlineStr">
        <is>
          <t>ROBERTSFORS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32828-2025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45839</v>
      </c>
      <c r="E457" s="1" t="n">
        <v>46219</v>
      </c>
      <c r="F457" t="inlineStr">
        <is>
          <t>VÄSTERBOTTENS LÄN</t>
        </is>
      </c>
      <c r="G457" t="inlineStr">
        <is>
          <t>ROBERTSFORS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32843-2025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45839</v>
      </c>
      <c r="E458" s="1" t="n">
        <v>46219</v>
      </c>
      <c r="F458" t="inlineStr">
        <is>
          <t>VÄSTERBOTTENS LÄN</t>
        </is>
      </c>
      <c r="G458" t="inlineStr">
        <is>
          <t>ROBERTSFORS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26045-2026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46219</v>
      </c>
      <c r="F459" t="inlineStr">
        <is>
          <t>VÄSTERBOTTENS LÄN</t>
        </is>
      </c>
      <c r="G459" t="inlineStr">
        <is>
          <t>ROBERTSFORS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4478-2023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46219</v>
      </c>
      <c r="F460" t="inlineStr">
        <is>
          <t>VÄSTERBOTTENS LÄN</t>
        </is>
      </c>
      <c r="G460" t="inlineStr">
        <is>
          <t>ROBERTSFORS</t>
        </is>
      </c>
      <c r="I460" t="n">
        <v>16.1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32823-2025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45839</v>
      </c>
      <c r="E461" s="1" t="n">
        <v>46219</v>
      </c>
      <c r="F461" t="inlineStr">
        <is>
          <t>VÄSTERBOTTENS LÄN</t>
        </is>
      </c>
      <c r="G461" t="inlineStr">
        <is>
          <t>ROBERTSFORS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32826-2025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45839</v>
      </c>
      <c r="E462" s="1" t="n">
        <v>46219</v>
      </c>
      <c r="F462" t="inlineStr">
        <is>
          <t>VÄSTERBOTTENS LÄN</t>
        </is>
      </c>
      <c r="G462" t="inlineStr">
        <is>
          <t>ROBERTSFORS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31059-2024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45502</v>
      </c>
      <c r="E463" s="1" t="n">
        <v>46219</v>
      </c>
      <c r="F463" t="inlineStr">
        <is>
          <t>VÄSTERBOTTENS LÄN</t>
        </is>
      </c>
      <c r="G463" t="inlineStr">
        <is>
          <t>ROBERTSFORS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20363-2026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46139</v>
      </c>
      <c r="E464" s="1" t="n">
        <v>46219</v>
      </c>
      <c r="F464" t="inlineStr">
        <is>
          <t>VÄSTERBOTTENS LÄN</t>
        </is>
      </c>
      <c r="G464" t="inlineStr">
        <is>
          <t>ROBERTSFORS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26038-2022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44734</v>
      </c>
      <c r="E465" s="1" t="n">
        <v>46219</v>
      </c>
      <c r="F465" t="inlineStr">
        <is>
          <t>VÄSTERBOTTENS LÄN</t>
        </is>
      </c>
      <c r="G465" t="inlineStr">
        <is>
          <t>ROBERTSFORS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41914-2024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46219</v>
      </c>
      <c r="F466" t="inlineStr">
        <is>
          <t>VÄSTERBOTTENS LÄN</t>
        </is>
      </c>
      <c r="G466" t="inlineStr">
        <is>
          <t>ROBERTSFORS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55417-2023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46219</v>
      </c>
      <c r="F467" t="inlineStr">
        <is>
          <t>VÄSTERBOTTENS LÄN</t>
        </is>
      </c>
      <c r="G467" t="inlineStr">
        <is>
          <t>ROBERTSFORS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33368-2025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45841</v>
      </c>
      <c r="E468" s="1" t="n">
        <v>46219</v>
      </c>
      <c r="F468" t="inlineStr">
        <is>
          <t>VÄSTERBOTTENS LÄN</t>
        </is>
      </c>
      <c r="G468" t="inlineStr">
        <is>
          <t>ROBERTSFORS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24136-2023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45076</v>
      </c>
      <c r="E469" s="1" t="n">
        <v>46219</v>
      </c>
      <c r="F469" t="inlineStr">
        <is>
          <t>VÄSTERBOTTENS LÄN</t>
        </is>
      </c>
      <c r="G469" t="inlineStr">
        <is>
          <t>ROBERTSFORS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33438-2023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45129</v>
      </c>
      <c r="E470" s="1" t="n">
        <v>46219</v>
      </c>
      <c r="F470" t="inlineStr">
        <is>
          <t>VÄSTERBOTTENS LÄN</t>
        </is>
      </c>
      <c r="G470" t="inlineStr">
        <is>
          <t>ROBERTSFORS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20423-2026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46219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33375-2025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45841</v>
      </c>
      <c r="E472" s="1" t="n">
        <v>46219</v>
      </c>
      <c r="F472" t="inlineStr">
        <is>
          <t>VÄSTERBOTTENS LÄN</t>
        </is>
      </c>
      <c r="G472" t="inlineStr">
        <is>
          <t>ROBERTSFORS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35149-2023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45145</v>
      </c>
      <c r="E473" s="1" t="n">
        <v>46219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46969-2025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45929</v>
      </c>
      <c r="E474" s="1" t="n">
        <v>46219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29939-2025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46219</v>
      </c>
      <c r="F475" t="inlineStr">
        <is>
          <t>VÄSTERBOTTENS LÄN</t>
        </is>
      </c>
      <c r="G475" t="inlineStr">
        <is>
          <t>ROBERTSFORS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20355-2026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46139</v>
      </c>
      <c r="E476" s="1" t="n">
        <v>46219</v>
      </c>
      <c r="F476" t="inlineStr">
        <is>
          <t>VÄSTERBOTTENS LÄN</t>
        </is>
      </c>
      <c r="G476" t="inlineStr">
        <is>
          <t>ROBERTSFORS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35313-2023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45146</v>
      </c>
      <c r="E477" s="1" t="n">
        <v>46219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47413-2025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46219</v>
      </c>
      <c r="F478" t="inlineStr">
        <is>
          <t>VÄSTERBOTTENS LÄN</t>
        </is>
      </c>
      <c r="G478" t="inlineStr">
        <is>
          <t>ROBERTSFORS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35565-2025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45856</v>
      </c>
      <c r="E479" s="1" t="n">
        <v>46219</v>
      </c>
      <c r="F479" t="inlineStr">
        <is>
          <t>VÄSTERBOTTENS LÄN</t>
        </is>
      </c>
      <c r="G479" t="inlineStr">
        <is>
          <t>ROBERTSFORS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35562-2025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45856</v>
      </c>
      <c r="E480" s="1" t="n">
        <v>46219</v>
      </c>
      <c r="F480" t="inlineStr">
        <is>
          <t>VÄSTERBOTTENS LÄN</t>
        </is>
      </c>
      <c r="G480" t="inlineStr">
        <is>
          <t>ROBERTSFORS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35543-2025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45856</v>
      </c>
      <c r="E481" s="1" t="n">
        <v>46219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22782-2025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45789</v>
      </c>
      <c r="E482" s="1" t="n">
        <v>46219</v>
      </c>
      <c r="F482" t="inlineStr">
        <is>
          <t>VÄSTERBOTTENS LÄN</t>
        </is>
      </c>
      <c r="G482" t="inlineStr">
        <is>
          <t>ROBERTSFORS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26538-2026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46219</v>
      </c>
      <c r="F483" t="inlineStr">
        <is>
          <t>VÄSTERBOTTENS LÄN</t>
        </is>
      </c>
      <c r="G483" t="inlineStr">
        <is>
          <t>ROBERTSFORS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36594-2025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45870</v>
      </c>
      <c r="E484" s="1" t="n">
        <v>46219</v>
      </c>
      <c r="F484" t="inlineStr">
        <is>
          <t>VÄSTERBOTTENS LÄN</t>
        </is>
      </c>
      <c r="G484" t="inlineStr">
        <is>
          <t>ROBERTSFORS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36818-2025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46219</v>
      </c>
      <c r="F485" t="inlineStr">
        <is>
          <t>VÄSTERBOTTENS LÄN</t>
        </is>
      </c>
      <c r="G485" t="inlineStr">
        <is>
          <t>ROBERTSFORS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20644-2026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46219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26972-2026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46219</v>
      </c>
      <c r="F487" t="inlineStr">
        <is>
          <t>VÄSTERBOTTENS LÄN</t>
        </is>
      </c>
      <c r="G487" t="inlineStr">
        <is>
          <t>ROBERTSFORS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21176-2026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46146</v>
      </c>
      <c r="E488" s="1" t="n">
        <v>46219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27315-2026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46219</v>
      </c>
      <c r="F489" t="inlineStr">
        <is>
          <t>VÄSTERBOTTENS LÄN</t>
        </is>
      </c>
      <c r="G489" t="inlineStr">
        <is>
          <t>ROBERTSFORS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27003-2026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46219</v>
      </c>
      <c r="F490" t="inlineStr">
        <is>
          <t>VÄSTERBOTTENS LÄN</t>
        </is>
      </c>
      <c r="G490" t="inlineStr">
        <is>
          <t>ROBERTSFORS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27294-2026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46219</v>
      </c>
      <c r="F491" t="inlineStr">
        <is>
          <t>VÄSTERBOTTENS LÄN</t>
        </is>
      </c>
      <c r="G491" t="inlineStr">
        <is>
          <t>ROBERTSFORS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27134-2026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46219</v>
      </c>
      <c r="F492" t="inlineStr">
        <is>
          <t>VÄSTERBOTTENS LÄN</t>
        </is>
      </c>
      <c r="G492" t="inlineStr">
        <is>
          <t>ROBERTSFORS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26833-2026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46219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7.2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26949-2026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46219</v>
      </c>
      <c r="F494" t="inlineStr">
        <is>
          <t>VÄSTERBOTTENS LÄN</t>
        </is>
      </c>
      <c r="G494" t="inlineStr">
        <is>
          <t>ROBERTSFORS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27159-2026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46188</v>
      </c>
      <c r="E495" s="1" t="n">
        <v>46219</v>
      </c>
      <c r="F495" t="inlineStr">
        <is>
          <t>VÄSTERBOTTENS LÄN</t>
        </is>
      </c>
      <c r="G495" t="inlineStr">
        <is>
          <t>ROBERTSFORS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21030-2026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46146</v>
      </c>
      <c r="E496" s="1" t="n">
        <v>46219</v>
      </c>
      <c r="F496" t="inlineStr">
        <is>
          <t>VÄSTERBOTTENS LÄN</t>
        </is>
      </c>
      <c r="G496" t="inlineStr">
        <is>
          <t>ROBERTSFORS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21512-2026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46148</v>
      </c>
      <c r="E497" s="1" t="n">
        <v>46219</v>
      </c>
      <c r="F497" t="inlineStr">
        <is>
          <t>VÄSTERBOTTENS LÄN</t>
        </is>
      </c>
      <c r="G497" t="inlineStr">
        <is>
          <t>ROBERTSFORS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21907-2026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46150</v>
      </c>
      <c r="E498" s="1" t="n">
        <v>46219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27894-2026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46219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28222-2026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46219</v>
      </c>
      <c r="F500" t="inlineStr">
        <is>
          <t>VÄSTERBOTTENS LÄN</t>
        </is>
      </c>
      <c r="G500" t="inlineStr">
        <is>
          <t>ROBERTSFORS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21971-2026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46153</v>
      </c>
      <c r="E501" s="1" t="n">
        <v>46219</v>
      </c>
      <c r="F501" t="inlineStr">
        <is>
          <t>VÄSTERBOTTENS LÄN</t>
        </is>
      </c>
      <c r="G501" t="inlineStr">
        <is>
          <t>ROBERTSFORS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28142-2026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46219</v>
      </c>
      <c r="F502" t="inlineStr">
        <is>
          <t>VÄSTERBOTTENS LÄN</t>
        </is>
      </c>
      <c r="G502" t="inlineStr">
        <is>
          <t>ROBERTSFORS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22076-2026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46153</v>
      </c>
      <c r="E503" s="1" t="n">
        <v>46219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22011-2026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46153</v>
      </c>
      <c r="E504" s="1" t="n">
        <v>46219</v>
      </c>
      <c r="F504" t="inlineStr">
        <is>
          <t>VÄSTERBOTTENS LÄN</t>
        </is>
      </c>
      <c r="G504" t="inlineStr">
        <is>
          <t>ROBERTSFORS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21995-2026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46219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22436-2026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46219</v>
      </c>
      <c r="F506" t="inlineStr">
        <is>
          <t>VÄSTERBOTTENS LÄN</t>
        </is>
      </c>
      <c r="G506" t="inlineStr">
        <is>
          <t>ROBERTSFORS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22657-2026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46219</v>
      </c>
      <c r="F507" t="inlineStr">
        <is>
          <t>VÄSTERBOTTENS LÄN</t>
        </is>
      </c>
      <c r="G507" t="inlineStr">
        <is>
          <t>ROBERTSFORS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28651-2026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46219</v>
      </c>
      <c r="F508" t="inlineStr">
        <is>
          <t>VÄSTERBOTTENS LÄN</t>
        </is>
      </c>
      <c r="G508" t="inlineStr">
        <is>
          <t>ROBERTSFORS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29272-2026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46219</v>
      </c>
      <c r="F509" t="inlineStr">
        <is>
          <t>VÄSTERBOTTENS LÄN</t>
        </is>
      </c>
      <c r="G509" t="inlineStr">
        <is>
          <t>ROBERTSFORS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22934-2026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46219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22880-2026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46160</v>
      </c>
      <c r="E511" s="1" t="n">
        <v>46219</v>
      </c>
      <c r="F511" t="inlineStr">
        <is>
          <t>VÄSTERBOTTENS LÄN</t>
        </is>
      </c>
      <c r="G511" t="inlineStr">
        <is>
          <t>ROBERTSFORS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22929-2026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46219</v>
      </c>
      <c r="F512" t="inlineStr">
        <is>
          <t>VÄSTERBOTTENS LÄN</t>
        </is>
      </c>
      <c r="G512" t="inlineStr">
        <is>
          <t>ROBERTSFORS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46219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46219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46219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46219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46219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46219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46219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46219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2026-07-16T01:28:12Z</dcterms:created>
  <dcterms:modified xmlns:dcterms="http://purl.org/dc/terms/" xmlns:xsi="http://www.w3.org/2001/XMLSchema-instance" xsi:type="dcterms:W3CDTF">2026-07-16T01:28:13Z</dcterms:modified>
</cp:coreProperties>
</file>