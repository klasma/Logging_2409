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46231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46231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46231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46231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46231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46231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46231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54875-2025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45967</v>
      </c>
      <c r="E12" s="1" t="n">
        <v>46231</v>
      </c>
      <c r="F12" t="inlineStr">
        <is>
          <t>VÄSTERBOTTENS LÄN</t>
        </is>
      </c>
      <c r="G12" t="inlineStr">
        <is>
          <t>ROBERTSFORS</t>
        </is>
      </c>
      <c r="I12" t="n">
        <v>6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Tretåig hackspett
Ullticka
Bronshjon
Vedticka
Spillkråka
Tjäder</t>
        </is>
      </c>
      <c r="W12">
        <f>HYPERLINK("https://klasma.github.io/Logging_2409/artfynd/A 54875-2025 artfynd.xlsx", "A 54875-2025")</f>
        <v/>
      </c>
      <c r="X12">
        <f>HYPERLINK("https://klasma.github.io/Logging_2409/kartor/A 54875-2025 karta.png", "A 54875-2025")</f>
        <v/>
      </c>
      <c r="Y12">
        <f>HYPERLINK("https://klasma.github.io/Logging_2409/kartor_geotiff/A 54875-2025 georefererad karta.tif", "A 54875-2025")</f>
        <v/>
      </c>
      <c r="AA12">
        <f>HYPERLINK("https://klasma.github.io/Logging_2409/klagomål/A 54875-2025 FSC-klagomål.docx", "A 54875-2025")</f>
        <v/>
      </c>
      <c r="AB12">
        <f>HYPERLINK("https://klasma.github.io/Logging_2409/klagomålsmail/A 54875-2025 FSC-klagomål mail.docx", "A 54875-2025")</f>
        <v/>
      </c>
      <c r="AC12">
        <f>HYPERLINK("https://klasma.github.io/Logging_2409/tillsyn/A 54875-2025 tillsynsbegäran.docx", "A 54875-2025")</f>
        <v/>
      </c>
      <c r="AD12">
        <f>HYPERLINK("https://klasma.github.io/Logging_2409/tillsynsmail/A 54875-2025 tillsynsbegäran mail.docx", "A 54875-2025")</f>
        <v/>
      </c>
      <c r="AE12">
        <f>HYPERLINK("https://klasma.github.io/Logging_2409/fåglar/A 54875-2025 prioriterade fågelarter.docx", "A 54875-2025")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46231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46231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46231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t="n">
        <v>6</v>
      </c>
      <c r="V15" s="2" t="inlineStr">
        <is>
          <t>Garnlav
Knärot
Tretåig hackspett
Nästlav
Tjäder</t>
        </is>
      </c>
      <c r="W15">
        <f>HYPERLINK("https://klasma.github.io/Logging_2409/artfynd/A 20377-2026 artfynd.xlsx", "A 20377-2026")</f>
        <v/>
      </c>
      <c r="X15">
        <f>HYPERLINK("https://klasma.github.io/Logging_2409/kartor/A 20377-2026 karta.png", "A 20377-2026")</f>
        <v/>
      </c>
      <c r="Y15">
        <f>HYPERLINK("https://klasma.github.io/Logging_2409/kartor_geotiff/A 20377-2026 georefererad karta.tif", "A 20377-2026")</f>
        <v/>
      </c>
      <c r="Z15">
        <f>HYPERLINK("https://klasma.github.io/Logging_2409/knärot/A 20377-2026 karta knärot.png", "A 20377-2026")</f>
        <v/>
      </c>
      <c r="AA15">
        <f>HYPERLINK("https://klasma.github.io/Logging_2409/klagomål/A 20377-2026 FSC-klagomål.docx", "A 20377-2026")</f>
        <v/>
      </c>
      <c r="AB15">
        <f>HYPERLINK("https://klasma.github.io/Logging_2409/klagomålsmail/A 20377-2026 FSC-klagomål mail.docx", "A 20377-2026")</f>
        <v/>
      </c>
      <c r="AC15">
        <f>HYPERLINK("https://klasma.github.io/Logging_2409/tillsyn/A 20377-2026 tillsynsbegäran.docx", "A 20377-2026")</f>
        <v/>
      </c>
      <c r="AD15">
        <f>HYPERLINK("https://klasma.github.io/Logging_2409/tillsynsmail/A 20377-2026 tillsynsbegäran mail.docx", "A 20377-2026")</f>
        <v/>
      </c>
      <c r="AE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46231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46231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46231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46231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46231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46231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46231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Gråspett
Tjäder</t>
        </is>
      </c>
      <c r="W23">
        <f>HYPERLINK("https://klasma.github.io/Logging_2409/artfynd/A 24241-2022 artfynd.xlsx", "A 24241-2022")</f>
        <v/>
      </c>
      <c r="X23">
        <f>HYPERLINK("https://klasma.github.io/Logging_2409/kartor/A 24241-2022 karta.png", "A 24241-2022")</f>
        <v/>
      </c>
      <c r="Y23">
        <f>HYPERLINK("https://klasma.github.io/Logging_2409/kartor_geotiff/A 24241-2022 georefererad karta.tif", "A 24241-2022")</f>
        <v/>
      </c>
      <c r="AA23">
        <f>HYPERLINK("https://klasma.github.io/Logging_2409/klagomål/A 24241-2022 FSC-klagomål.docx", "A 24241-2022")</f>
        <v/>
      </c>
      <c r="AB23">
        <f>HYPERLINK("https://klasma.github.io/Logging_2409/klagomålsmail/A 24241-2022 FSC-klagomål mail.docx", "A 24241-2022")</f>
        <v/>
      </c>
      <c r="AC23">
        <f>HYPERLINK("https://klasma.github.io/Logging_2409/tillsyn/A 24241-2022 tillsynsbegäran.docx", "A 24241-2022")</f>
        <v/>
      </c>
      <c r="AD23">
        <f>HYPERLINK("https://klasma.github.io/Logging_2409/tillsynsmail/A 24241-2022 tillsynsbegäran mail.docx", "A 24241-2022")</f>
        <v/>
      </c>
      <c r="AE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46231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46231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46231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46231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46231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19724-2023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45051</v>
      </c>
      <c r="E30" s="1" t="n">
        <v>46231</v>
      </c>
      <c r="F30" t="inlineStr">
        <is>
          <t>VÄSTERBOTTENS LÄN</t>
        </is>
      </c>
      <c r="G30" t="inlineStr">
        <is>
          <t>ROBERTSFORS</t>
        </is>
      </c>
      <c r="I30" t="n">
        <v>6.1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Skarp dropptaggsvamp</t>
        </is>
      </c>
      <c r="W30">
        <f>HYPERLINK("https://klasma.github.io/Logging_2409/artfynd/A 19724-2023 artfynd.xlsx", "A 19724-2023")</f>
        <v/>
      </c>
      <c r="X30">
        <f>HYPERLINK("https://klasma.github.io/Logging_2409/kartor/A 19724-2023 karta.png", "A 19724-2023")</f>
        <v/>
      </c>
      <c r="Y30">
        <f>HYPERLINK("https://klasma.github.io/Logging_2409/kartor_geotiff/A 19724-2023 georefererad karta.tif", "A 19724-2023")</f>
        <v/>
      </c>
      <c r="AA30">
        <f>HYPERLINK("https://klasma.github.io/Logging_2409/klagomål/A 19724-2023 FSC-klagomål.docx", "A 19724-2023")</f>
        <v/>
      </c>
      <c r="AB30">
        <f>HYPERLINK("https://klasma.github.io/Logging_2409/klagomålsmail/A 19724-2023 FSC-klagomål mail.docx", "A 19724-2023")</f>
        <v/>
      </c>
      <c r="AC30">
        <f>HYPERLINK("https://klasma.github.io/Logging_2409/tillsyn/A 19724-2023 tillsynsbegäran.docx", "A 19724-2023")</f>
        <v/>
      </c>
      <c r="AD30">
        <f>HYPERLINK("https://klasma.github.io/Logging_2409/tillsynsmail/A 19724-2023 tillsynsbegäran mail.docx", "A 19724-2023")</f>
        <v/>
      </c>
    </row>
    <row r="31" ht="15" customHeight="1">
      <c r="A31" t="inlineStr">
        <is>
          <t>A 43097-2023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46231</v>
      </c>
      <c r="F31" t="inlineStr">
        <is>
          <t>VÄSTERBOTTENS LÄN</t>
        </is>
      </c>
      <c r="G31" t="inlineStr">
        <is>
          <t>ROBERTSFORS</t>
        </is>
      </c>
      <c r="I31" t="n">
        <v>3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Talltita</t>
        </is>
      </c>
      <c r="W31">
        <f>HYPERLINK("https://klasma.github.io/Logging_2409/artfynd/A 43097-2023 artfynd.xlsx", "A 43097-2023")</f>
        <v/>
      </c>
      <c r="X31">
        <f>HYPERLINK("https://klasma.github.io/Logging_2409/kartor/A 43097-2023 karta.png", "A 43097-2023")</f>
        <v/>
      </c>
      <c r="Y31">
        <f>HYPERLINK("https://klasma.github.io/Logging_2409/kartor_geotiff/A 43097-2023 georefererad karta.tif", "A 43097-2023")</f>
        <v/>
      </c>
      <c r="AA31">
        <f>HYPERLINK("https://klasma.github.io/Logging_2409/klagomål/A 43097-2023 FSC-klagomål.docx", "A 43097-2023")</f>
        <v/>
      </c>
      <c r="AB31">
        <f>HYPERLINK("https://klasma.github.io/Logging_2409/klagomålsmail/A 43097-2023 FSC-klagomål mail.docx", "A 43097-2023")</f>
        <v/>
      </c>
      <c r="AC31">
        <f>HYPERLINK("https://klasma.github.io/Logging_2409/tillsyn/A 43097-2023 tillsynsbegäran.docx", "A 43097-2023")</f>
        <v/>
      </c>
      <c r="AD31">
        <f>HYPERLINK("https://klasma.github.io/Logging_2409/tillsynsmail/A 43097-2023 tillsynsbegäran mail.docx", "A 43097-2023")</f>
        <v/>
      </c>
      <c r="AE31">
        <f>HYPERLINK("https://klasma.github.io/Logging_2409/fåglar/A 43097-2023 prioriterade fågelarter.docx", "A 43097-2023")</f>
        <v/>
      </c>
    </row>
    <row r="32" ht="15" customHeight="1">
      <c r="A32" t="inlineStr">
        <is>
          <t>A 48882-2025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45937</v>
      </c>
      <c r="E32" s="1" t="n">
        <v>46231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Kyrkan</t>
        </is>
      </c>
      <c r="I32" t="n">
        <v>5.5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Harticka
Ullticka</t>
        </is>
      </c>
      <c r="W32">
        <f>HYPERLINK("https://klasma.github.io/Logging_2409/artfynd/A 48882-2025 artfynd.xlsx", "A 48882-2025")</f>
        <v/>
      </c>
      <c r="X32">
        <f>HYPERLINK("https://klasma.github.io/Logging_2409/kartor/A 48882-2025 karta.png", "A 48882-2025")</f>
        <v/>
      </c>
      <c r="Y32">
        <f>HYPERLINK("https://klasma.github.io/Logging_2409/kartor_geotiff/A 48882-2025 georefererad karta.tif", "A 48882-2025")</f>
        <v/>
      </c>
      <c r="AA32">
        <f>HYPERLINK("https://klasma.github.io/Logging_2409/klagomål/A 48882-2025 FSC-klagomål.docx", "A 48882-2025")</f>
        <v/>
      </c>
      <c r="AB32">
        <f>HYPERLINK("https://klasma.github.io/Logging_2409/klagomålsmail/A 48882-2025 FSC-klagomål mail.docx", "A 48882-2025")</f>
        <v/>
      </c>
      <c r="AC32">
        <f>HYPERLINK("https://klasma.github.io/Logging_2409/tillsyn/A 48882-2025 tillsynsbegäran.docx", "A 48882-2025")</f>
        <v/>
      </c>
      <c r="AD32">
        <f>HYPERLINK("https://klasma.github.io/Logging_2409/tillsynsmail/A 48882-2025 tillsynsbegäran mail.docx", "A 48882-2025")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46231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46231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46231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46231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t="n">
        <v>0</v>
      </c>
      <c r="V36" s="2" t="inlineStr">
        <is>
          <t>Garnlav
Tretåig hackspett</t>
        </is>
      </c>
      <c r="W36">
        <f>HYPERLINK("https://klasma.github.io/Logging_2409/artfynd/A 26807-2026 artfynd.xlsx", "A 26807-2026")</f>
        <v/>
      </c>
      <c r="X36">
        <f>HYPERLINK("https://klasma.github.io/Logging_2409/kartor/A 26807-2026 karta.png", "A 26807-2026")</f>
        <v/>
      </c>
      <c r="Y36">
        <f>HYPERLINK("https://klasma.github.io/Logging_2409/kartor_geotiff/A 26807-2026 georefererad karta.tif", "A 26807-2026")</f>
        <v/>
      </c>
      <c r="AA36">
        <f>HYPERLINK("https://klasma.github.io/Logging_2409/klagomål/A 26807-2026 FSC-klagomål.docx", "A 26807-2026")</f>
        <v/>
      </c>
      <c r="AB36">
        <f>HYPERLINK("https://klasma.github.io/Logging_2409/klagomålsmail/A 26807-2026 FSC-klagomål mail.docx", "A 26807-2026")</f>
        <v/>
      </c>
      <c r="AC36">
        <f>HYPERLINK("https://klasma.github.io/Logging_2409/tillsyn/A 26807-2026 tillsynsbegäran.docx", "A 26807-2026")</f>
        <v/>
      </c>
      <c r="AD36">
        <f>HYPERLINK("https://klasma.github.io/Logging_2409/tillsynsmail/A 26807-2026 tillsynsbegäran mail.docx", "A 26807-2026")</f>
        <v/>
      </c>
      <c r="AE36">
        <f>HYPERLINK("https://klasma.github.io/Logging_2409/fåglar/A 26807-2026 prioriterade fågelarter.docx", "A 26807-2026")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46231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Tretåig hackspett
Spillkråka</t>
        </is>
      </c>
      <c r="W37">
        <f>HYPERLINK("https://klasma.github.io/Logging_2409/artfynd/A 41723-2024 artfynd.xlsx", "A 41723-2024")</f>
        <v/>
      </c>
      <c r="X37">
        <f>HYPERLINK("https://klasma.github.io/Logging_2409/kartor/A 41723-2024 karta.png", "A 41723-2024")</f>
        <v/>
      </c>
      <c r="Y37">
        <f>HYPERLINK("https://klasma.github.io/Logging_2409/kartor_geotiff/A 41723-2024 georefererad karta.tif", "A 41723-2024")</f>
        <v/>
      </c>
      <c r="AA37">
        <f>HYPERLINK("https://klasma.github.io/Logging_2409/klagomål/A 41723-2024 FSC-klagomål.docx", "A 41723-2024")</f>
        <v/>
      </c>
      <c r="AB37">
        <f>HYPERLINK("https://klasma.github.io/Logging_2409/klagomålsmail/A 41723-2024 FSC-klagomål mail.docx", "A 41723-2024")</f>
        <v/>
      </c>
      <c r="AC37">
        <f>HYPERLINK("https://klasma.github.io/Logging_2409/tillsyn/A 41723-2024 tillsynsbegäran.docx", "A 41723-2024")</f>
        <v/>
      </c>
      <c r="AD37">
        <f>HYPERLINK("https://klasma.github.io/Logging_2409/tillsynsmail/A 41723-2024 tillsynsbegäran mail.docx", "A 41723-2024")</f>
        <v/>
      </c>
      <c r="AE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5285-2026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46231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HYPERLINK("https://klasma.github.io/Logging_2409/artfynd/A 5285-2026 artfynd.xlsx", "A 5285-2026")</f>
        <v/>
      </c>
      <c r="X43">
        <f>HYPERLINK("https://klasma.github.io/Logging_2409/kartor/A 5285-2026 karta.png", "A 5285-2026")</f>
        <v/>
      </c>
      <c r="Y43">
        <f>HYPERLINK("https://klasma.github.io/Logging_2409/kartor_geotiff/A 5285-2026 georefererad karta.tif", "A 5285-2026")</f>
        <v/>
      </c>
      <c r="AA43">
        <f>HYPERLINK("https://klasma.github.io/Logging_2409/klagomål/A 5285-2026 FSC-klagomål.docx", "A 5285-2026")</f>
        <v/>
      </c>
      <c r="AB43">
        <f>HYPERLINK("https://klasma.github.io/Logging_2409/klagomålsmail/A 5285-2026 FSC-klagomål mail.docx", "A 5285-2026")</f>
        <v/>
      </c>
      <c r="AC43">
        <f>HYPERLINK("https://klasma.github.io/Logging_2409/tillsyn/A 5285-2026 tillsynsbegäran.docx", "A 5285-2026")</f>
        <v/>
      </c>
      <c r="AD43">
        <f>HYPERLINK("https://klasma.github.io/Logging_2409/tillsynsmail/A 5285-2026 tillsynsbegäran mail.docx", "A 5285-2026")</f>
        <v/>
      </c>
      <c r="AE43">
        <f>HYPERLINK("https://klasma.github.io/Logging_2409/fåglar/A 5285-2026 prioriterade fågelarter.docx", "A 5285-2026")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46231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5289-2026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46231</v>
      </c>
      <c r="F45" t="inlineStr">
        <is>
          <t>VÄSTERBOTTENS LÄN</t>
        </is>
      </c>
      <c r="G45" t="inlineStr">
        <is>
          <t>ROBERTSFORS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Björktrast</t>
        </is>
      </c>
      <c r="W45">
        <f>HYPERLINK("https://klasma.github.io/Logging_2409/artfynd/A 5289-2026 artfynd.xlsx", "A 5289-2026")</f>
        <v/>
      </c>
      <c r="X45">
        <f>HYPERLINK("https://klasma.github.io/Logging_2409/kartor/A 5289-2026 karta.png", "A 5289-2026")</f>
        <v/>
      </c>
      <c r="Y45">
        <f>HYPERLINK("https://klasma.github.io/Logging_2409/kartor_geotiff/A 5289-2026 georefererad karta.tif", "A 5289-2026")</f>
        <v/>
      </c>
      <c r="AA45">
        <f>HYPERLINK("https://klasma.github.io/Logging_2409/klagomål/A 5289-2026 FSC-klagomål.docx", "A 5289-2026")</f>
        <v/>
      </c>
      <c r="AB45">
        <f>HYPERLINK("https://klasma.github.io/Logging_2409/klagomålsmail/A 5289-2026 FSC-klagomål mail.docx", "A 5289-2026")</f>
        <v/>
      </c>
      <c r="AC45">
        <f>HYPERLINK("https://klasma.github.io/Logging_2409/tillsyn/A 5289-2026 tillsynsbegäran.docx", "A 5289-2026")</f>
        <v/>
      </c>
      <c r="AD45">
        <f>HYPERLINK("https://klasma.github.io/Logging_2409/tillsynsmail/A 5289-2026 tillsynsbegäran mail.docx", "A 5289-2026")</f>
        <v/>
      </c>
      <c r="AE45">
        <f>HYPERLINK("https://klasma.github.io/Logging_2409/fåglar/A 5289-2026 prioriterade fågelarter.docx", "A 5289-2026")</f>
        <v/>
      </c>
    </row>
    <row r="46" ht="15" customHeight="1">
      <c r="A46" t="inlineStr">
        <is>
          <t>A 30344-2025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46231</v>
      </c>
      <c r="F46" t="inlineStr">
        <is>
          <t>VÄSTERBOTTENS LÄN</t>
        </is>
      </c>
      <c r="G46" t="inlineStr">
        <is>
          <t>ROBERTSFORS</t>
        </is>
      </c>
      <c r="I46" t="n">
        <v>22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HYPERLINK("https://klasma.github.io/Logging_2409/artfynd/A 30344-2025 artfynd.xlsx", "A 30344-2025")</f>
        <v/>
      </c>
      <c r="X46">
        <f>HYPERLINK("https://klasma.github.io/Logging_2409/kartor/A 30344-2025 karta.png", "A 30344-2025")</f>
        <v/>
      </c>
      <c r="Y46">
        <f>HYPERLINK("https://klasma.github.io/Logging_2409/kartor_geotiff/A 30344-2025 georefererad karta.tif", "A 30344-2025")</f>
        <v/>
      </c>
      <c r="AA46">
        <f>HYPERLINK("https://klasma.github.io/Logging_2409/klagomål/A 30344-2025 FSC-klagomål.docx", "A 30344-2025")</f>
        <v/>
      </c>
      <c r="AB46">
        <f>HYPERLINK("https://klasma.github.io/Logging_2409/klagomålsmail/A 30344-2025 FSC-klagomål mail.docx", "A 30344-2025")</f>
        <v/>
      </c>
      <c r="AC46">
        <f>HYPERLINK("https://klasma.github.io/Logging_2409/tillsyn/A 30344-2025 tillsynsbegäran.docx", "A 30344-2025")</f>
        <v/>
      </c>
      <c r="AD46">
        <f>HYPERLINK("https://klasma.github.io/Logging_2409/tillsynsmail/A 30344-2025 tillsynsbegäran mail.docx", "A 30344-2025")</f>
        <v/>
      </c>
      <c r="AE46">
        <f>HYPERLINK("https://klasma.github.io/Logging_2409/fåglar/A 30344-2025 prioriterade fågelarter.docx", "A 30344-2025")</f>
        <v/>
      </c>
    </row>
    <row r="47" ht="15" customHeight="1">
      <c r="A47" t="inlineStr">
        <is>
          <t>A 32263-2025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46231</v>
      </c>
      <c r="F47" t="inlineStr">
        <is>
          <t>VÄSTERBOTTENS LÄN</t>
        </is>
      </c>
      <c r="G47" t="inlineStr">
        <is>
          <t>ROBERTSFORS</t>
        </is>
      </c>
      <c r="I47" t="n">
        <v>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HYPERLINK("https://klasma.github.io/Logging_2409/artfynd/A 32263-2025 artfynd.xlsx", "A 32263-2025")</f>
        <v/>
      </c>
      <c r="X47">
        <f>HYPERLINK("https://klasma.github.io/Logging_2409/kartor/A 32263-2025 karta.png", "A 32263-2025")</f>
        <v/>
      </c>
      <c r="Y47">
        <f>HYPERLINK("https://klasma.github.io/Logging_2409/kartor_geotiff/A 32263-2025 georefererad karta.tif", "A 32263-2025")</f>
        <v/>
      </c>
      <c r="AA47">
        <f>HYPERLINK("https://klasma.github.io/Logging_2409/klagomål/A 32263-2025 FSC-klagomål.docx", "A 32263-2025")</f>
        <v/>
      </c>
      <c r="AB47">
        <f>HYPERLINK("https://klasma.github.io/Logging_2409/klagomålsmail/A 32263-2025 FSC-klagomål mail.docx", "A 32263-2025")</f>
        <v/>
      </c>
      <c r="AC47">
        <f>HYPERLINK("https://klasma.github.io/Logging_2409/tillsyn/A 32263-2025 tillsynsbegäran.docx", "A 32263-2025")</f>
        <v/>
      </c>
      <c r="AD47">
        <f>HYPERLINK("https://klasma.github.io/Logging_2409/tillsynsmail/A 32263-2025 tillsynsbegäran mail.docx", "A 32263-2025")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46231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46231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Harticka</t>
        </is>
      </c>
      <c r="W49">
        <f>HYPERLINK("https://klasma.github.io/Logging_2409/artfynd/A 34007-2025 artfynd.xlsx", "A 34007-2025")</f>
        <v/>
      </c>
      <c r="X49">
        <f>HYPERLINK("https://klasma.github.io/Logging_2409/kartor/A 34007-2025 karta.png", "A 34007-2025")</f>
        <v/>
      </c>
      <c r="Y49">
        <f>HYPERLINK("https://klasma.github.io/Logging_2409/kartor_geotiff/A 34007-2025 georefererad karta.tif", "A 34007-2025")</f>
        <v/>
      </c>
      <c r="AA49">
        <f>HYPERLINK("https://klasma.github.io/Logging_2409/klagomål/A 34007-2025 FSC-klagomål.docx", "A 34007-2025")</f>
        <v/>
      </c>
      <c r="AB49">
        <f>HYPERLINK("https://klasma.github.io/Logging_2409/klagomålsmail/A 34007-2025 FSC-klagomål mail.docx", "A 34007-2025")</f>
        <v/>
      </c>
      <c r="AC49">
        <f>HYPERLINK("https://klasma.github.io/Logging_2409/tillsyn/A 34007-2025 tillsynsbegäran.docx", "A 34007-2025")</f>
        <v/>
      </c>
      <c r="AD49">
        <f>HYPERLINK("https://klasma.github.io/Logging_2409/tillsynsmail/A 34007-2025 tillsynsbegäran mail.docx", "A 34007-2025")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46231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57270-2023 artfynd.xlsx", "A 57270-2023")</f>
        <v/>
      </c>
      <c r="X50">
        <f>HYPERLINK("https://klasma.github.io/Logging_2409/kartor/A 57270-2023 karta.png", "A 57270-2023")</f>
        <v/>
      </c>
      <c r="Y50">
        <f>HYPERLINK("https://klasma.github.io/Logging_2409/kartor_geotiff/A 57270-2023 georefererad karta.tif", "A 57270-2023")</f>
        <v/>
      </c>
      <c r="AA50">
        <f>HYPERLINK("https://klasma.github.io/Logging_2409/klagomål/A 57270-2023 FSC-klagomål.docx", "A 57270-2023")</f>
        <v/>
      </c>
      <c r="AB50">
        <f>HYPERLINK("https://klasma.github.io/Logging_2409/klagomålsmail/A 57270-2023 FSC-klagomål mail.docx", "A 57270-2023")</f>
        <v/>
      </c>
      <c r="AC50">
        <f>HYPERLINK("https://klasma.github.io/Logging_2409/tillsyn/A 57270-2023 tillsynsbegäran.docx", "A 57270-2023")</f>
        <v/>
      </c>
      <c r="AD50">
        <f>HYPERLINK("https://klasma.github.io/Logging_2409/tillsynsmail/A 57270-2023 tillsynsbegäran mail.docx", "A 57270-2023")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46231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46231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42891-2023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46231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42891-2023 artfynd.xlsx", "A 42891-2023")</f>
        <v/>
      </c>
      <c r="X53">
        <f>HYPERLINK("https://klasma.github.io/Logging_2409/kartor/A 42891-2023 karta.png", "A 42891-2023")</f>
        <v/>
      </c>
      <c r="Y53">
        <f>HYPERLINK("https://klasma.github.io/Logging_2409/kartor_geotiff/A 42891-2023 georefererad karta.tif", "A 42891-2023")</f>
        <v/>
      </c>
      <c r="AA53">
        <f>HYPERLINK("https://klasma.github.io/Logging_2409/klagomål/A 42891-2023 FSC-klagomål.docx", "A 42891-2023")</f>
        <v/>
      </c>
      <c r="AB53">
        <f>HYPERLINK("https://klasma.github.io/Logging_2409/klagomålsmail/A 42891-2023 FSC-klagomål mail.docx", "A 42891-2023")</f>
        <v/>
      </c>
      <c r="AC53">
        <f>HYPERLINK("https://klasma.github.io/Logging_2409/tillsyn/A 42891-2023 tillsynsbegäran.docx", "A 42891-2023")</f>
        <v/>
      </c>
      <c r="AD53">
        <f>HYPERLINK("https://klasma.github.io/Logging_2409/tillsynsmail/A 42891-2023 tillsynsbegäran mail.docx", "A 42891-2023")</f>
        <v/>
      </c>
    </row>
    <row r="54" ht="15" customHeight="1">
      <c r="A54" t="inlineStr">
        <is>
          <t>A 35551-2025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46231</v>
      </c>
      <c r="F54" t="inlineStr">
        <is>
          <t>VÄSTERBOTTENS LÄN</t>
        </is>
      </c>
      <c r="G54" t="inlineStr">
        <is>
          <t>ROBERTSFORS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HYPERLINK("https://klasma.github.io/Logging_2409/artfynd/A 35551-2025 artfynd.xlsx", "A 35551-2025")</f>
        <v/>
      </c>
      <c r="X54">
        <f>HYPERLINK("https://klasma.github.io/Logging_2409/kartor/A 35551-2025 karta.png", "A 35551-2025")</f>
        <v/>
      </c>
      <c r="Y54">
        <f>HYPERLINK("https://klasma.github.io/Logging_2409/kartor_geotiff/A 35551-2025 georefererad karta.tif", "A 35551-2025")</f>
        <v/>
      </c>
      <c r="AA54">
        <f>HYPERLINK("https://klasma.github.io/Logging_2409/klagomål/A 35551-2025 FSC-klagomål.docx", "A 35551-2025")</f>
        <v/>
      </c>
      <c r="AB54">
        <f>HYPERLINK("https://klasma.github.io/Logging_2409/klagomålsmail/A 35551-2025 FSC-klagomål mail.docx", "A 35551-2025")</f>
        <v/>
      </c>
      <c r="AC54">
        <f>HYPERLINK("https://klasma.github.io/Logging_2409/tillsyn/A 35551-2025 tillsynsbegäran.docx", "A 35551-2025")</f>
        <v/>
      </c>
      <c r="AD54">
        <f>HYPERLINK("https://klasma.github.io/Logging_2409/tillsynsmail/A 35551-2025 tillsynsbegäran mail.docx", "A 35551-2025")</f>
        <v/>
      </c>
      <c r="AE54">
        <f>HYPERLINK("https://klasma.github.io/Logging_2409/fåglar/A 35551-2025 prioriterade fågelarter.docx", "A 35551-2025")</f>
        <v/>
      </c>
    </row>
    <row r="55" ht="15" customHeight="1">
      <c r="A55" t="inlineStr">
        <is>
          <t>A 10145-2025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46231</v>
      </c>
      <c r="F55" t="inlineStr">
        <is>
          <t>VÄSTERBOTTENS LÄN</t>
        </is>
      </c>
      <c r="G55" t="inlineStr">
        <is>
          <t>ROBERTSFORS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HYPERLINK("https://klasma.github.io/Logging_2409/artfynd/A 10145-2025 artfynd.xlsx", "A 10145-2025")</f>
        <v/>
      </c>
      <c r="X55">
        <f>HYPERLINK("https://klasma.github.io/Logging_2409/kartor/A 10145-2025 karta.png", "A 10145-2025")</f>
        <v/>
      </c>
      <c r="Y55">
        <f>HYPERLINK("https://klasma.github.io/Logging_2409/kartor_geotiff/A 10145-2025 georefererad karta.tif", "A 10145-2025")</f>
        <v/>
      </c>
      <c r="AA55">
        <f>HYPERLINK("https://klasma.github.io/Logging_2409/klagomål/A 10145-2025 FSC-klagomål.docx", "A 10145-2025")</f>
        <v/>
      </c>
      <c r="AB55">
        <f>HYPERLINK("https://klasma.github.io/Logging_2409/klagomålsmail/A 10145-2025 FSC-klagomål mail.docx", "A 10145-2025")</f>
        <v/>
      </c>
      <c r="AC55">
        <f>HYPERLINK("https://klasma.github.io/Logging_2409/tillsyn/A 10145-2025 tillsynsbegäran.docx", "A 10145-2025")</f>
        <v/>
      </c>
      <c r="AD55">
        <f>HYPERLINK("https://klasma.github.io/Logging_2409/tillsynsmail/A 10145-2025 tillsynsbegäran mail.docx", "A 10145-2025")</f>
        <v/>
      </c>
    </row>
    <row r="56" ht="15" customHeight="1">
      <c r="A56" t="inlineStr">
        <is>
          <t>A 32876-2023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45124</v>
      </c>
      <c r="E56" s="1" t="n">
        <v>46231</v>
      </c>
      <c r="F56" t="inlineStr">
        <is>
          <t>VÄSTERBOTTENS LÄN</t>
        </is>
      </c>
      <c r="G56" t="inlineStr">
        <is>
          <t>ROBERTSFORS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HYPERLINK("https://klasma.github.io/Logging_2409/artfynd/A 32876-2023 artfynd.xlsx", "A 32876-2023")</f>
        <v/>
      </c>
      <c r="X56">
        <f>HYPERLINK("https://klasma.github.io/Logging_2409/kartor/A 32876-2023 karta.png", "A 32876-2023")</f>
        <v/>
      </c>
      <c r="Y56">
        <f>HYPERLINK("https://klasma.github.io/Logging_2409/kartor_geotiff/A 32876-2023 georefererad karta.tif", "A 32876-2023")</f>
        <v/>
      </c>
      <c r="AA56">
        <f>HYPERLINK("https://klasma.github.io/Logging_2409/klagomål/A 32876-2023 FSC-klagomål.docx", "A 32876-2023")</f>
        <v/>
      </c>
      <c r="AB56">
        <f>HYPERLINK("https://klasma.github.io/Logging_2409/klagomålsmail/A 32876-2023 FSC-klagomål mail.docx", "A 32876-2023")</f>
        <v/>
      </c>
      <c r="AC56">
        <f>HYPERLINK("https://klasma.github.io/Logging_2409/tillsyn/A 32876-2023 tillsynsbegäran.docx", "A 32876-2023")</f>
        <v/>
      </c>
      <c r="AD56">
        <f>HYPERLINK("https://klasma.github.io/Logging_2409/tillsynsmail/A 32876-2023 tillsynsbegäran mail.docx", "A 32876-2023")</f>
        <v/>
      </c>
    </row>
    <row r="57" ht="15" customHeight="1">
      <c r="A57" t="inlineStr">
        <is>
          <t>A 28224-2026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46231</v>
      </c>
      <c r="F57" t="inlineStr">
        <is>
          <t>VÄSTERBOTTENS LÄN</t>
        </is>
      </c>
      <c r="G57" t="inlineStr">
        <is>
          <t>ROBERTSFORS</t>
        </is>
      </c>
      <c r="I57" t="n">
        <v>9.800000000000001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6</v>
      </c>
      <c r="U57" t="n">
        <v>0</v>
      </c>
      <c r="V57" s="2" t="inlineStr">
        <is>
          <t>Garnlav</t>
        </is>
      </c>
      <c r="W57">
        <f>HYPERLINK("https://klasma.github.io/Logging_2409/artfynd/A 28224-2026 artfynd.xlsx", "A 28224-2026")</f>
        <v/>
      </c>
      <c r="X57">
        <f>HYPERLINK("https://klasma.github.io/Logging_2409/kartor/A 28224-2026 karta.png", "A 28224-2026")</f>
        <v/>
      </c>
      <c r="Y57">
        <f>HYPERLINK("https://klasma.github.io/Logging_2409/kartor_geotiff/A 28224-2026 georefererad karta.tif", "A 28224-2026")</f>
        <v/>
      </c>
      <c r="AA57">
        <f>HYPERLINK("https://klasma.github.io/Logging_2409/klagomål/A 28224-2026 FSC-klagomål.docx", "A 28224-2026")</f>
        <v/>
      </c>
      <c r="AB57">
        <f>HYPERLINK("https://klasma.github.io/Logging_2409/klagomålsmail/A 28224-2026 FSC-klagomål mail.docx", "A 28224-2026")</f>
        <v/>
      </c>
      <c r="AC57">
        <f>HYPERLINK("https://klasma.github.io/Logging_2409/tillsyn/A 28224-2026 tillsynsbegäran.docx", "A 28224-2026")</f>
        <v/>
      </c>
      <c r="AD57">
        <f>HYPERLINK("https://klasma.github.io/Logging_2409/tillsynsmail/A 28224-2026 tillsynsbegäran mail.docx", "A 28224-2026")</f>
        <v/>
      </c>
    </row>
    <row r="58" ht="15" customHeight="1">
      <c r="A58" t="inlineStr">
        <is>
          <t>A 28750-2026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46231</v>
      </c>
      <c r="F58" t="inlineStr">
        <is>
          <t>VÄSTERBOTTENS LÄN</t>
        </is>
      </c>
      <c r="G58" t="inlineStr">
        <is>
          <t>ROBERTSFORS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Nordfladdermus</t>
        </is>
      </c>
      <c r="W58">
        <f>HYPERLINK("https://klasma.github.io/Logging_2409/artfynd/A 28750-2026 artfynd.xlsx", "A 28750-2026")</f>
        <v/>
      </c>
      <c r="X58">
        <f>HYPERLINK("https://klasma.github.io/Logging_2409/kartor/A 28750-2026 karta.png", "A 28750-2026")</f>
        <v/>
      </c>
      <c r="Y58">
        <f>HYPERLINK("https://klasma.github.io/Logging_2409/kartor_geotiff/A 28750-2026 georefererad karta.tif", "A 28750-2026")</f>
        <v/>
      </c>
      <c r="AA58">
        <f>HYPERLINK("https://klasma.github.io/Logging_2409/klagomål/A 28750-2026 FSC-klagomål.docx", "A 28750-2026")</f>
        <v/>
      </c>
      <c r="AB58">
        <f>HYPERLINK("https://klasma.github.io/Logging_2409/klagomålsmail/A 28750-2026 FSC-klagomål mail.docx", "A 28750-2026")</f>
        <v/>
      </c>
      <c r="AC58">
        <f>HYPERLINK("https://klasma.github.io/Logging_2409/tillsyn/A 28750-2026 tillsynsbegäran.docx", "A 28750-2026")</f>
        <v/>
      </c>
      <c r="AD58">
        <f>HYPERLINK("https://klasma.github.io/Logging_2409/tillsynsmail/A 28750-2026 tillsynsbegäran mail.docx", "A 28750-2026")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46231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46231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46231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46231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46231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57284-2023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45245</v>
      </c>
      <c r="E64" s="1" t="n">
        <v>46231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6.8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HYPERLINK("https://klasma.github.io/Logging_2409/artfynd/A 57284-2023 artfynd.xlsx", "A 57284-2023")</f>
        <v/>
      </c>
      <c r="X64">
        <f>HYPERLINK("https://klasma.github.io/Logging_2409/kartor/A 57284-2023 karta.png", "A 57284-2023")</f>
        <v/>
      </c>
      <c r="Y64">
        <f>HYPERLINK("https://klasma.github.io/Logging_2409/kartor_geotiff/A 57284-2023 georefererad karta.tif", "A 57284-2023")</f>
        <v/>
      </c>
      <c r="AA64">
        <f>HYPERLINK("https://klasma.github.io/Logging_2409/klagomål/A 57284-2023 FSC-klagomål.docx", "A 57284-2023")</f>
        <v/>
      </c>
      <c r="AB64">
        <f>HYPERLINK("https://klasma.github.io/Logging_2409/klagomålsmail/A 57284-2023 FSC-klagomål mail.docx", "A 57284-2023")</f>
        <v/>
      </c>
      <c r="AC64">
        <f>HYPERLINK("https://klasma.github.io/Logging_2409/tillsyn/A 57284-2023 tillsynsbegäran.docx", "A 57284-2023")</f>
        <v/>
      </c>
      <c r="AD64">
        <f>HYPERLINK("https://klasma.github.io/Logging_2409/tillsynsmail/A 57284-2023 tillsynsbegäran mail.docx", "A 57284-2023")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46231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46231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46231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46231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46231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46231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46231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46231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46231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46231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46231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46231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46231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46231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46231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46231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46231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46231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46231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46231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46231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46231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46231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46231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46231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46231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46231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46231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46231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46231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46231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46231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46231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46231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46231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46231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46231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46231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46231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46231</v>
      </c>
      <c r="F104" t="inlineStr">
        <is>
          <t>VÄSTERBOTTENS LÄN</t>
        </is>
      </c>
      <c r="G104" t="inlineStr">
        <is>
          <t>ROBERTSFORS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69805-2021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46231</v>
      </c>
      <c r="F105" t="inlineStr">
        <is>
          <t>VÄSTERBOTTENS LÄN</t>
        </is>
      </c>
      <c r="G105" t="inlineStr">
        <is>
          <t>ROBERTSFORS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46231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46231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46231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46231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46231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46231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46231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46231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46231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46231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46231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46231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46231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46231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46231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46231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46231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46231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46231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46231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46231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46231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46231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46231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46231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46231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46231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46231</v>
      </c>
      <c r="F133" t="inlineStr">
        <is>
          <t>VÄSTERBOTTENS LÄN</t>
        </is>
      </c>
      <c r="G133" t="inlineStr">
        <is>
          <t>ROBERTSFORS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46231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46231</v>
      </c>
      <c r="F135" t="inlineStr">
        <is>
          <t>VÄSTERBOTTENS LÄN</t>
        </is>
      </c>
      <c r="G135" t="inlineStr">
        <is>
          <t>ROBERTSFORS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46231</v>
      </c>
      <c r="F136" t="inlineStr">
        <is>
          <t>VÄSTERBOTTENS LÄN</t>
        </is>
      </c>
      <c r="G136" t="inlineStr">
        <is>
          <t>ROBERTSFORS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46231</v>
      </c>
      <c r="F137" t="inlineStr">
        <is>
          <t>VÄSTERBOTTENS LÄN</t>
        </is>
      </c>
      <c r="G137" t="inlineStr">
        <is>
          <t>ROBERTSFORS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46231</v>
      </c>
      <c r="F138" t="inlineStr">
        <is>
          <t>VÄSTERBOTTENS LÄN</t>
        </is>
      </c>
      <c r="G138" t="inlineStr">
        <is>
          <t>ROBERTSFORS</t>
        </is>
      </c>
      <c r="I138" t="n">
        <v>15.3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46231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46231</v>
      </c>
      <c r="F140" t="inlineStr">
        <is>
          <t>VÄSTERBOTTENS LÄN</t>
        </is>
      </c>
      <c r="G140" t="inlineStr">
        <is>
          <t>ROBERTSFORS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46231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SCA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46231</v>
      </c>
      <c r="F142" t="inlineStr">
        <is>
          <t>VÄSTERBOTTENS LÄN</t>
        </is>
      </c>
      <c r="G142" t="inlineStr">
        <is>
          <t>ROBERTSFORS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46231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46231</v>
      </c>
      <c r="F144" t="inlineStr">
        <is>
          <t>VÄSTERBOTTENS LÄN</t>
        </is>
      </c>
      <c r="G144" t="inlineStr">
        <is>
          <t>ROBERTSFORS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46231</v>
      </c>
      <c r="F145" t="inlineStr">
        <is>
          <t>VÄSTERBOTTENS LÄN</t>
        </is>
      </c>
      <c r="G145" t="inlineStr">
        <is>
          <t>ROBERTSFORS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46231</v>
      </c>
      <c r="F146" t="inlineStr">
        <is>
          <t>VÄSTERBOTTENS LÄN</t>
        </is>
      </c>
      <c r="G146" t="inlineStr">
        <is>
          <t>ROBERTSFORS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46231</v>
      </c>
      <c r="F147" t="inlineStr">
        <is>
          <t>VÄSTERBOTTENS LÄN</t>
        </is>
      </c>
      <c r="G147" t="inlineStr">
        <is>
          <t>ROBERTSFORS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46231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57979-2021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46231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45687</v>
      </c>
      <c r="E150" s="1" t="n">
        <v>46231</v>
      </c>
      <c r="F150" t="inlineStr">
        <is>
          <t>VÄSTERBOTTENS LÄN</t>
        </is>
      </c>
      <c r="G150" t="inlineStr">
        <is>
          <t>ROBERTSFORS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46231</v>
      </c>
      <c r="F151" t="inlineStr">
        <is>
          <t>VÄSTERBOTTENS LÄN</t>
        </is>
      </c>
      <c r="G151" t="inlineStr">
        <is>
          <t>ROBERTSFORS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45636</v>
      </c>
      <c r="E152" s="1" t="n">
        <v>46231</v>
      </c>
      <c r="F152" t="inlineStr">
        <is>
          <t>VÄSTERBOTTENS LÄN</t>
        </is>
      </c>
      <c r="G152" t="inlineStr">
        <is>
          <t>ROBERTSFORS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46231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12.7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46231</v>
      </c>
      <c r="F154" t="inlineStr">
        <is>
          <t>VÄSTERBOTTENS LÄN</t>
        </is>
      </c>
      <c r="G154" t="inlineStr">
        <is>
          <t>ROBERTSFORS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44913</v>
      </c>
      <c r="E155" s="1" t="n">
        <v>46231</v>
      </c>
      <c r="F155" t="inlineStr">
        <is>
          <t>VÄSTERBOTTENS LÄN</t>
        </is>
      </c>
      <c r="G155" t="inlineStr">
        <is>
          <t>ROBERTSFORS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46231</v>
      </c>
      <c r="F156" t="inlineStr">
        <is>
          <t>VÄSTERBOTTENS LÄN</t>
        </is>
      </c>
      <c r="G156" t="inlineStr">
        <is>
          <t>ROBERTSFORS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44876</v>
      </c>
      <c r="E157" s="1" t="n">
        <v>46231</v>
      </c>
      <c r="F157" t="inlineStr">
        <is>
          <t>VÄSTERBOTTENS LÄN</t>
        </is>
      </c>
      <c r="G157" t="inlineStr">
        <is>
          <t>ROBERTSFORS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46231</v>
      </c>
      <c r="F158" t="inlineStr">
        <is>
          <t>VÄSTERBOTTENS LÄN</t>
        </is>
      </c>
      <c r="G158" t="inlineStr">
        <is>
          <t>ROBERTSFORS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46231</v>
      </c>
      <c r="F159" t="inlineStr">
        <is>
          <t>VÄSTERBOTTENS LÄN</t>
        </is>
      </c>
      <c r="G159" t="inlineStr">
        <is>
          <t>ROBERTSFORS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45160</v>
      </c>
      <c r="E160" s="1" t="n">
        <v>46231</v>
      </c>
      <c r="F160" t="inlineStr">
        <is>
          <t>VÄSTERBOTTENS LÄN</t>
        </is>
      </c>
      <c r="G160" t="inlineStr">
        <is>
          <t>ROBERTSFORS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45818</v>
      </c>
      <c r="E161" s="1" t="n">
        <v>46231</v>
      </c>
      <c r="F161" t="inlineStr">
        <is>
          <t>VÄSTERBOTTENS LÄN</t>
        </is>
      </c>
      <c r="G161" t="inlineStr">
        <is>
          <t>ROBERTSFORS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46231</v>
      </c>
      <c r="F162" t="inlineStr">
        <is>
          <t>VÄSTERBOTTENS LÄN</t>
        </is>
      </c>
      <c r="G162" t="inlineStr">
        <is>
          <t>ROBERTSFORS</t>
        </is>
      </c>
      <c r="I162" t="n">
        <v>9.9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44894</v>
      </c>
      <c r="E163" s="1" t="n">
        <v>46231</v>
      </c>
      <c r="F163" t="inlineStr">
        <is>
          <t>VÄSTERBOTTENS LÄN</t>
        </is>
      </c>
      <c r="G163" t="inlineStr">
        <is>
          <t>ROBERTSFORS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46231</v>
      </c>
      <c r="F164" t="inlineStr">
        <is>
          <t>VÄSTERBOTTENS LÄN</t>
        </is>
      </c>
      <c r="G164" t="inlineStr">
        <is>
          <t>ROBERTSFORS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58426-2022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44901</v>
      </c>
      <c r="E165" s="1" t="n">
        <v>46231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9135-2024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45357</v>
      </c>
      <c r="E166" s="1" t="n">
        <v>46231</v>
      </c>
      <c r="F166" t="inlineStr">
        <is>
          <t>VÄSTERBOTTENS LÄN</t>
        </is>
      </c>
      <c r="G166" t="inlineStr">
        <is>
          <t>ROBERTSFORS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46231</v>
      </c>
      <c r="F167" t="inlineStr">
        <is>
          <t>VÄSTERBOTTENS LÄN</t>
        </is>
      </c>
      <c r="G167" t="inlineStr">
        <is>
          <t>ROBERTSFORS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46050</v>
      </c>
      <c r="E168" s="1" t="n">
        <v>46231</v>
      </c>
      <c r="F168" t="inlineStr">
        <is>
          <t>VÄSTERBOTTENS LÄN</t>
        </is>
      </c>
      <c r="G168" t="inlineStr">
        <is>
          <t>ROBERTSFORS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54366-2024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45617</v>
      </c>
      <c r="E169" s="1" t="n">
        <v>46231</v>
      </c>
      <c r="F169" t="inlineStr">
        <is>
          <t>VÄSTERBOTTENS LÄN</t>
        </is>
      </c>
      <c r="G169" t="inlineStr">
        <is>
          <t>ROBERTSFORS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46231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46231</v>
      </c>
      <c r="F171" t="inlineStr">
        <is>
          <t>VÄSTERBOTTENS LÄN</t>
        </is>
      </c>
      <c r="G171" t="inlineStr">
        <is>
          <t>ROBERTSFORS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46231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46231</v>
      </c>
      <c r="F173" t="inlineStr">
        <is>
          <t>VÄSTERBOTTENS LÄN</t>
        </is>
      </c>
      <c r="G173" t="inlineStr">
        <is>
          <t>ROBERTSFORS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46231</v>
      </c>
      <c r="F174" t="inlineStr">
        <is>
          <t>VÄSTERBOTTENS LÄN</t>
        </is>
      </c>
      <c r="G174" t="inlineStr">
        <is>
          <t>ROBERTSFORS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46231</v>
      </c>
      <c r="F175" t="inlineStr">
        <is>
          <t>VÄSTERBOTTENS LÄN</t>
        </is>
      </c>
      <c r="G175" t="inlineStr">
        <is>
          <t>ROBERTSFORS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46231</v>
      </c>
      <c r="F176" t="inlineStr">
        <is>
          <t>VÄSTERBOTTENS LÄN</t>
        </is>
      </c>
      <c r="G176" t="inlineStr">
        <is>
          <t>ROBERTSFORS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46231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46231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46231</v>
      </c>
      <c r="F179" t="inlineStr">
        <is>
          <t>VÄSTERBOTTENS LÄN</t>
        </is>
      </c>
      <c r="G179" t="inlineStr">
        <is>
          <t>ROBERTSFORS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46231</v>
      </c>
      <c r="F180" t="inlineStr">
        <is>
          <t>VÄSTERBOTTENS LÄN</t>
        </is>
      </c>
      <c r="G180" t="inlineStr">
        <is>
          <t>ROBERTSFORS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46231</v>
      </c>
      <c r="F181" t="inlineStr">
        <is>
          <t>VÄSTERBOTTENS LÄN</t>
        </is>
      </c>
      <c r="G181" t="inlineStr">
        <is>
          <t>ROBERTSFORS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46231</v>
      </c>
      <c r="F182" t="inlineStr">
        <is>
          <t>VÄSTERBOTTENS LÄN</t>
        </is>
      </c>
      <c r="G182" t="inlineStr">
        <is>
          <t>ROBERTSFORS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46231</v>
      </c>
      <c r="F183" t="inlineStr">
        <is>
          <t>VÄSTERBOTTENS LÄN</t>
        </is>
      </c>
      <c r="G183" t="inlineStr">
        <is>
          <t>ROBERTSFORS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46231</v>
      </c>
      <c r="F184" t="inlineStr">
        <is>
          <t>VÄSTERBOTTENS LÄN</t>
        </is>
      </c>
      <c r="G184" t="inlineStr">
        <is>
          <t>ROBERTSFORS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46231</v>
      </c>
      <c r="F185" t="inlineStr">
        <is>
          <t>VÄSTERBOTTENS LÄN</t>
        </is>
      </c>
      <c r="G185" t="inlineStr">
        <is>
          <t>ROBERTSFORS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46065</v>
      </c>
      <c r="E186" s="1" t="n">
        <v>46231</v>
      </c>
      <c r="F186" t="inlineStr">
        <is>
          <t>VÄSTERBOTTENS LÄN</t>
        </is>
      </c>
      <c r="G186" t="inlineStr">
        <is>
          <t>ROBERTSFORS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46231</v>
      </c>
      <c r="F187" t="inlineStr">
        <is>
          <t>VÄSTERBOTTENS LÄN</t>
        </is>
      </c>
      <c r="G187" t="inlineStr">
        <is>
          <t>ROBERTSFORS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45496</v>
      </c>
      <c r="E188" s="1" t="n">
        <v>46231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45841</v>
      </c>
      <c r="E189" s="1" t="n">
        <v>46231</v>
      </c>
      <c r="F189" t="inlineStr">
        <is>
          <t>VÄSTERBOTTENS LÄN</t>
        </is>
      </c>
      <c r="G189" t="inlineStr">
        <is>
          <t>ROBERTSFORS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33375-2025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45841</v>
      </c>
      <c r="E190" s="1" t="n">
        <v>46231</v>
      </c>
      <c r="F190" t="inlineStr">
        <is>
          <t>VÄSTERBOTTENS LÄN</t>
        </is>
      </c>
      <c r="G190" t="inlineStr">
        <is>
          <t>ROBERTSFORS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46231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46231</v>
      </c>
      <c r="F192" t="inlineStr">
        <is>
          <t>VÄSTERBOTTENS LÄN</t>
        </is>
      </c>
      <c r="G192" t="inlineStr">
        <is>
          <t>ROBERTSFORS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45404</v>
      </c>
      <c r="E193" s="1" t="n">
        <v>46231</v>
      </c>
      <c r="F193" t="inlineStr">
        <is>
          <t>VÄSTERBOTTENS LÄN</t>
        </is>
      </c>
      <c r="G193" t="inlineStr">
        <is>
          <t>ROBERTSFORS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45627</v>
      </c>
      <c r="E194" s="1" t="n">
        <v>46231</v>
      </c>
      <c r="F194" t="inlineStr">
        <is>
          <t>VÄSTERBOTTENS LÄN</t>
        </is>
      </c>
      <c r="G194" t="inlineStr">
        <is>
          <t>ROBERTSFORS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45679</v>
      </c>
      <c r="E195" s="1" t="n">
        <v>46231</v>
      </c>
      <c r="F195" t="inlineStr">
        <is>
          <t>VÄSTERBOTTENS LÄN</t>
        </is>
      </c>
      <c r="G195" t="inlineStr">
        <is>
          <t>ROBERTSFORS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35565-2025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45856</v>
      </c>
      <c r="E196" s="1" t="n">
        <v>46231</v>
      </c>
      <c r="F196" t="inlineStr">
        <is>
          <t>VÄSTERBOTTENS LÄN</t>
        </is>
      </c>
      <c r="G196" t="inlineStr">
        <is>
          <t>ROBERTSFORS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35562-2025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45856</v>
      </c>
      <c r="E197" s="1" t="n">
        <v>46231</v>
      </c>
      <c r="F197" t="inlineStr">
        <is>
          <t>VÄSTERBOTTENS LÄN</t>
        </is>
      </c>
      <c r="G197" t="inlineStr">
        <is>
          <t>ROBERTSFORS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46231</v>
      </c>
      <c r="F198" t="inlineStr">
        <is>
          <t>VÄSTERBOTTENS LÄN</t>
        </is>
      </c>
      <c r="G198" t="inlineStr">
        <is>
          <t>ROBERTSFORS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46231</v>
      </c>
      <c r="F199" t="inlineStr">
        <is>
          <t>VÄSTERBOTTENS LÄN</t>
        </is>
      </c>
      <c r="G199" t="inlineStr">
        <is>
          <t>ROBERTSFORS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46083</v>
      </c>
      <c r="E200" s="1" t="n">
        <v>46231</v>
      </c>
      <c r="F200" t="inlineStr">
        <is>
          <t>VÄSTERBOTTENS LÄN</t>
        </is>
      </c>
      <c r="G200" t="inlineStr">
        <is>
          <t>ROBERTSFORS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22782-2025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45789</v>
      </c>
      <c r="E201" s="1" t="n">
        <v>46231</v>
      </c>
      <c r="F201" t="inlineStr">
        <is>
          <t>VÄSTERBOTTENS LÄN</t>
        </is>
      </c>
      <c r="G201" t="inlineStr">
        <is>
          <t>ROBERTSFORS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46231</v>
      </c>
      <c r="F202" t="inlineStr">
        <is>
          <t>VÄSTERBOTTENS LÄN</t>
        </is>
      </c>
      <c r="G202" t="inlineStr">
        <is>
          <t>ROBERTSFORS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45870</v>
      </c>
      <c r="E203" s="1" t="n">
        <v>46231</v>
      </c>
      <c r="F203" t="inlineStr">
        <is>
          <t>VÄSTERBOTTENS LÄN</t>
        </is>
      </c>
      <c r="G203" t="inlineStr">
        <is>
          <t>ROBERTSFORS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50046-2024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46231</v>
      </c>
      <c r="F204" t="inlineStr">
        <is>
          <t>VÄSTERBOTTENS LÄN</t>
        </is>
      </c>
      <c r="G204" t="inlineStr">
        <is>
          <t>ROBERTSFORS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46231</v>
      </c>
      <c r="F205" t="inlineStr">
        <is>
          <t>VÄSTERBOTTENS LÄN</t>
        </is>
      </c>
      <c r="G205" t="inlineStr">
        <is>
          <t>ROBERTSFORS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46231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46231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46231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46231</v>
      </c>
      <c r="F209" t="inlineStr">
        <is>
          <t>VÄSTERBOTTENS LÄN</t>
        </is>
      </c>
      <c r="G209" t="inlineStr">
        <is>
          <t>ROBERTSFORS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39982-2025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45893</v>
      </c>
      <c r="E210" s="1" t="n">
        <v>46231</v>
      </c>
      <c r="F210" t="inlineStr">
        <is>
          <t>VÄSTERBOTTENS LÄN</t>
        </is>
      </c>
      <c r="G210" t="inlineStr">
        <is>
          <t>ROBERTSFORS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45559</v>
      </c>
      <c r="E211" s="1" t="n">
        <v>46231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46231</v>
      </c>
      <c r="F212" t="inlineStr">
        <is>
          <t>VÄSTERBOTTENS LÄN</t>
        </is>
      </c>
      <c r="G212" t="inlineStr">
        <is>
          <t>ROBERTSFORS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46231</v>
      </c>
      <c r="F213" t="inlineStr">
        <is>
          <t>VÄSTERBOTTENS LÄN</t>
        </is>
      </c>
      <c r="G213" t="inlineStr">
        <is>
          <t>ROBERTSFORS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46231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46231</v>
      </c>
      <c r="F215" t="inlineStr">
        <is>
          <t>VÄSTERBOTTENS LÄN</t>
        </is>
      </c>
      <c r="G215" t="inlineStr">
        <is>
          <t>ROBERTSFORS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45607</v>
      </c>
      <c r="E216" s="1" t="n">
        <v>46231</v>
      </c>
      <c r="F216" t="inlineStr">
        <is>
          <t>VÄSTERBOTTENS LÄN</t>
        </is>
      </c>
      <c r="G216" t="inlineStr">
        <is>
          <t>ROBERTSFORS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46231</v>
      </c>
      <c r="F217" t="inlineStr">
        <is>
          <t>VÄSTERBOTTENS LÄN</t>
        </is>
      </c>
      <c r="G217" t="inlineStr">
        <is>
          <t>ROBERTSFORS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46231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46231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46231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46231</v>
      </c>
      <c r="F221" t="inlineStr">
        <is>
          <t>VÄSTERBOTTENS LÄN</t>
        </is>
      </c>
      <c r="G221" t="inlineStr">
        <is>
          <t>ROBERTSFORS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46231</v>
      </c>
      <c r="F222" t="inlineStr">
        <is>
          <t>VÄSTERBOTTENS LÄN</t>
        </is>
      </c>
      <c r="G222" t="inlineStr">
        <is>
          <t>ROBERTSFORS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44960</v>
      </c>
      <c r="E223" s="1" t="n">
        <v>46231</v>
      </c>
      <c r="F223" t="inlineStr">
        <is>
          <t>VÄSTERBOTTENS LÄN</t>
        </is>
      </c>
      <c r="G223" t="inlineStr">
        <is>
          <t>ROBERTSFORS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46231</v>
      </c>
      <c r="F224" t="inlineStr">
        <is>
          <t>VÄSTERBOTTENS LÄN</t>
        </is>
      </c>
      <c r="G224" t="inlineStr">
        <is>
          <t>ROBERTSFORS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46231</v>
      </c>
      <c r="F225" t="inlineStr">
        <is>
          <t>VÄSTERBOTTENS LÄN</t>
        </is>
      </c>
      <c r="G225" t="inlineStr">
        <is>
          <t>ROBERTSFORS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45079</v>
      </c>
      <c r="E226" s="1" t="n">
        <v>46231</v>
      </c>
      <c r="F226" t="inlineStr">
        <is>
          <t>VÄSTERBOTTENS LÄN</t>
        </is>
      </c>
      <c r="G226" t="inlineStr">
        <is>
          <t>ROBERTSFORS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46231</v>
      </c>
      <c r="F227" t="inlineStr">
        <is>
          <t>VÄSTERBOTTENS LÄN</t>
        </is>
      </c>
      <c r="G227" t="inlineStr">
        <is>
          <t>ROBERTSFORS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45020</v>
      </c>
      <c r="E228" s="1" t="n">
        <v>46231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Sveaskog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46231</v>
      </c>
      <c r="F229" t="inlineStr">
        <is>
          <t>VÄSTERBOTTENS LÄN</t>
        </is>
      </c>
      <c r="G229" t="inlineStr">
        <is>
          <t>ROBERTSFORS</t>
        </is>
      </c>
      <c r="I229" t="n">
        <v>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46104</v>
      </c>
      <c r="E230" s="1" t="n">
        <v>46231</v>
      </c>
      <c r="F230" t="inlineStr">
        <is>
          <t>VÄSTERBOTTENS LÄN</t>
        </is>
      </c>
      <c r="G230" t="inlineStr">
        <is>
          <t>ROBERTSFORS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46231</v>
      </c>
      <c r="F231" t="inlineStr">
        <is>
          <t>VÄSTERBOTTENS LÄN</t>
        </is>
      </c>
      <c r="G231" t="inlineStr">
        <is>
          <t>ROBERTSFORS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65771-2021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46231</v>
      </c>
      <c r="F232" t="inlineStr">
        <is>
          <t>VÄSTERBOTTENS LÄN</t>
        </is>
      </c>
      <c r="G232" t="inlineStr">
        <is>
          <t>ROBERTSFORS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46231</v>
      </c>
      <c r="F233" t="inlineStr">
        <is>
          <t>VÄSTERBOTTENS LÄN</t>
        </is>
      </c>
      <c r="G233" t="inlineStr">
        <is>
          <t>ROBERTSFORS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45205</v>
      </c>
      <c r="E234" s="1" t="n">
        <v>46231</v>
      </c>
      <c r="F234" t="inlineStr">
        <is>
          <t>VÄSTERBOTTENS LÄN</t>
        </is>
      </c>
      <c r="G234" t="inlineStr">
        <is>
          <t>ROBERTSFORS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46231</v>
      </c>
      <c r="F235" t="inlineStr">
        <is>
          <t>VÄSTERBOTTENS LÄN</t>
        </is>
      </c>
      <c r="G235" t="inlineStr">
        <is>
          <t>ROBERTSFORS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46231</v>
      </c>
      <c r="F236" t="inlineStr">
        <is>
          <t>VÄSTERBOTTENS LÄN</t>
        </is>
      </c>
      <c r="G236" t="inlineStr">
        <is>
          <t>ROBERTSFORS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46231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45659</v>
      </c>
      <c r="E238" s="1" t="n">
        <v>46231</v>
      </c>
      <c r="F238" t="inlineStr">
        <is>
          <t>VÄSTERBOTTENS LÄN</t>
        </is>
      </c>
      <c r="G238" t="inlineStr">
        <is>
          <t>ROBERTSFORS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45667</v>
      </c>
      <c r="E239" s="1" t="n">
        <v>46231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46231</v>
      </c>
      <c r="F240" t="inlineStr">
        <is>
          <t>VÄSTERBOTTENS LÄN</t>
        </is>
      </c>
      <c r="G240" t="inlineStr">
        <is>
          <t>ROBERTSFORS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46231</v>
      </c>
      <c r="F241" t="inlineStr">
        <is>
          <t>VÄSTERBOTTENS LÄN</t>
        </is>
      </c>
      <c r="G241" t="inlineStr">
        <is>
          <t>ROBERTSFORS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46122</v>
      </c>
      <c r="E242" s="1" t="n">
        <v>46231</v>
      </c>
      <c r="F242" t="inlineStr">
        <is>
          <t>VÄSTERBOTTENS LÄN</t>
        </is>
      </c>
      <c r="G242" t="inlineStr">
        <is>
          <t>ROBERTSFORS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46231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46231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45661</v>
      </c>
      <c r="E245" s="1" t="n">
        <v>46231</v>
      </c>
      <c r="F245" t="inlineStr">
        <is>
          <t>VÄSTERBOTTENS LÄN</t>
        </is>
      </c>
      <c r="G245" t="inlineStr">
        <is>
          <t>ROBERTSFORS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37357-2024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46231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46231</v>
      </c>
      <c r="F247" t="inlineStr">
        <is>
          <t>VÄSTERBOTTENS LÄN</t>
        </is>
      </c>
      <c r="G247" t="inlineStr">
        <is>
          <t>ROBERTSFORS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46231</v>
      </c>
      <c r="F248" t="inlineStr">
        <is>
          <t>VÄSTERBOTTENS LÄN</t>
        </is>
      </c>
      <c r="G248" t="inlineStr">
        <is>
          <t>ROBERTSFORS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46126</v>
      </c>
      <c r="E249" s="1" t="n">
        <v>46231</v>
      </c>
      <c r="F249" t="inlineStr">
        <is>
          <t>VÄSTERBOTTENS LÄN</t>
        </is>
      </c>
      <c r="G249" t="inlineStr">
        <is>
          <t>ROBERTSFORS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58712-2024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45635</v>
      </c>
      <c r="E250" s="1" t="n">
        <v>46231</v>
      </c>
      <c r="F250" t="inlineStr">
        <is>
          <t>VÄSTERBOTTENS LÄN</t>
        </is>
      </c>
      <c r="G250" t="inlineStr">
        <is>
          <t>ROBERTSFORS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45033</v>
      </c>
      <c r="E251" s="1" t="n">
        <v>46231</v>
      </c>
      <c r="F251" t="inlineStr">
        <is>
          <t>VÄSTERBOTTENS LÄN</t>
        </is>
      </c>
      <c r="G251" t="inlineStr">
        <is>
          <t>ROBERTSFORS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18289-2026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46231</v>
      </c>
      <c r="F252" t="inlineStr">
        <is>
          <t>VÄSTERBOTTENS LÄN</t>
        </is>
      </c>
      <c r="G252" t="inlineStr">
        <is>
          <t>ROBERTSFORS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45644</v>
      </c>
      <c r="E253" s="1" t="n">
        <v>46231</v>
      </c>
      <c r="F253" t="inlineStr">
        <is>
          <t>VÄSTERBOTTENS LÄN</t>
        </is>
      </c>
      <c r="G253" t="inlineStr">
        <is>
          <t>ROBERTSFORS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46231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46231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46132</v>
      </c>
      <c r="E256" s="1" t="n">
        <v>46231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46231</v>
      </c>
      <c r="F257" t="inlineStr">
        <is>
          <t>VÄSTERBOTTENS LÄN</t>
        </is>
      </c>
      <c r="G257" t="inlineStr">
        <is>
          <t>ROBERTSFORS</t>
        </is>
      </c>
      <c r="I257" t="n">
        <v>12.7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45458</v>
      </c>
      <c r="E258" s="1" t="n">
        <v>46231</v>
      </c>
      <c r="F258" t="inlineStr">
        <is>
          <t>VÄSTERBOTTENS LÄN</t>
        </is>
      </c>
      <c r="G258" t="inlineStr">
        <is>
          <t>ROBERTSFORS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46231</v>
      </c>
      <c r="F259" t="inlineStr">
        <is>
          <t>VÄSTERBOTTENS LÄN</t>
        </is>
      </c>
      <c r="G259" t="inlineStr">
        <is>
          <t>ROBERTSFORS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45205</v>
      </c>
      <c r="E260" s="1" t="n">
        <v>46231</v>
      </c>
      <c r="F260" t="inlineStr">
        <is>
          <t>VÄSTERBOTTENS LÄN</t>
        </is>
      </c>
      <c r="G260" t="inlineStr">
        <is>
          <t>ROBERTSFORS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46231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46231</v>
      </c>
      <c r="F262" t="inlineStr">
        <is>
          <t>VÄSTERBOTTENS LÄN</t>
        </is>
      </c>
      <c r="G262" t="inlineStr">
        <is>
          <t>ROBERTSFORS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46231</v>
      </c>
      <c r="F263" t="inlineStr">
        <is>
          <t>VÄSTERBOTTENS LÄN</t>
        </is>
      </c>
      <c r="G263" t="inlineStr">
        <is>
          <t>ROBERTSFORS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45692</v>
      </c>
      <c r="E264" s="1" t="n">
        <v>46231</v>
      </c>
      <c r="F264" t="inlineStr">
        <is>
          <t>VÄSTERBOTTENS LÄN</t>
        </is>
      </c>
      <c r="G264" t="inlineStr">
        <is>
          <t>ROBERTSFORS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45182</v>
      </c>
      <c r="E265" s="1" t="n">
        <v>46231</v>
      </c>
      <c r="F265" t="inlineStr">
        <is>
          <t>VÄSTERBOTTENS LÄN</t>
        </is>
      </c>
      <c r="G265" t="inlineStr">
        <is>
          <t>ROBERTSFORS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45197</v>
      </c>
      <c r="E266" s="1" t="n">
        <v>46231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46231</v>
      </c>
      <c r="F267" t="inlineStr">
        <is>
          <t>VÄSTERBOTTENS LÄN</t>
        </is>
      </c>
      <c r="G267" t="inlineStr">
        <is>
          <t>ROBERTSFORS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46231</v>
      </c>
      <c r="F268" t="inlineStr">
        <is>
          <t>VÄSTERBOTTENS LÄN</t>
        </is>
      </c>
      <c r="G268" t="inlineStr">
        <is>
          <t>ROBERTSFORS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44130-2025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45915</v>
      </c>
      <c r="E269" s="1" t="n">
        <v>46231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46231</v>
      </c>
      <c r="F270" t="inlineStr">
        <is>
          <t>VÄSTERBOTTENS LÄN</t>
        </is>
      </c>
      <c r="G270" t="inlineStr">
        <is>
          <t>ROBERTSFORS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46231</v>
      </c>
      <c r="F271" t="inlineStr">
        <is>
          <t>VÄSTERBOTTENS LÄN</t>
        </is>
      </c>
      <c r="G271" t="inlineStr">
        <is>
          <t>ROBERTSFORS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46231</v>
      </c>
      <c r="F272" t="inlineStr">
        <is>
          <t>VÄSTERBOTTENS LÄN</t>
        </is>
      </c>
      <c r="G272" t="inlineStr">
        <is>
          <t>ROBERTSFORS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46231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39325-2021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44413</v>
      </c>
      <c r="E274" s="1" t="n">
        <v>46231</v>
      </c>
      <c r="F274" t="inlineStr">
        <is>
          <t>VÄSTERBOTTENS LÄN</t>
        </is>
      </c>
      <c r="G274" t="inlineStr">
        <is>
          <t>ROBERTSFORS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46231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45734</v>
      </c>
      <c r="E276" s="1" t="n">
        <v>46231</v>
      </c>
      <c r="F276" t="inlineStr">
        <is>
          <t>VÄSTERBOTTENS LÄN</t>
        </is>
      </c>
      <c r="G276" t="inlineStr">
        <is>
          <t>ROBERTSFORS</t>
        </is>
      </c>
      <c r="I276" t="n">
        <v>24.4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45687</v>
      </c>
      <c r="E277" s="1" t="n">
        <v>46231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45005</v>
      </c>
      <c r="E278" s="1" t="n">
        <v>46231</v>
      </c>
      <c r="F278" t="inlineStr">
        <is>
          <t>VÄSTERBOTTENS LÄN</t>
        </is>
      </c>
      <c r="G278" t="inlineStr">
        <is>
          <t>ROBERTSFORS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45919</v>
      </c>
      <c r="E279" s="1" t="n">
        <v>46231</v>
      </c>
      <c r="F279" t="inlineStr">
        <is>
          <t>VÄSTERBOTTENS LÄN</t>
        </is>
      </c>
      <c r="G279" t="inlineStr">
        <is>
          <t>ROBERTSFORS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46231</v>
      </c>
      <c r="F280" t="inlineStr">
        <is>
          <t>VÄSTERBOTTENS LÄN</t>
        </is>
      </c>
      <c r="G280" t="inlineStr">
        <is>
          <t>ROBERTSFORS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46231</v>
      </c>
      <c r="F281" t="inlineStr">
        <is>
          <t>VÄSTERBOTTENS LÄN</t>
        </is>
      </c>
      <c r="G281" t="inlineStr">
        <is>
          <t>ROBERTSFORS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39324-2021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44413</v>
      </c>
      <c r="E282" s="1" t="n">
        <v>46231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46168-2025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45924</v>
      </c>
      <c r="E283" s="1" t="n">
        <v>46231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46231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46231</v>
      </c>
      <c r="F285" t="inlineStr">
        <is>
          <t>VÄSTERBOTTENS LÄN</t>
        </is>
      </c>
      <c r="G285" t="inlineStr">
        <is>
          <t>ROBERTSFORS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45002</v>
      </c>
      <c r="E286" s="1" t="n">
        <v>46231</v>
      </c>
      <c r="F286" t="inlineStr">
        <is>
          <t>VÄSTERBOTTENS LÄN</t>
        </is>
      </c>
      <c r="G286" t="inlineStr">
        <is>
          <t>ROBERTSFORS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46231</v>
      </c>
      <c r="F287" t="inlineStr">
        <is>
          <t>VÄSTERBOTTENS LÄN</t>
        </is>
      </c>
      <c r="G287" t="inlineStr">
        <is>
          <t>ROBERTSFORS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46231</v>
      </c>
      <c r="F288" t="inlineStr">
        <is>
          <t>VÄSTERBOTTENS LÄN</t>
        </is>
      </c>
      <c r="G288" t="inlineStr">
        <is>
          <t>ROBERTSFORS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46231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46231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46231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46231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46231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46231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46231</v>
      </c>
      <c r="F295" t="inlineStr">
        <is>
          <t>VÄSTERBOTTENS LÄN</t>
        </is>
      </c>
      <c r="G295" t="inlineStr">
        <is>
          <t>ROBERTSFORS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46139</v>
      </c>
      <c r="E296" s="1" t="n">
        <v>46231</v>
      </c>
      <c r="F296" t="inlineStr">
        <is>
          <t>VÄSTERBOTTENS LÄN</t>
        </is>
      </c>
      <c r="G296" t="inlineStr">
        <is>
          <t>ROBERTSFORS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46231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46231</v>
      </c>
      <c r="F298" t="inlineStr">
        <is>
          <t>VÄSTERBOTTENS LÄN</t>
        </is>
      </c>
      <c r="G298" t="inlineStr">
        <is>
          <t>ROBERTSFORS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46231</v>
      </c>
      <c r="F299" t="inlineStr">
        <is>
          <t>VÄSTERBOTTENS LÄN</t>
        </is>
      </c>
      <c r="G299" t="inlineStr">
        <is>
          <t>ROBERTSFORS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46231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46231</v>
      </c>
      <c r="F301" t="inlineStr">
        <is>
          <t>VÄSTERBOTTENS LÄN</t>
        </is>
      </c>
      <c r="G301" t="inlineStr">
        <is>
          <t>ROBERTSFORS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44901</v>
      </c>
      <c r="E302" s="1" t="n">
        <v>46231</v>
      </c>
      <c r="F302" t="inlineStr">
        <is>
          <t>VÄSTERBOTTENS LÄN</t>
        </is>
      </c>
      <c r="G302" t="inlineStr">
        <is>
          <t>ROBERTSFORS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46231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46231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58790-2022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44895</v>
      </c>
      <c r="E305" s="1" t="n">
        <v>46231</v>
      </c>
      <c r="F305" t="inlineStr">
        <is>
          <t>VÄSTERBOTTENS LÄN</t>
        </is>
      </c>
      <c r="G305" t="inlineStr">
        <is>
          <t>ROBERTSFORS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46146</v>
      </c>
      <c r="E306" s="1" t="n">
        <v>46231</v>
      </c>
      <c r="F306" t="inlineStr">
        <is>
          <t>VÄSTERBOTTENS LÄN</t>
        </is>
      </c>
      <c r="G306" t="inlineStr">
        <is>
          <t>ROBERTSFORS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46231</v>
      </c>
      <c r="F307" t="inlineStr">
        <is>
          <t>VÄSTERBOTTENS LÄN</t>
        </is>
      </c>
      <c r="G307" t="inlineStr">
        <is>
          <t>ROBERTSFORS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44980</v>
      </c>
      <c r="E308" s="1" t="n">
        <v>46231</v>
      </c>
      <c r="F308" t="inlineStr">
        <is>
          <t>VÄSTERBOTTENS LÄN</t>
        </is>
      </c>
      <c r="G308" t="inlineStr">
        <is>
          <t>ROBERTSFORS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46231</v>
      </c>
      <c r="F309" t="inlineStr">
        <is>
          <t>VÄSTERBOTTENS LÄN</t>
        </is>
      </c>
      <c r="G309" t="inlineStr">
        <is>
          <t>ROBERTSFORS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45135</v>
      </c>
      <c r="E310" s="1" t="n">
        <v>46231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46231</v>
      </c>
      <c r="F311" t="inlineStr">
        <is>
          <t>VÄSTERBOTTENS LÄN</t>
        </is>
      </c>
      <c r="G311" t="inlineStr">
        <is>
          <t>ROBERTSFORS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46231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46231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46191</v>
      </c>
      <c r="E314" s="1" t="n">
        <v>46231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46231</v>
      </c>
      <c r="F315" t="inlineStr">
        <is>
          <t>VÄSTERBOTTENS LÄN</t>
        </is>
      </c>
      <c r="G315" t="inlineStr">
        <is>
          <t>ROBERTSFORS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49148-2025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46231</v>
      </c>
      <c r="F316" t="inlineStr">
        <is>
          <t>VÄSTERBOTTENS LÄN</t>
        </is>
      </c>
      <c r="G316" t="inlineStr">
        <is>
          <t>ROBERTSFORS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46196</v>
      </c>
      <c r="E317" s="1" t="n">
        <v>46231</v>
      </c>
      <c r="F317" t="inlineStr">
        <is>
          <t>VÄSTERBOTTENS LÄN</t>
        </is>
      </c>
      <c r="G317" t="inlineStr">
        <is>
          <t>ROBERTSFORS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46231</v>
      </c>
      <c r="F318" t="inlineStr">
        <is>
          <t>VÄSTERBOTTENS LÄN</t>
        </is>
      </c>
      <c r="G318" t="inlineStr">
        <is>
          <t>ROBERTSFORS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46231</v>
      </c>
      <c r="F319" t="inlineStr">
        <is>
          <t>VÄSTERBOTTENS LÄN</t>
        </is>
      </c>
      <c r="G319" t="inlineStr">
        <is>
          <t>ROBERTSFORS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47420-2024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45587</v>
      </c>
      <c r="E320" s="1" t="n">
        <v>46231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SCA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46195</v>
      </c>
      <c r="E321" s="1" t="n">
        <v>46231</v>
      </c>
      <c r="F321" t="inlineStr">
        <is>
          <t>VÄSTERBOTTENS LÄN</t>
        </is>
      </c>
      <c r="G321" t="inlineStr">
        <is>
          <t>ROBERTSFORS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46231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46231</v>
      </c>
      <c r="F323" t="inlineStr">
        <is>
          <t>VÄSTERBOTTENS LÄN</t>
        </is>
      </c>
      <c r="G323" t="inlineStr">
        <is>
          <t>ROBERTSFORS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46231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45405</v>
      </c>
      <c r="E325" s="1" t="n">
        <v>46231</v>
      </c>
      <c r="F325" t="inlineStr">
        <is>
          <t>VÄSTERBOTTENS LÄN</t>
        </is>
      </c>
      <c r="G325" t="inlineStr">
        <is>
          <t>ROBERTSFORS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59877-2022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44901</v>
      </c>
      <c r="E326" s="1" t="n">
        <v>46231</v>
      </c>
      <c r="F326" t="inlineStr">
        <is>
          <t>VÄSTERBOTTENS LÄN</t>
        </is>
      </c>
      <c r="G326" t="inlineStr">
        <is>
          <t>ROBERTSFORS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46231</v>
      </c>
      <c r="F327" t="inlineStr">
        <is>
          <t>VÄSTERBOTTENS LÄN</t>
        </is>
      </c>
      <c r="G327" t="inlineStr">
        <is>
          <t>ROBERTSFORS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15294-2023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45019</v>
      </c>
      <c r="E328" s="1" t="n">
        <v>46231</v>
      </c>
      <c r="F328" t="inlineStr">
        <is>
          <t>VÄSTERBOTTENS LÄN</t>
        </is>
      </c>
      <c r="G328" t="inlineStr">
        <is>
          <t>ROBERTSFORS</t>
        </is>
      </c>
      <c r="I328" t="n">
        <v>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46231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SCA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45572</v>
      </c>
      <c r="E330" s="1" t="n">
        <v>46231</v>
      </c>
      <c r="F330" t="inlineStr">
        <is>
          <t>VÄSTERBOTTENS LÄN</t>
        </is>
      </c>
      <c r="G330" t="inlineStr">
        <is>
          <t>ROBERTSFORS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45049</v>
      </c>
      <c r="E331" s="1" t="n">
        <v>46231</v>
      </c>
      <c r="F331" t="inlineStr">
        <is>
          <t>VÄSTERBOTTENS LÄN</t>
        </is>
      </c>
      <c r="G331" t="inlineStr">
        <is>
          <t>ROBERTSFORS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45020</v>
      </c>
      <c r="E332" s="1" t="n">
        <v>46231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45782</v>
      </c>
      <c r="E333" s="1" t="n">
        <v>46231</v>
      </c>
      <c r="F333" t="inlineStr">
        <is>
          <t>VÄSTERBOTTENS LÄN</t>
        </is>
      </c>
      <c r="G333" t="inlineStr">
        <is>
          <t>ROBERTSFORS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46231</v>
      </c>
      <c r="F334" t="inlineStr">
        <is>
          <t>VÄSTERBOTTENS LÄN</t>
        </is>
      </c>
      <c r="G334" t="inlineStr">
        <is>
          <t>ROBERTSFORS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46155</v>
      </c>
      <c r="E335" s="1" t="n">
        <v>46231</v>
      </c>
      <c r="F335" t="inlineStr">
        <is>
          <t>VÄSTERBOTTENS LÄN</t>
        </is>
      </c>
      <c r="G335" t="inlineStr">
        <is>
          <t>ROBERTSFORS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46231</v>
      </c>
      <c r="F336" t="inlineStr">
        <is>
          <t>VÄSTERBOTTENS LÄN</t>
        </is>
      </c>
      <c r="G336" t="inlineStr">
        <is>
          <t>ROBERTSFORS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45480</v>
      </c>
      <c r="E337" s="1" t="n">
        <v>46231</v>
      </c>
      <c r="F337" t="inlineStr">
        <is>
          <t>VÄSTERBOTTENS LÄN</t>
        </is>
      </c>
      <c r="G337" t="inlineStr">
        <is>
          <t>ROBERTSFORS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45141</v>
      </c>
      <c r="E338" s="1" t="n">
        <v>46231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46231</v>
      </c>
      <c r="F339" t="inlineStr">
        <is>
          <t>VÄSTERBOTTENS LÄN</t>
        </is>
      </c>
      <c r="G339" t="inlineStr">
        <is>
          <t>ROBERTSFORS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45281</v>
      </c>
      <c r="E340" s="1" t="n">
        <v>46231</v>
      </c>
      <c r="F340" t="inlineStr">
        <is>
          <t>VÄSTERBOTTENS LÄN</t>
        </is>
      </c>
      <c r="G340" t="inlineStr">
        <is>
          <t>ROBERTSFORS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26372-2024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46231</v>
      </c>
      <c r="F341" t="inlineStr">
        <is>
          <t>VÄSTERBOTTENS LÄN</t>
        </is>
      </c>
      <c r="G341" t="inlineStr">
        <is>
          <t>ROBERTSFORS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46231</v>
      </c>
      <c r="F342" t="inlineStr">
        <is>
          <t>VÄSTERBOTTENS LÄN</t>
        </is>
      </c>
      <c r="G342" t="inlineStr">
        <is>
          <t>ROBERTSFORS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46231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SCA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46231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46231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27586-2024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45474</v>
      </c>
      <c r="E346" s="1" t="n">
        <v>46231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46231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45246</v>
      </c>
      <c r="E348" s="1" t="n">
        <v>46231</v>
      </c>
      <c r="F348" t="inlineStr">
        <is>
          <t>VÄSTERBOTTENS LÄN</t>
        </is>
      </c>
      <c r="G348" t="inlineStr">
        <is>
          <t>ROBERTSFORS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46231</v>
      </c>
      <c r="F349" t="inlineStr">
        <is>
          <t>VÄSTERBOTTENS LÄN</t>
        </is>
      </c>
      <c r="G349" t="inlineStr">
        <is>
          <t>ROBERTSFORS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45458</v>
      </c>
      <c r="E350" s="1" t="n">
        <v>46231</v>
      </c>
      <c r="F350" t="inlineStr">
        <is>
          <t>VÄSTERBOTTENS LÄN</t>
        </is>
      </c>
      <c r="G350" t="inlineStr">
        <is>
          <t>ROBERTSFORS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50995-2025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45947</v>
      </c>
      <c r="E351" s="1" t="n">
        <v>46231</v>
      </c>
      <c r="F351" t="inlineStr">
        <is>
          <t>VÄSTERBOTTENS LÄN</t>
        </is>
      </c>
      <c r="G351" t="inlineStr">
        <is>
          <t>ROBERTSFORS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46231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SCA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45502</v>
      </c>
      <c r="E353" s="1" t="n">
        <v>46231</v>
      </c>
      <c r="F353" t="inlineStr">
        <is>
          <t>VÄSTERBOTTENS LÄN</t>
        </is>
      </c>
      <c r="G353" t="inlineStr">
        <is>
          <t>ROBERTSFORS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73557-2021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44551</v>
      </c>
      <c r="E354" s="1" t="n">
        <v>46231</v>
      </c>
      <c r="F354" t="inlineStr">
        <is>
          <t>VÄSTERBOTTENS LÄN</t>
        </is>
      </c>
      <c r="G354" t="inlineStr">
        <is>
          <t>ROBERTSFORS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46231</v>
      </c>
      <c r="F355" t="inlineStr">
        <is>
          <t>VÄSTERBOTTENS LÄN</t>
        </is>
      </c>
      <c r="G355" t="inlineStr">
        <is>
          <t>ROBERTSFORS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45484</v>
      </c>
      <c r="E356" s="1" t="n">
        <v>46231</v>
      </c>
      <c r="F356" t="inlineStr">
        <is>
          <t>VÄSTERBOTTENS LÄN</t>
        </is>
      </c>
      <c r="G356" t="inlineStr">
        <is>
          <t>ROBERTSFORS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45041</v>
      </c>
      <c r="E357" s="1" t="n">
        <v>46231</v>
      </c>
      <c r="F357" t="inlineStr">
        <is>
          <t>VÄSTERBOTTENS LÄN</t>
        </is>
      </c>
      <c r="G357" t="inlineStr">
        <is>
          <t>ROBERTSFORS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46231</v>
      </c>
      <c r="F358" t="inlineStr">
        <is>
          <t>VÄSTERBOTTENS LÄN</t>
        </is>
      </c>
      <c r="G358" t="inlineStr">
        <is>
          <t>ROBERTSFORS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46663-2024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45583</v>
      </c>
      <c r="E359" s="1" t="n">
        <v>46231</v>
      </c>
      <c r="F359" t="inlineStr">
        <is>
          <t>VÄSTERBOTTENS LÄN</t>
        </is>
      </c>
      <c r="G359" t="inlineStr">
        <is>
          <t>ROBERTSFORS</t>
        </is>
      </c>
      <c r="I359" t="n">
        <v>9.6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15888-2024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45405</v>
      </c>
      <c r="E360" s="1" t="n">
        <v>46231</v>
      </c>
      <c r="F360" t="inlineStr">
        <is>
          <t>VÄSTERBOTTENS LÄN</t>
        </is>
      </c>
      <c r="G360" t="inlineStr">
        <is>
          <t>ROBERTSFORS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45005</v>
      </c>
      <c r="E361" s="1" t="n">
        <v>46231</v>
      </c>
      <c r="F361" t="inlineStr">
        <is>
          <t>VÄSTERBOTTENS LÄN</t>
        </is>
      </c>
      <c r="G361" t="inlineStr">
        <is>
          <t>ROBERTSFORS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46231</v>
      </c>
      <c r="F362" t="inlineStr">
        <is>
          <t>VÄSTERBOTTENS LÄN</t>
        </is>
      </c>
      <c r="G362" t="inlineStr">
        <is>
          <t>ROBERTSFORS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46231</v>
      </c>
      <c r="F363" t="inlineStr">
        <is>
          <t>VÄSTERBOTTENS LÄN</t>
        </is>
      </c>
      <c r="G363" t="inlineStr">
        <is>
          <t>ROBERTSFORS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46231</v>
      </c>
      <c r="F364" t="inlineStr">
        <is>
          <t>VÄSTERBOTTENS LÄN</t>
        </is>
      </c>
      <c r="G364" t="inlineStr">
        <is>
          <t>ROBERTSFORS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5902-2024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45335</v>
      </c>
      <c r="E365" s="1" t="n">
        <v>46231</v>
      </c>
      <c r="F365" t="inlineStr">
        <is>
          <t>VÄSTERBOTTENS LÄN</t>
        </is>
      </c>
      <c r="G365" t="inlineStr">
        <is>
          <t>ROBERTSFORS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25572-2023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45082</v>
      </c>
      <c r="E366" s="1" t="n">
        <v>46231</v>
      </c>
      <c r="F366" t="inlineStr">
        <is>
          <t>VÄSTERBOTTENS LÄN</t>
        </is>
      </c>
      <c r="G366" t="inlineStr">
        <is>
          <t>ROBERTSFORS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46231</v>
      </c>
      <c r="F367" t="inlineStr">
        <is>
          <t>VÄSTERBOTTENS LÄN</t>
        </is>
      </c>
      <c r="G367" t="inlineStr">
        <is>
          <t>ROBERTSFORS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46231</v>
      </c>
      <c r="F368" t="inlineStr">
        <is>
          <t>VÄSTERBOTTENS LÄN</t>
        </is>
      </c>
      <c r="G368" t="inlineStr">
        <is>
          <t>ROBERTSFORS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45678</v>
      </c>
      <c r="E369" s="1" t="n">
        <v>46231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9.4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45182</v>
      </c>
      <c r="E370" s="1" t="n">
        <v>46231</v>
      </c>
      <c r="F370" t="inlineStr">
        <is>
          <t>VÄSTERBOTTENS LÄN</t>
        </is>
      </c>
      <c r="G370" t="inlineStr">
        <is>
          <t>ROBERTSFORS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52934-2025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46231</v>
      </c>
      <c r="F371" t="inlineStr">
        <is>
          <t>VÄSTERBOTTENS LÄN</t>
        </is>
      </c>
      <c r="G371" t="inlineStr">
        <is>
          <t>ROBERTSFORS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46231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45957</v>
      </c>
      <c r="E373" s="1" t="n">
        <v>46231</v>
      </c>
      <c r="F373" t="inlineStr">
        <is>
          <t>VÄSTERBOTTENS LÄN</t>
        </is>
      </c>
      <c r="G373" t="inlineStr">
        <is>
          <t>ROBERTSFORS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45846-2024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45580</v>
      </c>
      <c r="E374" s="1" t="n">
        <v>46231</v>
      </c>
      <c r="F374" t="inlineStr">
        <is>
          <t>VÄSTERBOTTENS LÄN</t>
        </is>
      </c>
      <c r="G374" t="inlineStr">
        <is>
          <t>ROBERTSFORS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39789-2024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45553</v>
      </c>
      <c r="E375" s="1" t="n">
        <v>46231</v>
      </c>
      <c r="F375" t="inlineStr">
        <is>
          <t>VÄSTERBOTTENS LÄN</t>
        </is>
      </c>
      <c r="G375" t="inlineStr">
        <is>
          <t>ROBERTSFORS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45701</v>
      </c>
      <c r="E376" s="1" t="n">
        <v>46231</v>
      </c>
      <c r="F376" t="inlineStr">
        <is>
          <t>VÄSTERBOTTENS LÄN</t>
        </is>
      </c>
      <c r="G376" t="inlineStr">
        <is>
          <t>ROBERTSFORS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53485-2025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45959</v>
      </c>
      <c r="E377" s="1" t="n">
        <v>46231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53320-2025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45959</v>
      </c>
      <c r="E378" s="1" t="n">
        <v>46231</v>
      </c>
      <c r="F378" t="inlineStr">
        <is>
          <t>VÄSTERBOTTENS LÄN</t>
        </is>
      </c>
      <c r="G378" t="inlineStr">
        <is>
          <t>ROBERTSFORS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46231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15.9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45157-2023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45191</v>
      </c>
      <c r="E380" s="1" t="n">
        <v>46231</v>
      </c>
      <c r="F380" t="inlineStr">
        <is>
          <t>VÄSTERBOTTENS LÄN</t>
        </is>
      </c>
      <c r="G380" t="inlineStr">
        <is>
          <t>ROBERTSFORS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44580</v>
      </c>
      <c r="E381" s="1" t="n">
        <v>46231</v>
      </c>
      <c r="F381" t="inlineStr">
        <is>
          <t>VÄSTERBOTTENS LÄN</t>
        </is>
      </c>
      <c r="G381" t="inlineStr">
        <is>
          <t>ROBERTSFORS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13164-2024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45386</v>
      </c>
      <c r="E382" s="1" t="n">
        <v>46231</v>
      </c>
      <c r="F382" t="inlineStr">
        <is>
          <t>VÄSTERBOTTENS LÄN</t>
        </is>
      </c>
      <c r="G382" t="inlineStr">
        <is>
          <t>ROBERTSFORS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46231</v>
      </c>
      <c r="F383" t="inlineStr">
        <is>
          <t>VÄSTERBOTTENS LÄN</t>
        </is>
      </c>
      <c r="G383" t="inlineStr">
        <is>
          <t>ROBERTSFORS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46231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SCA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44683</v>
      </c>
      <c r="E385" s="1" t="n">
        <v>46231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46231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45961</v>
      </c>
      <c r="E387" s="1" t="n">
        <v>46231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54589-2025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46231</v>
      </c>
      <c r="F388" t="inlineStr">
        <is>
          <t>VÄSTERBOTTENS LÄN</t>
        </is>
      </c>
      <c r="G388" t="inlineStr">
        <is>
          <t>ROBERTSFORS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54607-2025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46231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46231</v>
      </c>
      <c r="F390" t="inlineStr">
        <is>
          <t>VÄSTERBOTTENS LÄN</t>
        </is>
      </c>
      <c r="G390" t="inlineStr">
        <is>
          <t>ROBERTSFORS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24647-2026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46171</v>
      </c>
      <c r="E391" s="1" t="n">
        <v>46231</v>
      </c>
      <c r="F391" t="inlineStr">
        <is>
          <t>VÄSTERBOTTENS LÄN</t>
        </is>
      </c>
      <c r="G391" t="inlineStr">
        <is>
          <t>ROBERTSFORS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56502-2024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45625</v>
      </c>
      <c r="E392" s="1" t="n">
        <v>46231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46231</v>
      </c>
      <c r="F393" t="inlineStr">
        <is>
          <t>VÄSTERBOTTENS LÄN</t>
        </is>
      </c>
      <c r="G393" t="inlineStr">
        <is>
          <t>ROBERTSFORS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46231</v>
      </c>
      <c r="F394" t="inlineStr">
        <is>
          <t>VÄSTERBOTTENS LÄN</t>
        </is>
      </c>
      <c r="G394" t="inlineStr">
        <is>
          <t>ROBERTSFORS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45601</v>
      </c>
      <c r="E395" s="1" t="n">
        <v>46231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36771-2022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44805</v>
      </c>
      <c r="E396" s="1" t="n">
        <v>46231</v>
      </c>
      <c r="F396" t="inlineStr">
        <is>
          <t>VÄSTERBOTTENS LÄN</t>
        </is>
      </c>
      <c r="G396" t="inlineStr">
        <is>
          <t>ROBERTSFORS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46231</v>
      </c>
      <c r="F397" t="inlineStr">
        <is>
          <t>VÄSTERBOTTENS LÄN</t>
        </is>
      </c>
      <c r="G397" t="inlineStr">
        <is>
          <t>ROBERTSFORS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45965</v>
      </c>
      <c r="E398" s="1" t="n">
        <v>46231</v>
      </c>
      <c r="F398" t="inlineStr">
        <is>
          <t>VÄSTERBOTTENS LÄN</t>
        </is>
      </c>
      <c r="G398" t="inlineStr">
        <is>
          <t>ROBERTSFORS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46231</v>
      </c>
      <c r="F399" t="inlineStr">
        <is>
          <t>VÄSTERBOTTENS LÄN</t>
        </is>
      </c>
      <c r="G399" t="inlineStr">
        <is>
          <t>ROBERTSFORS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45687</v>
      </c>
      <c r="E400" s="1" t="n">
        <v>46231</v>
      </c>
      <c r="F400" t="inlineStr">
        <is>
          <t>VÄSTERBOTTENS LÄN</t>
        </is>
      </c>
      <c r="G400" t="inlineStr">
        <is>
          <t>ROBERTSFORS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45708</v>
      </c>
      <c r="E401" s="1" t="n">
        <v>46231</v>
      </c>
      <c r="F401" t="inlineStr">
        <is>
          <t>VÄSTERBOTTENS LÄN</t>
        </is>
      </c>
      <c r="G401" t="inlineStr">
        <is>
          <t>ROBERTSFORS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46177</v>
      </c>
      <c r="E402" s="1" t="n">
        <v>46231</v>
      </c>
      <c r="F402" t="inlineStr">
        <is>
          <t>VÄSTERBOTTENS LÄN</t>
        </is>
      </c>
      <c r="G402" t="inlineStr">
        <is>
          <t>ROBERTSFORS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44588</v>
      </c>
      <c r="E403" s="1" t="n">
        <v>46231</v>
      </c>
      <c r="F403" t="inlineStr">
        <is>
          <t>VÄSTERBOTTENS LÄN</t>
        </is>
      </c>
      <c r="G403" t="inlineStr">
        <is>
          <t>ROBERTSFORS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10173-2022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44622</v>
      </c>
      <c r="E404" s="1" t="n">
        <v>46231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45653</v>
      </c>
      <c r="E405" s="1" t="n">
        <v>46231</v>
      </c>
      <c r="F405" t="inlineStr">
        <is>
          <t>VÄSTERBOTTENS LÄN</t>
        </is>
      </c>
      <c r="G405" t="inlineStr">
        <is>
          <t>ROBERTSFORS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46231</v>
      </c>
      <c r="F406" t="inlineStr">
        <is>
          <t>VÄSTERBOTTENS LÄN</t>
        </is>
      </c>
      <c r="G406" t="inlineStr">
        <is>
          <t>ROBERTSFORS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46231</v>
      </c>
      <c r="F407" t="inlineStr">
        <is>
          <t>VÄSTERBOTTENS LÄN</t>
        </is>
      </c>
      <c r="G407" t="inlineStr">
        <is>
          <t>ROBERTSFORS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45454</v>
      </c>
      <c r="E408" s="1" t="n">
        <v>46231</v>
      </c>
      <c r="F408" t="inlineStr">
        <is>
          <t>VÄSTERBOTTENS LÄN</t>
        </is>
      </c>
      <c r="G408" t="inlineStr">
        <is>
          <t>ROBERTSFORS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46231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46231</v>
      </c>
      <c r="F410" t="inlineStr">
        <is>
          <t>VÄSTERBOTTENS LÄN</t>
        </is>
      </c>
      <c r="G410" t="inlineStr">
        <is>
          <t>ROBERTSFORS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45659</v>
      </c>
      <c r="E411" s="1" t="n">
        <v>46231</v>
      </c>
      <c r="F411" t="inlineStr">
        <is>
          <t>VÄSTERBOTTENS LÄN</t>
        </is>
      </c>
      <c r="G411" t="inlineStr">
        <is>
          <t>ROBERTSFORS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46231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53564-2024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45611</v>
      </c>
      <c r="E413" s="1" t="n">
        <v>46231</v>
      </c>
      <c r="F413" t="inlineStr">
        <is>
          <t>VÄSTERBOTTENS LÄN</t>
        </is>
      </c>
      <c r="G413" t="inlineStr">
        <is>
          <t>ROBERTSFORS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45670</v>
      </c>
      <c r="E414" s="1" t="n">
        <v>46231</v>
      </c>
      <c r="F414" t="inlineStr">
        <is>
          <t>VÄSTERBOTTENS LÄN</t>
        </is>
      </c>
      <c r="G414" t="inlineStr">
        <is>
          <t>ROBERTSFORS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44026-2022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44838</v>
      </c>
      <c r="E415" s="1" t="n">
        <v>46231</v>
      </c>
      <c r="F415" t="inlineStr">
        <is>
          <t>VÄSTERBOTTENS LÄN</t>
        </is>
      </c>
      <c r="G415" t="inlineStr">
        <is>
          <t>ROBERTSFORS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22339-2024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45446</v>
      </c>
      <c r="E416" s="1" t="n">
        <v>46231</v>
      </c>
      <c r="F416" t="inlineStr">
        <is>
          <t>VÄSTERBOTTENS LÄN</t>
        </is>
      </c>
      <c r="G416" t="inlineStr">
        <is>
          <t>ROBERTSFORS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46231</v>
      </c>
      <c r="F417" t="inlineStr">
        <is>
          <t>VÄSTERBOTTENS LÄN</t>
        </is>
      </c>
      <c r="G417" t="inlineStr">
        <is>
          <t>ROBERTSFORS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46231</v>
      </c>
      <c r="F418" t="inlineStr">
        <is>
          <t>VÄSTERBOTTENS LÄN</t>
        </is>
      </c>
      <c r="G418" t="inlineStr">
        <is>
          <t>ROBERTSFORS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46225</v>
      </c>
      <c r="E419" s="1" t="n">
        <v>46231</v>
      </c>
      <c r="F419" t="inlineStr">
        <is>
          <t>VÄSTERBOTTENS LÄN</t>
        </is>
      </c>
      <c r="G419" t="inlineStr">
        <is>
          <t>ROBERTSFORS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46225</v>
      </c>
      <c r="E420" s="1" t="n">
        <v>46231</v>
      </c>
      <c r="F420" t="inlineStr">
        <is>
          <t>VÄSTERBOTTENS LÄN</t>
        </is>
      </c>
      <c r="G420" t="inlineStr">
        <is>
          <t>ROBERTSFORS</t>
        </is>
      </c>
      <c r="I420" t="n">
        <v>10.4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46231</v>
      </c>
      <c r="F421" t="inlineStr">
        <is>
          <t>VÄSTERBOTTENS LÄN</t>
        </is>
      </c>
      <c r="G421" t="inlineStr">
        <is>
          <t>ROBERTSFORS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46225</v>
      </c>
      <c r="E422" s="1" t="n">
        <v>46231</v>
      </c>
      <c r="F422" t="inlineStr">
        <is>
          <t>VÄSTERBOTTENS LÄN</t>
        </is>
      </c>
      <c r="G422" t="inlineStr">
        <is>
          <t>ROBERTSFORS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45202</v>
      </c>
      <c r="E423" s="1" t="n">
        <v>46231</v>
      </c>
      <c r="F423" t="inlineStr">
        <is>
          <t>VÄSTERBOTTENS LÄN</t>
        </is>
      </c>
      <c r="G423" t="inlineStr">
        <is>
          <t>ROBERTSFORS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46231</v>
      </c>
      <c r="F424" t="inlineStr">
        <is>
          <t>VÄSTERBOTTENS LÄN</t>
        </is>
      </c>
      <c r="G424" t="inlineStr">
        <is>
          <t>ROBERTSFORS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45981</v>
      </c>
      <c r="E425" s="1" t="n">
        <v>46231</v>
      </c>
      <c r="F425" t="inlineStr">
        <is>
          <t>VÄSTERBOTTENS LÄN</t>
        </is>
      </c>
      <c r="G425" t="inlineStr">
        <is>
          <t>ROBERTSFORS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46231</v>
      </c>
      <c r="F426" t="inlineStr">
        <is>
          <t>VÄSTERBOTTENS LÄN</t>
        </is>
      </c>
      <c r="G426" t="inlineStr">
        <is>
          <t>ROBERTSFORS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57698-2025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46231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46231</v>
      </c>
      <c r="F428" t="inlineStr">
        <is>
          <t>VÄSTERBOTTENS LÄN</t>
        </is>
      </c>
      <c r="G428" t="inlineStr">
        <is>
          <t>ROBERTSFORS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57737-2025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45981</v>
      </c>
      <c r="E429" s="1" t="n">
        <v>46231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46230</v>
      </c>
      <c r="E430" s="1" t="n">
        <v>46231</v>
      </c>
      <c r="F430" t="inlineStr">
        <is>
          <t>VÄSTERBOTTENS LÄN</t>
        </is>
      </c>
      <c r="G430" t="inlineStr">
        <is>
          <t>ROBERTSFORS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46231</v>
      </c>
      <c r="F431" t="inlineStr">
        <is>
          <t>VÄSTERBOTTENS LÄN</t>
        </is>
      </c>
      <c r="G431" t="inlineStr">
        <is>
          <t>ROBERTSFORS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46231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46231</v>
      </c>
      <c r="F433" t="inlineStr">
        <is>
          <t>VÄSTERBOTTENS LÄN</t>
        </is>
      </c>
      <c r="G433" t="inlineStr">
        <is>
          <t>ROBERTSFORS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46231</v>
      </c>
      <c r="F434" t="inlineStr">
        <is>
          <t>VÄSTERBOTTENS LÄN</t>
        </is>
      </c>
      <c r="G434" t="inlineStr">
        <is>
          <t>ROBERTSFORS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46231</v>
      </c>
      <c r="F435" t="inlineStr">
        <is>
          <t>VÄSTERBOTTENS LÄN</t>
        </is>
      </c>
      <c r="G435" t="inlineStr">
        <is>
          <t>ROBERTSFORS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45987</v>
      </c>
      <c r="E436" s="1" t="n">
        <v>46231</v>
      </c>
      <c r="F436" t="inlineStr">
        <is>
          <t>VÄSTERBOTTENS LÄN</t>
        </is>
      </c>
      <c r="G436" t="inlineStr">
        <is>
          <t>ROBERTSFORS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45708</v>
      </c>
      <c r="E437" s="1" t="n">
        <v>46231</v>
      </c>
      <c r="F437" t="inlineStr">
        <is>
          <t>VÄSTERBOTTENS LÄN</t>
        </is>
      </c>
      <c r="G437" t="inlineStr">
        <is>
          <t>ROBERTSFORS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45756</v>
      </c>
      <c r="E438" s="1" t="n">
        <v>46231</v>
      </c>
      <c r="F438" t="inlineStr">
        <is>
          <t>VÄSTERBOTTENS LÄN</t>
        </is>
      </c>
      <c r="G438" t="inlineStr">
        <is>
          <t>ROBERTSFORS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44783</v>
      </c>
      <c r="E439" s="1" t="n">
        <v>46231</v>
      </c>
      <c r="F439" t="inlineStr">
        <is>
          <t>VÄSTERBOTTENS LÄN</t>
        </is>
      </c>
      <c r="G439" t="inlineStr">
        <is>
          <t>ROBERTSFORS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46231</v>
      </c>
      <c r="F440" t="inlineStr">
        <is>
          <t>VÄSTERBOTTENS LÄN</t>
        </is>
      </c>
      <c r="G440" t="inlineStr">
        <is>
          <t>ROBERTSFORS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45996</v>
      </c>
      <c r="E441" s="1" t="n">
        <v>46231</v>
      </c>
      <c r="F441" t="inlineStr">
        <is>
          <t>VÄSTERBOTTENS LÄN</t>
        </is>
      </c>
      <c r="G441" t="inlineStr">
        <is>
          <t>ROBERTSFORS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991-2024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45301</v>
      </c>
      <c r="E442" s="1" t="n">
        <v>46231</v>
      </c>
      <c r="F442" t="inlineStr">
        <is>
          <t>VÄSTERBOTTENS LÄN</t>
        </is>
      </c>
      <c r="G442" t="inlineStr">
        <is>
          <t>ROBERTSFORS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46000</v>
      </c>
      <c r="E443" s="1" t="n">
        <v>46231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Sveaskog</t>
        </is>
      </c>
      <c r="I443" t="n">
        <v>9.199999999999999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61185-2025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46231</v>
      </c>
      <c r="F444" t="inlineStr">
        <is>
          <t>VÄSTERBOTTENS LÄN</t>
        </is>
      </c>
      <c r="G444" t="inlineStr">
        <is>
          <t>ROBERTSFORS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45013</v>
      </c>
      <c r="E445" s="1" t="n">
        <v>46231</v>
      </c>
      <c r="F445" t="inlineStr">
        <is>
          <t>VÄSTERBOTTENS LÄN</t>
        </is>
      </c>
      <c r="G445" t="inlineStr">
        <is>
          <t>ROBERTSFORS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46231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44938</v>
      </c>
      <c r="E447" s="1" t="n">
        <v>46231</v>
      </c>
      <c r="F447" t="inlineStr">
        <is>
          <t>VÄSTERBOTTENS LÄN</t>
        </is>
      </c>
      <c r="G447" t="inlineStr">
        <is>
          <t>ROBERTSFORS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61553-2023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45261</v>
      </c>
      <c r="E448" s="1" t="n">
        <v>46231</v>
      </c>
      <c r="F448" t="inlineStr">
        <is>
          <t>VÄSTERBOTTENS LÄN</t>
        </is>
      </c>
      <c r="G448" t="inlineStr">
        <is>
          <t>ROBERTSFORS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26368-2024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46231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60882-2024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45644</v>
      </c>
      <c r="E450" s="1" t="n">
        <v>46231</v>
      </c>
      <c r="F450" t="inlineStr">
        <is>
          <t>VÄSTERBOTTENS LÄN</t>
        </is>
      </c>
      <c r="G450" t="inlineStr">
        <is>
          <t>ROBERTSFORS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31905-2024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45510</v>
      </c>
      <c r="E451" s="1" t="n">
        <v>46231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45622</v>
      </c>
      <c r="E452" s="1" t="n">
        <v>46231</v>
      </c>
      <c r="F452" t="inlineStr">
        <is>
          <t>VÄSTERBOTTENS LÄN</t>
        </is>
      </c>
      <c r="G452" t="inlineStr">
        <is>
          <t>ROBERTSFORS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45671</v>
      </c>
      <c r="E453" s="1" t="n">
        <v>46231</v>
      </c>
      <c r="F453" t="inlineStr">
        <is>
          <t>VÄSTERBOTTENS LÄN</t>
        </is>
      </c>
      <c r="G453" t="inlineStr">
        <is>
          <t>ROBERTSFORS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46231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46300-2024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45581</v>
      </c>
      <c r="E455" s="1" t="n">
        <v>46231</v>
      </c>
      <c r="F455" t="inlineStr">
        <is>
          <t>VÄSTERBOTTENS LÄN</t>
        </is>
      </c>
      <c r="G455" t="inlineStr">
        <is>
          <t>ROBERTSFORS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38951-2024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45548</v>
      </c>
      <c r="E456" s="1" t="n">
        <v>46231</v>
      </c>
      <c r="F456" t="inlineStr">
        <is>
          <t>VÄSTERBOTTENS LÄN</t>
        </is>
      </c>
      <c r="G456" t="inlineStr">
        <is>
          <t>ROBERTSFORS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65772-2021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44516</v>
      </c>
      <c r="E457" s="1" t="n">
        <v>46231</v>
      </c>
      <c r="F457" t="inlineStr">
        <is>
          <t>VÄSTERBOTTENS LÄN</t>
        </is>
      </c>
      <c r="G457" t="inlineStr">
        <is>
          <t>ROBERTSFORS</t>
        </is>
      </c>
      <c r="I457" t="n">
        <v>18.2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45033</v>
      </c>
      <c r="E458" s="1" t="n">
        <v>46231</v>
      </c>
      <c r="F458" t="inlineStr">
        <is>
          <t>VÄSTERBOTTENS LÄN</t>
        </is>
      </c>
      <c r="G458" t="inlineStr">
        <is>
          <t>ROBERTSFORS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45048</v>
      </c>
      <c r="E459" s="1" t="n">
        <v>46231</v>
      </c>
      <c r="F459" t="inlineStr">
        <is>
          <t>VÄSTERBOTTENS LÄN</t>
        </is>
      </c>
      <c r="G459" t="inlineStr">
        <is>
          <t>ROBERTSFORS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44936</v>
      </c>
      <c r="E460" s="1" t="n">
        <v>46231</v>
      </c>
      <c r="F460" t="inlineStr">
        <is>
          <t>VÄSTERBOTTENS LÄN</t>
        </is>
      </c>
      <c r="G460" t="inlineStr">
        <is>
          <t>ROBERTSFORS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45432</v>
      </c>
      <c r="E461" s="1" t="n">
        <v>46231</v>
      </c>
      <c r="F461" t="inlineStr">
        <is>
          <t>VÄSTERBOTTENS LÄN</t>
        </is>
      </c>
      <c r="G461" t="inlineStr">
        <is>
          <t>ROBERTSFORS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38092-2022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44811</v>
      </c>
      <c r="E462" s="1" t="n">
        <v>46231</v>
      </c>
      <c r="F462" t="inlineStr">
        <is>
          <t>VÄSTERBOTTENS LÄN</t>
        </is>
      </c>
      <c r="G462" t="inlineStr">
        <is>
          <t>ROBERTSFORS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62084-2022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44919</v>
      </c>
      <c r="E463" s="1" t="n">
        <v>46231</v>
      </c>
      <c r="F463" t="inlineStr">
        <is>
          <t>VÄSTERBOTTENS LÄN</t>
        </is>
      </c>
      <c r="G463" t="inlineStr">
        <is>
          <t>ROBERTSFORS</t>
        </is>
      </c>
      <c r="I463" t="n">
        <v>64.7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46231</v>
      </c>
      <c r="F464" t="inlineStr">
        <is>
          <t>VÄSTERBOTTENS LÄN</t>
        </is>
      </c>
      <c r="G464" t="inlineStr">
        <is>
          <t>ROBERTSFORS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62187-2021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44502</v>
      </c>
      <c r="E465" s="1" t="n">
        <v>46231</v>
      </c>
      <c r="F465" t="inlineStr">
        <is>
          <t>VÄSTERBOTTENS LÄN</t>
        </is>
      </c>
      <c r="G465" t="inlineStr">
        <is>
          <t>ROBERTSFORS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44580</v>
      </c>
      <c r="E466" s="1" t="n">
        <v>46231</v>
      </c>
      <c r="F466" t="inlineStr">
        <is>
          <t>VÄSTERBOTTENS LÄN</t>
        </is>
      </c>
      <c r="G466" t="inlineStr">
        <is>
          <t>ROBERTSFORS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53271-2021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44467</v>
      </c>
      <c r="E467" s="1" t="n">
        <v>46231</v>
      </c>
      <c r="F467" t="inlineStr">
        <is>
          <t>VÄSTERBOTTENS LÄN</t>
        </is>
      </c>
      <c r="G467" t="inlineStr">
        <is>
          <t>ROBERTSFORS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45924-2024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45580</v>
      </c>
      <c r="E468" s="1" t="n">
        <v>46231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54968-2024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45620</v>
      </c>
      <c r="E469" s="1" t="n">
        <v>46231</v>
      </c>
      <c r="F469" t="inlineStr">
        <is>
          <t>VÄSTERBOTTENS LÄN</t>
        </is>
      </c>
      <c r="G469" t="inlineStr">
        <is>
          <t>ROBERTSFORS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26894-2024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45470</v>
      </c>
      <c r="E470" s="1" t="n">
        <v>46231</v>
      </c>
      <c r="F470" t="inlineStr">
        <is>
          <t>VÄSTERBOTTENS LÄN</t>
        </is>
      </c>
      <c r="G470" t="inlineStr">
        <is>
          <t>ROBERTSFORS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45029</v>
      </c>
      <c r="E471" s="1" t="n">
        <v>46231</v>
      </c>
      <c r="F471" t="inlineStr">
        <is>
          <t>VÄSTERBOTTENS LÄN</t>
        </is>
      </c>
      <c r="G471" t="inlineStr">
        <is>
          <t>ROBERTSFORS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44952</v>
      </c>
      <c r="E472" s="1" t="n">
        <v>46231</v>
      </c>
      <c r="F472" t="inlineStr">
        <is>
          <t>VÄSTERBOTTENS LÄN</t>
        </is>
      </c>
      <c r="G472" t="inlineStr">
        <is>
          <t>ROBERTSFORS</t>
        </is>
      </c>
      <c r="I472" t="n">
        <v>16.1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26038-2022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44734</v>
      </c>
      <c r="E473" s="1" t="n">
        <v>46231</v>
      </c>
      <c r="F473" t="inlineStr">
        <is>
          <t>VÄSTERBOTTENS LÄN</t>
        </is>
      </c>
      <c r="G473" t="inlineStr">
        <is>
          <t>ROBERTSFORS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24136-2023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46231</v>
      </c>
      <c r="F474" t="inlineStr">
        <is>
          <t>VÄSTERBOTTENS LÄN</t>
        </is>
      </c>
      <c r="G474" t="inlineStr">
        <is>
          <t>ROBERTSFORS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45129</v>
      </c>
      <c r="E475" s="1" t="n">
        <v>46231</v>
      </c>
      <c r="F475" t="inlineStr">
        <is>
          <t>VÄSTERBOTTENS LÄN</t>
        </is>
      </c>
      <c r="G475" t="inlineStr">
        <is>
          <t>ROBERTSFORS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37901-2023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45160</v>
      </c>
      <c r="E476" s="1" t="n">
        <v>46231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55469-2021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44475</v>
      </c>
      <c r="E477" s="1" t="n">
        <v>46231</v>
      </c>
      <c r="F477" t="inlineStr">
        <is>
          <t>VÄSTERBOTTENS LÄN</t>
        </is>
      </c>
      <c r="G477" t="inlineStr">
        <is>
          <t>ROBERTSFORS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45090</v>
      </c>
      <c r="E478" s="1" t="n">
        <v>46231</v>
      </c>
      <c r="F478" t="inlineStr">
        <is>
          <t>VÄSTERBOTTENS LÄN</t>
        </is>
      </c>
      <c r="G478" t="inlineStr">
        <is>
          <t>ROBERTSFORS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46231</v>
      </c>
      <c r="F479" t="inlineStr">
        <is>
          <t>VÄSTERBOTTENS LÄN</t>
        </is>
      </c>
      <c r="G479" t="inlineStr">
        <is>
          <t>ROBERTSFORS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46231</v>
      </c>
      <c r="F480" t="inlineStr">
        <is>
          <t>VÄSTERBOTTENS LÄN</t>
        </is>
      </c>
      <c r="G480" t="inlineStr">
        <is>
          <t>ROBERTSFORS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45307</v>
      </c>
      <c r="E481" s="1" t="n">
        <v>46231</v>
      </c>
      <c r="F481" t="inlineStr">
        <is>
          <t>VÄSTERBOTTENS LÄN</t>
        </is>
      </c>
      <c r="G481" t="inlineStr">
        <is>
          <t>ROBERTSFORS</t>
        </is>
      </c>
      <c r="I481" t="n">
        <v>12.1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45197</v>
      </c>
      <c r="E482" s="1" t="n">
        <v>46231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45664</v>
      </c>
      <c r="E483" s="1" t="n">
        <v>46231</v>
      </c>
      <c r="F483" t="inlineStr">
        <is>
          <t>VÄSTERBOTTENS LÄN</t>
        </is>
      </c>
      <c r="G483" t="inlineStr">
        <is>
          <t>ROBERTSFORS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45659</v>
      </c>
      <c r="E484" s="1" t="n">
        <v>46231</v>
      </c>
      <c r="F484" t="inlineStr">
        <is>
          <t>VÄSTERBOTTENS LÄN</t>
        </is>
      </c>
      <c r="G484" t="inlineStr">
        <is>
          <t>ROBERTSFORS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45251</v>
      </c>
      <c r="E485" s="1" t="n">
        <v>46231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13.9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45148</v>
      </c>
      <c r="E486" s="1" t="n">
        <v>46231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46231</v>
      </c>
      <c r="F487" t="inlineStr">
        <is>
          <t>VÄSTERBOTTENS LÄN</t>
        </is>
      </c>
      <c r="G487" t="inlineStr">
        <is>
          <t>ROBERTSFORS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38480-2023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46231</v>
      </c>
      <c r="F488" t="inlineStr">
        <is>
          <t>VÄSTERBOTTENS LÄN</t>
        </is>
      </c>
      <c r="G488" t="inlineStr">
        <is>
          <t>ROBERTSFORS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10234-2024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46231</v>
      </c>
      <c r="F489" t="inlineStr">
        <is>
          <t>VÄSTERBOTTENS LÄN</t>
        </is>
      </c>
      <c r="G489" t="inlineStr">
        <is>
          <t>ROBERTSFORS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10330-2024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45365</v>
      </c>
      <c r="E490" s="1" t="n">
        <v>46231</v>
      </c>
      <c r="F490" t="inlineStr">
        <is>
          <t>VÄSTERBOTTENS LÄN</t>
        </is>
      </c>
      <c r="G490" t="inlineStr">
        <is>
          <t>ROBERTSFORS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45610</v>
      </c>
      <c r="E491" s="1" t="n">
        <v>46231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SCA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44980</v>
      </c>
      <c r="E492" s="1" t="n">
        <v>46231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45215</v>
      </c>
      <c r="E493" s="1" t="n">
        <v>46231</v>
      </c>
      <c r="F493" t="inlineStr">
        <is>
          <t>VÄSTERBOTTENS LÄN</t>
        </is>
      </c>
      <c r="G493" t="inlineStr">
        <is>
          <t>ROBERTSFORS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45687</v>
      </c>
      <c r="E494" s="1" t="n">
        <v>46231</v>
      </c>
      <c r="F494" t="inlineStr">
        <is>
          <t>VÄSTERBOTTENS LÄN</t>
        </is>
      </c>
      <c r="G494" t="inlineStr">
        <is>
          <t>ROBERTSFORS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38120-2024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46231</v>
      </c>
      <c r="F495" t="inlineStr">
        <is>
          <t>VÄSTERBOTTENS LÄN</t>
        </is>
      </c>
      <c r="G495" t="inlineStr">
        <is>
          <t>ROBERTSFORS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58679-2024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45635</v>
      </c>
      <c r="E496" s="1" t="n">
        <v>46231</v>
      </c>
      <c r="F496" t="inlineStr">
        <is>
          <t>VÄSTERBOTTENS LÄN</t>
        </is>
      </c>
      <c r="G496" t="inlineStr">
        <is>
          <t>ROBERTSFORS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45628</v>
      </c>
      <c r="E497" s="1" t="n">
        <v>46231</v>
      </c>
      <c r="F497" t="inlineStr">
        <is>
          <t>VÄSTERBOTTENS LÄN</t>
        </is>
      </c>
      <c r="G497" t="inlineStr">
        <is>
          <t>ROBERTSFORS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46231</v>
      </c>
      <c r="F498" t="inlineStr">
        <is>
          <t>VÄSTERBOTTENS LÄN</t>
        </is>
      </c>
      <c r="G498" t="inlineStr">
        <is>
          <t>ROBERTSFORS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45644</v>
      </c>
      <c r="E499" s="1" t="n">
        <v>46231</v>
      </c>
      <c r="F499" t="inlineStr">
        <is>
          <t>VÄSTERBOTTENS LÄN</t>
        </is>
      </c>
      <c r="G499" t="inlineStr">
        <is>
          <t>ROBERTSFORS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57008-2024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46231</v>
      </c>
      <c r="F500" t="inlineStr">
        <is>
          <t>VÄSTERBOTTENS LÄN</t>
        </is>
      </c>
      <c r="G500" t="inlineStr">
        <is>
          <t>ROBERTSFORS</t>
        </is>
      </c>
      <c r="I500" t="n">
        <v>12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45160</v>
      </c>
      <c r="E501" s="1" t="n">
        <v>46231</v>
      </c>
      <c r="F501" t="inlineStr">
        <is>
          <t>VÄSTERBOTTENS LÄN</t>
        </is>
      </c>
      <c r="G501" t="inlineStr">
        <is>
          <t>ROBERTSFORS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46231</v>
      </c>
      <c r="F502" t="inlineStr">
        <is>
          <t>VÄSTERBOTTENS LÄN</t>
        </is>
      </c>
      <c r="G502" t="inlineStr">
        <is>
          <t>ROBERTSFORS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46231</v>
      </c>
      <c r="F503" t="inlineStr">
        <is>
          <t>VÄSTERBOTTENS LÄN</t>
        </is>
      </c>
      <c r="G503" t="inlineStr">
        <is>
          <t>ROBERTSFORS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46231</v>
      </c>
      <c r="F504" t="inlineStr">
        <is>
          <t>VÄSTERBOTTENS LÄN</t>
        </is>
      </c>
      <c r="G504" t="inlineStr">
        <is>
          <t>ROBERTSFORS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60225-2024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45642</v>
      </c>
      <c r="E505" s="1" t="n">
        <v>46231</v>
      </c>
      <c r="F505" t="inlineStr">
        <is>
          <t>VÄSTERBOTTENS LÄN</t>
        </is>
      </c>
      <c r="G505" t="inlineStr">
        <is>
          <t>ROBERTSFORS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45495</v>
      </c>
      <c r="E506" s="1" t="n">
        <v>46231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45792</v>
      </c>
      <c r="E507" s="1" t="n">
        <v>46231</v>
      </c>
      <c r="F507" t="inlineStr">
        <is>
          <t>VÄSTERBOTTENS LÄN</t>
        </is>
      </c>
      <c r="G507" t="inlineStr">
        <is>
          <t>ROBERTSFORS</t>
        </is>
      </c>
      <c r="I507" t="n">
        <v>10.1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45792</v>
      </c>
      <c r="E508" s="1" t="n">
        <v>46231</v>
      </c>
      <c r="F508" t="inlineStr">
        <is>
          <t>VÄSTERBOTTENS LÄN</t>
        </is>
      </c>
      <c r="G508" t="inlineStr">
        <is>
          <t>ROBERTSFORS</t>
        </is>
      </c>
      <c r="I508" t="n">
        <v>11.3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45792</v>
      </c>
      <c r="E509" s="1" t="n">
        <v>46231</v>
      </c>
      <c r="F509" t="inlineStr">
        <is>
          <t>VÄSTERBOTTENS LÄN</t>
        </is>
      </c>
      <c r="G509" t="inlineStr">
        <is>
          <t>ROBERTSFORS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44372-2023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45188</v>
      </c>
      <c r="E510" s="1" t="n">
        <v>46231</v>
      </c>
      <c r="F510" t="inlineStr">
        <is>
          <t>VÄSTERBOTTENS LÄN</t>
        </is>
      </c>
      <c r="G510" t="inlineStr">
        <is>
          <t>ROBERTSFORS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45794</v>
      </c>
      <c r="E511" s="1" t="n">
        <v>46231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45761</v>
      </c>
      <c r="E512" s="1" t="n">
        <v>46231</v>
      </c>
      <c r="F512" t="inlineStr">
        <is>
          <t>VÄSTERBOTTENS LÄN</t>
        </is>
      </c>
      <c r="G512" t="inlineStr">
        <is>
          <t>ROBERTSFORS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45800</v>
      </c>
      <c r="E513" s="1" t="n">
        <v>46231</v>
      </c>
      <c r="F513" t="inlineStr">
        <is>
          <t>VÄSTERBOTTENS LÄN</t>
        </is>
      </c>
      <c r="G513" t="inlineStr">
        <is>
          <t>ROBERTSFORS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2849-2022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44707</v>
      </c>
      <c r="E514" s="1" t="n">
        <v>46231</v>
      </c>
      <c r="F514" t="inlineStr">
        <is>
          <t>VÄSTERBOTTENS LÄN</t>
        </is>
      </c>
      <c r="G514" t="inlineStr">
        <is>
          <t>ROBERTSFORS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8592-2021</t>
        </is>
      </c>
      <c r="B515" t="inlineStr">
        <is>
          <t>samrådsanmälan</t>
        </is>
      </c>
      <c r="C515" t="inlineStr">
        <is>
          <t>Skogsbilväg</t>
        </is>
      </c>
      <c r="D515" s="1" t="n">
        <v>44501</v>
      </c>
      <c r="E515" s="1" t="n">
        <v>46231</v>
      </c>
      <c r="F515" t="inlineStr">
        <is>
          <t>VÄSTERBOTTENS LÄN</t>
        </is>
      </c>
      <c r="G515" t="inlineStr">
        <is>
          <t>ROBERTSFORS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1034-2025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45747</v>
      </c>
      <c r="E516" s="1" t="n">
        <v>46231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1249-2025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45762</v>
      </c>
      <c r="E517" s="1" t="n">
        <v>46231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175.8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702-2026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46092</v>
      </c>
      <c r="E518" s="1" t="n">
        <v>46231</v>
      </c>
      <c r="F518" t="inlineStr">
        <is>
          <t>VÄSTERBOTTENS LÄN</t>
        </is>
      </c>
      <c r="G518" t="inlineStr">
        <is>
          <t>ROBERTSFORS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1273-2026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46147</v>
      </c>
      <c r="E519" s="1" t="n">
        <v>46231</v>
      </c>
      <c r="F519" t="inlineStr">
        <is>
          <t>VÄSTERBOTTENS LÄN</t>
        </is>
      </c>
      <c r="G519" t="inlineStr">
        <is>
          <t>ROBERTSFORS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1322-2026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46149</v>
      </c>
      <c r="E520" s="1" t="n">
        <v>46231</v>
      </c>
      <c r="F520" t="inlineStr">
        <is>
          <t>VÄSTERBOTTENS LÄN</t>
        </is>
      </c>
      <c r="G520" t="inlineStr">
        <is>
          <t>ROBERTSFORS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1416-2026</t>
        </is>
      </c>
      <c r="B521" t="inlineStr">
        <is>
          <t>samrådsanmälan</t>
        </is>
      </c>
      <c r="C521" t="inlineStr">
        <is>
          <t>Skogsgödsling</t>
        </is>
      </c>
      <c r="D521" s="1" t="n">
        <v>46155</v>
      </c>
      <c r="E521" s="1" t="n">
        <v>46231</v>
      </c>
      <c r="F521" t="inlineStr">
        <is>
          <t>VÄSTERBOTTENS LÄN</t>
        </is>
      </c>
      <c r="G521" t="inlineStr">
        <is>
          <t>ROBERTSFORS</t>
        </is>
      </c>
      <c r="I521" t="n">
        <v>32.7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2026-07-28T01:52:41Z</dcterms:created>
  <dcterms:modified xmlns:dcterms="http://purl.org/dc/terms/" xmlns:xsi="http://www.w3.org/2001/XMLSchema-instance" xsi:type="dcterms:W3CDTF">2026-07-28T01:52:42Z</dcterms:modified>
</cp:coreProperties>
</file>