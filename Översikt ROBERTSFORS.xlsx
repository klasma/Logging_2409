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46289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46289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46289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46289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46289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46289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46289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46289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46289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46289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46289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46289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46289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46289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43097-2023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45182</v>
      </c>
      <c r="E24" s="1" t="n">
        <v>46289</v>
      </c>
      <c r="F24" t="inlineStr">
        <is>
          <t>VÄSTERBOTTENS LÄN</t>
        </is>
      </c>
      <c r="G24" t="inlineStr">
        <is>
          <t>ROBERTSFORS</t>
        </is>
      </c>
      <c r="I24" t="n">
        <v>3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Talltita</t>
        </is>
      </c>
      <c r="W24">
        <f>HYPERLINK("https://klasma.github.io/Logging_2409/artfynd/A 43097-2023 artfynd.xlsx", "A 43097-2023")</f>
        <v/>
      </c>
      <c r="X24">
        <f>HYPERLINK("https://klasma.github.io/Logging_2409/kartor/A 43097-2023 karta.png", "A 43097-2023")</f>
        <v/>
      </c>
      <c r="Y24">
        <f>HYPERLINK("https://klasma.github.io/Logging_2409/kartor_geotiff/A 43097-2023 georefererad karta.tif", "A 43097-2023")</f>
        <v/>
      </c>
      <c r="AA24">
        <f>HYPERLINK("https://klasma.github.io/Logging_2409/klagomål/A 43097-2023 FSC-klagomål.docx", "A 43097-2023")</f>
        <v/>
      </c>
      <c r="AB24">
        <f>HYPERLINK("https://klasma.github.io/Logging_2409/klagomålsmail/A 43097-2023 FSC-klagomål mail.docx", "A 43097-2023")</f>
        <v/>
      </c>
      <c r="AC24">
        <f>HYPERLINK("https://klasma.github.io/Logging_2409/tillsyn/A 43097-2023 tillsynsbegäran.docx", "A 43097-2023")</f>
        <v/>
      </c>
      <c r="AD24">
        <f>HYPERLINK("https://klasma.github.io/Logging_2409/tillsynsmail/A 43097-2023 tillsynsbegäran mail.docx", "A 43097-2023")</f>
        <v/>
      </c>
      <c r="AE24">
        <f>HYPERLINK("https://klasma.github.io/Logging_2409/fåglar/A 43097-2023 prioriterade fågelarter.docx", "A 43097-2023")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46289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46289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46289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Ullticka
Vedticka</t>
        </is>
      </c>
      <c r="W27">
        <f>HYPERLINK("https://klasma.github.io/Logging_2409/artfynd/A 41962-2023 artfynd.xlsx", "A 41962-2023")</f>
        <v/>
      </c>
      <c r="X27">
        <f>HYPERLINK("https://klasma.github.io/Logging_2409/kartor/A 41962-2023 karta.png", "A 41962-2023")</f>
        <v/>
      </c>
      <c r="Y27">
        <f>HYPERLINK("https://klasma.github.io/Logging_2409/kartor_geotiff/A 41962-2023 georefererad karta.tif", "A 41962-2023")</f>
        <v/>
      </c>
      <c r="AA27">
        <f>HYPERLINK("https://klasma.github.io/Logging_2409/klagomål/A 41962-2023 FSC-klagomål.docx", "A 41962-2023")</f>
        <v/>
      </c>
      <c r="AB27">
        <f>HYPERLINK("https://klasma.github.io/Logging_2409/klagomålsmail/A 41962-2023 FSC-klagomål mail.docx", "A 41962-2023")</f>
        <v/>
      </c>
      <c r="AC27">
        <f>HYPERLINK("https://klasma.github.io/Logging_2409/tillsyn/A 41962-2023 tillsynsbegäran.docx", "A 41962-2023")</f>
        <v/>
      </c>
      <c r="AD27">
        <f>HYPERLINK("https://klasma.github.io/Logging_2409/tillsynsmail/A 41962-2023 tillsynsbegäran mail.docx", "A 41962-2023")</f>
        <v/>
      </c>
    </row>
    <row r="28" ht="15" customHeight="1">
      <c r="A28" t="inlineStr">
        <is>
          <t>A 43094-2023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46289</v>
      </c>
      <c r="F28" t="inlineStr">
        <is>
          <t>VÄSTERBOTTENS LÄN</t>
        </is>
      </c>
      <c r="G28" t="inlineStr">
        <is>
          <t>ROBERTSFORS</t>
        </is>
      </c>
      <c r="I28" t="n">
        <v>7.7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Svartvit flugsnappare
Ärtsångare</t>
        </is>
      </c>
      <c r="W28">
        <f>HYPERLINK("https://klasma.github.io/Logging_2409/artfynd/A 43094-2023 artfynd.xlsx", "A 43094-2023")</f>
        <v/>
      </c>
      <c r="X28">
        <f>HYPERLINK("https://klasma.github.io/Logging_2409/kartor/A 43094-2023 karta.png", "A 43094-2023")</f>
        <v/>
      </c>
      <c r="Y28">
        <f>HYPERLINK("https://klasma.github.io/Logging_2409/kartor_geotiff/A 43094-2023 georefererad karta.tif", "A 43094-2023")</f>
        <v/>
      </c>
      <c r="AA28">
        <f>HYPERLINK("https://klasma.github.io/Logging_2409/klagomål/A 43094-2023 FSC-klagomål.docx", "A 43094-2023")</f>
        <v/>
      </c>
      <c r="AB28">
        <f>HYPERLINK("https://klasma.github.io/Logging_2409/klagomålsmail/A 43094-2023 FSC-klagomål mail.docx", "A 43094-2023")</f>
        <v/>
      </c>
      <c r="AC28">
        <f>HYPERLINK("https://klasma.github.io/Logging_2409/tillsyn/A 43094-2023 tillsynsbegäran.docx", "A 43094-2023")</f>
        <v/>
      </c>
      <c r="AD28">
        <f>HYPERLINK("https://klasma.github.io/Logging_2409/tillsynsmail/A 43094-2023 tillsynsbegäran mail.docx", "A 43094-2023")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46289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46289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46289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46289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46289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45468</v>
      </c>
      <c r="E34" s="1" t="n">
        <v>46289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3.9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8</v>
      </c>
      <c r="V34" s="2" t="inlineStr">
        <is>
          <t>Tjäder
Orre</t>
        </is>
      </c>
      <c r="W34">
        <f>HYPERLINK("https://klasma.github.io/Logging_2409/artfynd/A 26204-2024 artfynd.xlsx", "A 26204-2024")</f>
        <v/>
      </c>
      <c r="X34">
        <f>HYPERLINK("https://klasma.github.io/Logging_2409/kartor/A 26204-2024 karta.png", "A 26204-2024")</f>
        <v/>
      </c>
      <c r="Y34">
        <f>HYPERLINK("https://klasma.github.io/Logging_2409/kartor_geotiff/A 26204-2024 georefererad karta.tif", "A 26204-2024")</f>
        <v/>
      </c>
      <c r="AA34">
        <f>HYPERLINK("https://klasma.github.io/Logging_2409/klagomål/A 26204-2024 FSC-klagomål.docx", "A 26204-2024")</f>
        <v/>
      </c>
      <c r="AB34">
        <f>HYPERLINK("https://klasma.github.io/Logging_2409/klagomålsmail/A 26204-2024 FSC-klagomål mail.docx", "A 26204-2024")</f>
        <v/>
      </c>
      <c r="AC34">
        <f>HYPERLINK("https://klasma.github.io/Logging_2409/tillsyn/A 26204-2024 tillsynsbegäran.docx", "A 26204-2024")</f>
        <v/>
      </c>
      <c r="AD34">
        <f>HYPERLINK("https://klasma.github.io/Logging_2409/tillsynsmail/A 26204-2024 tillsynsbegäran mail.docx", "A 26204-2024")</f>
        <v/>
      </c>
      <c r="AE34">
        <f>HYPERLINK("https://klasma.github.io/Logging_2409/fåglar/A 26204-2024 prioriterade fågelarter.docx", "A 26204-2024")</f>
        <v/>
      </c>
    </row>
    <row r="35" ht="15" customHeight="1">
      <c r="A35" t="inlineStr">
        <is>
          <t>A 41723-2024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46289</v>
      </c>
      <c r="F35" t="inlineStr">
        <is>
          <t>VÄSTERBOTTENS LÄN</t>
        </is>
      </c>
      <c r="G35" t="inlineStr">
        <is>
          <t>ROBERTSFORS</t>
        </is>
      </c>
      <c r="I35" t="n">
        <v>2.4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Tretåig hackspett
Spillkråka</t>
        </is>
      </c>
      <c r="W35">
        <f>HYPERLINK("https://klasma.github.io/Logging_2409/artfynd/A 41723-2024 artfynd.xlsx", "A 41723-2024")</f>
        <v/>
      </c>
      <c r="X35">
        <f>HYPERLINK("https://klasma.github.io/Logging_2409/kartor/A 41723-2024 karta.png", "A 41723-2024")</f>
        <v/>
      </c>
      <c r="Y35">
        <f>HYPERLINK("https://klasma.github.io/Logging_2409/kartor_geotiff/A 41723-2024 georefererad karta.tif", "A 41723-2024")</f>
        <v/>
      </c>
      <c r="AA35">
        <f>HYPERLINK("https://klasma.github.io/Logging_2409/klagomål/A 41723-2024 FSC-klagomål.docx", "A 41723-2024")</f>
        <v/>
      </c>
      <c r="AB35">
        <f>HYPERLINK("https://klasma.github.io/Logging_2409/klagomålsmail/A 41723-2024 FSC-klagomål mail.docx", "A 41723-2024")</f>
        <v/>
      </c>
      <c r="AC35">
        <f>HYPERLINK("https://klasma.github.io/Logging_2409/tillsyn/A 41723-2024 tillsynsbegäran.docx", "A 41723-2024")</f>
        <v/>
      </c>
      <c r="AD35">
        <f>HYPERLINK("https://klasma.github.io/Logging_2409/tillsynsmail/A 41723-2024 tillsynsbegäran mail.docx", "A 41723-2024")</f>
        <v/>
      </c>
      <c r="AE35">
        <f>HYPERLINK("https://klasma.github.io/Logging_2409/fåglar/A 41723-2024 prioriterade fågelarter.docx", "A 41723-2024")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46289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46289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46289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46289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46289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38777-2023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45163</v>
      </c>
      <c r="E41" s="1" t="n">
        <v>46289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5.9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Talltita</t>
        </is>
      </c>
      <c r="W41">
        <f>HYPERLINK("https://klasma.github.io/Logging_2409/artfynd/A 38777-2023 artfynd.xlsx", "A 38777-2023")</f>
        <v/>
      </c>
      <c r="X41">
        <f>HYPERLINK("https://klasma.github.io/Logging_2409/kartor/A 38777-2023 karta.png", "A 38777-2023")</f>
        <v/>
      </c>
      <c r="Y41">
        <f>HYPERLINK("https://klasma.github.io/Logging_2409/kartor_geotiff/A 38777-2023 georefererad karta.tif", "A 38777-2023")</f>
        <v/>
      </c>
      <c r="AA41">
        <f>HYPERLINK("https://klasma.github.io/Logging_2409/klagomål/A 38777-2023 FSC-klagomål.docx", "A 38777-2023")</f>
        <v/>
      </c>
      <c r="AB41">
        <f>HYPERLINK("https://klasma.github.io/Logging_2409/klagomålsmail/A 38777-2023 FSC-klagomål mail.docx", "A 38777-2023")</f>
        <v/>
      </c>
      <c r="AC41">
        <f>HYPERLINK("https://klasma.github.io/Logging_2409/tillsyn/A 38777-2023 tillsynsbegäran.docx", "A 38777-2023")</f>
        <v/>
      </c>
      <c r="AD41">
        <f>HYPERLINK("https://klasma.github.io/Logging_2409/tillsynsmail/A 38777-2023 tillsynsbegäran mail.docx", "A 38777-2023")</f>
        <v/>
      </c>
      <c r="AE41">
        <f>HYPERLINK("https://klasma.github.io/Logging_2409/fåglar/A 38777-2023 prioriterade fågelarter.docx", "A 38777-2023")</f>
        <v/>
      </c>
    </row>
    <row r="42" ht="15" customHeight="1">
      <c r="A42" t="inlineStr">
        <is>
          <t>A 41767-2023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46289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0.8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Nordfladdermus</t>
        </is>
      </c>
      <c r="W42">
        <f>HYPERLINK("https://klasma.github.io/Logging_2409/artfynd/A 41767-2023 artfynd.xlsx", "A 41767-2023")</f>
        <v/>
      </c>
      <c r="X42">
        <f>HYPERLINK("https://klasma.github.io/Logging_2409/kartor/A 41767-2023 karta.png", "A 41767-2023")</f>
        <v/>
      </c>
      <c r="Y42">
        <f>HYPERLINK("https://klasma.github.io/Logging_2409/kartor_geotiff/A 41767-2023 georefererad karta.tif", "A 41767-2023")</f>
        <v/>
      </c>
      <c r="AA42">
        <f>HYPERLINK("https://klasma.github.io/Logging_2409/klagomål/A 41767-2023 FSC-klagomål.docx", "A 41767-2023")</f>
        <v/>
      </c>
      <c r="AB42">
        <f>HYPERLINK("https://klasma.github.io/Logging_2409/klagomålsmail/A 41767-2023 FSC-klagomål mail.docx", "A 41767-2023")</f>
        <v/>
      </c>
      <c r="AC42">
        <f>HYPERLINK("https://klasma.github.io/Logging_2409/tillsyn/A 41767-2023 tillsynsbegäran.docx", "A 41767-2023")</f>
        <v/>
      </c>
      <c r="AD42">
        <f>HYPERLINK("https://klasma.github.io/Logging_2409/tillsynsmail/A 41767-2023 tillsynsbegäran mail.docx", "A 41767-2023")</f>
        <v/>
      </c>
    </row>
    <row r="43" ht="15" customHeight="1">
      <c r="A43" t="inlineStr">
        <is>
          <t>A 49086-2023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46289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8.300000000000001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HYPERLINK("https://klasma.github.io/Logging_2409/artfynd/A 49086-2023 artfynd.xlsx", "A 49086-2023")</f>
        <v/>
      </c>
      <c r="X43">
        <f>HYPERLINK("https://klasma.github.io/Logging_2409/kartor/A 49086-2023 karta.png", "A 49086-2023")</f>
        <v/>
      </c>
      <c r="Y43">
        <f>HYPERLINK("https://klasma.github.io/Logging_2409/kartor_geotiff/A 49086-2023 georefererad karta.tif", "A 49086-2023")</f>
        <v/>
      </c>
      <c r="AA43">
        <f>HYPERLINK("https://klasma.github.io/Logging_2409/klagomål/A 49086-2023 FSC-klagomål.docx", "A 49086-2023")</f>
        <v/>
      </c>
      <c r="AB43">
        <f>HYPERLINK("https://klasma.github.io/Logging_2409/klagomålsmail/A 49086-2023 FSC-klagomål mail.docx", "A 49086-2023")</f>
        <v/>
      </c>
      <c r="AC43">
        <f>HYPERLINK("https://klasma.github.io/Logging_2409/tillsyn/A 49086-2023 tillsynsbegäran.docx", "A 49086-2023")</f>
        <v/>
      </c>
      <c r="AD43">
        <f>HYPERLINK("https://klasma.github.io/Logging_2409/tillsynsmail/A 49086-2023 tillsynsbegäran mail.docx", "A 49086-2023")</f>
        <v/>
      </c>
    </row>
    <row r="44" ht="15" customHeight="1">
      <c r="A44" t="inlineStr">
        <is>
          <t>A 32876-2023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45124</v>
      </c>
      <c r="E44" s="1" t="n">
        <v>46289</v>
      </c>
      <c r="F44" t="inlineStr">
        <is>
          <t>VÄSTERBOTTENS LÄN</t>
        </is>
      </c>
      <c r="G44" t="inlineStr">
        <is>
          <t>ROBERTSFORS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HYPERLINK("https://klasma.github.io/Logging_2409/artfynd/A 32876-2023 artfynd.xlsx", "A 32876-2023")</f>
        <v/>
      </c>
      <c r="X44">
        <f>HYPERLINK("https://klasma.github.io/Logging_2409/kartor/A 32876-2023 karta.png", "A 32876-2023")</f>
        <v/>
      </c>
      <c r="Y44">
        <f>HYPERLINK("https://klasma.github.io/Logging_2409/kartor_geotiff/A 32876-2023 georefererad karta.tif", "A 32876-2023")</f>
        <v/>
      </c>
      <c r="AA44">
        <f>HYPERLINK("https://klasma.github.io/Logging_2409/klagomål/A 32876-2023 FSC-klagomål.docx", "A 32876-2023")</f>
        <v/>
      </c>
      <c r="AB44">
        <f>HYPERLINK("https://klasma.github.io/Logging_2409/klagomålsmail/A 32876-2023 FSC-klagomål mail.docx", "A 32876-2023")</f>
        <v/>
      </c>
      <c r="AC44">
        <f>HYPERLINK("https://klasma.github.io/Logging_2409/tillsyn/A 32876-2023 tillsynsbegäran.docx", "A 32876-2023")</f>
        <v/>
      </c>
      <c r="AD44">
        <f>HYPERLINK("https://klasma.github.io/Logging_2409/tillsynsmail/A 32876-2023 tillsynsbegäran mail.docx", "A 32876-2023")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46289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57653-2024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45630</v>
      </c>
      <c r="E46" s="1" t="n">
        <v>46289</v>
      </c>
      <c r="F46" t="inlineStr">
        <is>
          <t>VÄSTERBOTTENS LÄN</t>
        </is>
      </c>
      <c r="G46" t="inlineStr">
        <is>
          <t>ROBERTSFORS</t>
        </is>
      </c>
      <c r="I46" t="n">
        <v>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Blå kärrhök</t>
        </is>
      </c>
      <c r="W46">
        <f>HYPERLINK("https://klasma.github.io/Logging_2409/artfynd/A 57653-2024 artfynd.xlsx", "A 57653-2024")</f>
        <v/>
      </c>
      <c r="X46">
        <f>HYPERLINK("https://klasma.github.io/Logging_2409/kartor/A 57653-2024 karta.png", "A 57653-2024")</f>
        <v/>
      </c>
      <c r="Y46">
        <f>HYPERLINK("https://klasma.github.io/Logging_2409/kartor_geotiff/A 57653-2024 georefererad karta.tif", "A 57653-2024")</f>
        <v/>
      </c>
      <c r="AA46">
        <f>HYPERLINK("https://klasma.github.io/Logging_2409/klagomål/A 57653-2024 FSC-klagomål.docx", "A 57653-2024")</f>
        <v/>
      </c>
      <c r="AB46">
        <f>HYPERLINK("https://klasma.github.io/Logging_2409/klagomålsmail/A 57653-2024 FSC-klagomål mail.docx", "A 57653-2024")</f>
        <v/>
      </c>
      <c r="AC46">
        <f>HYPERLINK("https://klasma.github.io/Logging_2409/tillsyn/A 57653-2024 tillsynsbegäran.docx", "A 57653-2024")</f>
        <v/>
      </c>
      <c r="AD46">
        <f>HYPERLINK("https://klasma.github.io/Logging_2409/tillsynsmail/A 57653-2024 tillsynsbegäran mail.docx", "A 57653-2024")</f>
        <v/>
      </c>
      <c r="AE46">
        <f>HYPERLINK("https://klasma.github.io/Logging_2409/fåglar/A 57653-2024 prioriterade fågelarter.docx", "A 57653-2024")</f>
        <v/>
      </c>
    </row>
    <row r="47" ht="15" customHeight="1">
      <c r="A47" t="inlineStr">
        <is>
          <t>A 8753-2025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45712</v>
      </c>
      <c r="E47" s="1" t="n">
        <v>46289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Kommuner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HYPERLINK("https://klasma.github.io/Logging_2409/artfynd/A 8753-2025 artfynd.xlsx", "A 8753-2025")</f>
        <v/>
      </c>
      <c r="X47">
        <f>HYPERLINK("https://klasma.github.io/Logging_2409/kartor/A 8753-2025 karta.png", "A 8753-2025")</f>
        <v/>
      </c>
      <c r="Y47">
        <f>HYPERLINK("https://klasma.github.io/Logging_2409/kartor_geotiff/A 8753-2025 georefererad karta.tif", "A 8753-2025")</f>
        <v/>
      </c>
      <c r="AA47">
        <f>HYPERLINK("https://klasma.github.io/Logging_2409/klagomål/A 8753-2025 FSC-klagomål.docx", "A 8753-2025")</f>
        <v/>
      </c>
      <c r="AB47">
        <f>HYPERLINK("https://klasma.github.io/Logging_2409/klagomålsmail/A 8753-2025 FSC-klagomål mail.docx", "A 8753-2025")</f>
        <v/>
      </c>
      <c r="AC47">
        <f>HYPERLINK("https://klasma.github.io/Logging_2409/tillsyn/A 8753-2025 tillsynsbegäran.docx", "A 8753-2025")</f>
        <v/>
      </c>
      <c r="AD47">
        <f>HYPERLINK("https://klasma.github.io/Logging_2409/tillsynsmail/A 8753-2025 tillsynsbegäran mail.docx", "A 8753-2025")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46289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57270-2023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46289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57270-2023 artfynd.xlsx", "A 57270-2023")</f>
        <v/>
      </c>
      <c r="X49">
        <f>HYPERLINK("https://klasma.github.io/Logging_2409/kartor/A 57270-2023 karta.png", "A 57270-2023")</f>
        <v/>
      </c>
      <c r="Y49">
        <f>HYPERLINK("https://klasma.github.io/Logging_2409/kartor_geotiff/A 57270-2023 georefererad karta.tif", "A 57270-2023")</f>
        <v/>
      </c>
      <c r="AA49">
        <f>HYPERLINK("https://klasma.github.io/Logging_2409/klagomål/A 57270-2023 FSC-klagomål.docx", "A 57270-2023")</f>
        <v/>
      </c>
      <c r="AB49">
        <f>HYPERLINK("https://klasma.github.io/Logging_2409/klagomålsmail/A 57270-2023 FSC-klagomål mail.docx", "A 57270-2023")</f>
        <v/>
      </c>
      <c r="AC49">
        <f>HYPERLINK("https://klasma.github.io/Logging_2409/tillsyn/A 57270-2023 tillsynsbegäran.docx", "A 57270-2023")</f>
        <v/>
      </c>
      <c r="AD49">
        <f>HYPERLINK("https://klasma.github.io/Logging_2409/tillsynsmail/A 57270-2023 tillsynsbegäran mail.docx", "A 57270-2023")</f>
        <v/>
      </c>
    </row>
    <row r="50" ht="15" customHeight="1">
      <c r="A50" t="inlineStr">
        <is>
          <t>A 30344-2025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46289</v>
      </c>
      <c r="F50" t="inlineStr">
        <is>
          <t>VÄSTERBOTTENS LÄN</t>
        </is>
      </c>
      <c r="G50" t="inlineStr">
        <is>
          <t>ROBERTSFORS</t>
        </is>
      </c>
      <c r="I50" t="n">
        <v>22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HYPERLINK("https://klasma.github.io/Logging_2409/artfynd/A 30344-2025 artfynd.xlsx", "A 30344-2025")</f>
        <v/>
      </c>
      <c r="X50">
        <f>HYPERLINK("https://klasma.github.io/Logging_2409/kartor/A 30344-2025 karta.png", "A 30344-2025")</f>
        <v/>
      </c>
      <c r="Y50">
        <f>HYPERLINK("https://klasma.github.io/Logging_2409/kartor_geotiff/A 30344-2025 georefererad karta.tif", "A 30344-2025")</f>
        <v/>
      </c>
      <c r="AA50">
        <f>HYPERLINK("https://klasma.github.io/Logging_2409/klagomål/A 30344-2025 FSC-klagomål.docx", "A 30344-2025")</f>
        <v/>
      </c>
      <c r="AB50">
        <f>HYPERLINK("https://klasma.github.io/Logging_2409/klagomålsmail/A 30344-2025 FSC-klagomål mail.docx", "A 30344-2025")</f>
        <v/>
      </c>
      <c r="AC50">
        <f>HYPERLINK("https://klasma.github.io/Logging_2409/tillsyn/A 30344-2025 tillsynsbegäran.docx", "A 30344-2025")</f>
        <v/>
      </c>
      <c r="AD50">
        <f>HYPERLINK("https://klasma.github.io/Logging_2409/tillsynsmail/A 30344-2025 tillsynsbegäran mail.docx", "A 30344-2025")</f>
        <v/>
      </c>
      <c r="AE50">
        <f>HYPERLINK("https://klasma.github.io/Logging_2409/fåglar/A 30344-2025 prioriterade fågelarter.docx", "A 30344-2025")</f>
        <v/>
      </c>
    </row>
    <row r="51" ht="15" customHeight="1">
      <c r="A51" t="inlineStr">
        <is>
          <t>A 32263-2025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46289</v>
      </c>
      <c r="F51" t="inlineStr">
        <is>
          <t>VÄSTERBOTTENS LÄN</t>
        </is>
      </c>
      <c r="G51" t="inlineStr">
        <is>
          <t>ROBERTSFORS</t>
        </is>
      </c>
      <c r="I51" t="n">
        <v>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HYPERLINK("https://klasma.github.io/Logging_2409/artfynd/A 32263-2025 artfynd.xlsx", "A 32263-2025")</f>
        <v/>
      </c>
      <c r="X51">
        <f>HYPERLINK("https://klasma.github.io/Logging_2409/kartor/A 32263-2025 karta.png", "A 32263-2025")</f>
        <v/>
      </c>
      <c r="Y51">
        <f>HYPERLINK("https://klasma.github.io/Logging_2409/kartor_geotiff/A 32263-2025 georefererad karta.tif", "A 32263-2025")</f>
        <v/>
      </c>
      <c r="AA51">
        <f>HYPERLINK("https://klasma.github.io/Logging_2409/klagomål/A 32263-2025 FSC-klagomål.docx", "A 32263-2025")</f>
        <v/>
      </c>
      <c r="AB51">
        <f>HYPERLINK("https://klasma.github.io/Logging_2409/klagomålsmail/A 32263-2025 FSC-klagomål mail.docx", "A 32263-2025")</f>
        <v/>
      </c>
      <c r="AC51">
        <f>HYPERLINK("https://klasma.github.io/Logging_2409/tillsyn/A 32263-2025 tillsynsbegäran.docx", "A 32263-2025")</f>
        <v/>
      </c>
      <c r="AD51">
        <f>HYPERLINK("https://klasma.github.io/Logging_2409/tillsynsmail/A 32263-2025 tillsynsbegäran mail.docx", "A 32263-2025")</f>
        <v/>
      </c>
    </row>
    <row r="52" ht="15" customHeight="1">
      <c r="A52" t="inlineStr">
        <is>
          <t>A 57284-2023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45245</v>
      </c>
      <c r="E52" s="1" t="n">
        <v>46289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HYPERLINK("https://klasma.github.io/Logging_2409/artfynd/A 57284-2023 artfynd.xlsx", "A 57284-2023")</f>
        <v/>
      </c>
      <c r="X52">
        <f>HYPERLINK("https://klasma.github.io/Logging_2409/kartor/A 57284-2023 karta.png", "A 57284-2023")</f>
        <v/>
      </c>
      <c r="Y52">
        <f>HYPERLINK("https://klasma.github.io/Logging_2409/kartor_geotiff/A 57284-2023 georefererad karta.tif", "A 57284-2023")</f>
        <v/>
      </c>
      <c r="AA52">
        <f>HYPERLINK("https://klasma.github.io/Logging_2409/klagomål/A 57284-2023 FSC-klagomål.docx", "A 57284-2023")</f>
        <v/>
      </c>
      <c r="AB52">
        <f>HYPERLINK("https://klasma.github.io/Logging_2409/klagomålsmail/A 57284-2023 FSC-klagomål mail.docx", "A 57284-2023")</f>
        <v/>
      </c>
      <c r="AC52">
        <f>HYPERLINK("https://klasma.github.io/Logging_2409/tillsyn/A 57284-2023 tillsynsbegäran.docx", "A 57284-2023")</f>
        <v/>
      </c>
      <c r="AD52">
        <f>HYPERLINK("https://klasma.github.io/Logging_2409/tillsynsmail/A 57284-2023 tillsynsbegäran mail.docx", "A 57284-2023")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46289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46289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46289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34007-2025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45844</v>
      </c>
      <c r="E56" s="1" t="n">
        <v>46289</v>
      </c>
      <c r="F56" t="inlineStr">
        <is>
          <t>VÄSTERBOTTENS LÄN</t>
        </is>
      </c>
      <c r="G56" t="inlineStr">
        <is>
          <t>ROBERTSFORS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Harticka</t>
        </is>
      </c>
      <c r="W56">
        <f>HYPERLINK("https://klasma.github.io/Logging_2409/artfynd/A 34007-2025 artfynd.xlsx", "A 34007-2025")</f>
        <v/>
      </c>
      <c r="X56">
        <f>HYPERLINK("https://klasma.github.io/Logging_2409/kartor/A 34007-2025 karta.png", "A 34007-2025")</f>
        <v/>
      </c>
      <c r="Y56">
        <f>HYPERLINK("https://klasma.github.io/Logging_2409/kartor_geotiff/A 34007-2025 georefererad karta.tif", "A 34007-2025")</f>
        <v/>
      </c>
      <c r="AA56">
        <f>HYPERLINK("https://klasma.github.io/Logging_2409/klagomål/A 34007-2025 FSC-klagomål.docx", "A 34007-2025")</f>
        <v/>
      </c>
      <c r="AB56">
        <f>HYPERLINK("https://klasma.github.io/Logging_2409/klagomålsmail/A 34007-2025 FSC-klagomål mail.docx", "A 34007-2025")</f>
        <v/>
      </c>
      <c r="AC56">
        <f>HYPERLINK("https://klasma.github.io/Logging_2409/tillsyn/A 34007-2025 tillsynsbegäran.docx", "A 34007-2025")</f>
        <v/>
      </c>
      <c r="AD56">
        <f>HYPERLINK("https://klasma.github.io/Logging_2409/tillsynsmail/A 34007-2025 tillsynsbegäran mail.docx", "A 34007-2025")</f>
        <v/>
      </c>
    </row>
    <row r="57" ht="15" customHeight="1">
      <c r="A57" t="inlineStr">
        <is>
          <t>A 5969-2025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45695</v>
      </c>
      <c r="E57" s="1" t="n">
        <v>46289</v>
      </c>
      <c r="F57" t="inlineStr">
        <is>
          <t>VÄSTERBOTTENS LÄN</t>
        </is>
      </c>
      <c r="G57" t="inlineStr">
        <is>
          <t>ROBERTSFORS</t>
        </is>
      </c>
      <c r="I57" t="n">
        <v>18.1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Tretåig hackspett</t>
        </is>
      </c>
      <c r="W57">
        <f>HYPERLINK("https://klasma.github.io/Logging_2409/artfynd/A 5969-2025 artfynd.xlsx", "A 5969-2025")</f>
        <v/>
      </c>
      <c r="X57">
        <f>HYPERLINK("https://klasma.github.io/Logging_2409/kartor/A 5969-2025 karta.png", "A 5969-2025")</f>
        <v/>
      </c>
      <c r="Y57">
        <f>HYPERLINK("https://klasma.github.io/Logging_2409/kartor_geotiff/A 5969-2025 georefererad karta.tif", "A 5969-2025")</f>
        <v/>
      </c>
      <c r="AA57">
        <f>HYPERLINK("https://klasma.github.io/Logging_2409/klagomål/A 5969-2025 FSC-klagomål.docx", "A 5969-2025")</f>
        <v/>
      </c>
      <c r="AB57">
        <f>HYPERLINK("https://klasma.github.io/Logging_2409/klagomålsmail/A 5969-2025 FSC-klagomål mail.docx", "A 5969-2025")</f>
        <v/>
      </c>
      <c r="AC57">
        <f>HYPERLINK("https://klasma.github.io/Logging_2409/tillsyn/A 5969-2025 tillsynsbegäran.docx", "A 5969-2025")</f>
        <v/>
      </c>
      <c r="AD57">
        <f>HYPERLINK("https://klasma.github.io/Logging_2409/tillsynsmail/A 5969-2025 tillsynsbegäran mail.docx", "A 5969-2025")</f>
        <v/>
      </c>
      <c r="AE57">
        <f>HYPERLINK("https://klasma.github.io/Logging_2409/fåglar/A 5969-2025 prioriterade fågelarter.docx", "A 5969-2025")</f>
        <v/>
      </c>
    </row>
    <row r="58" ht="15" customHeight="1">
      <c r="A58" t="inlineStr">
        <is>
          <t>A 32023-2024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46289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HYPERLINK("https://klasma.github.io/Logging_2409/artfynd/A 32023-2024 artfynd.xlsx", "A 32023-2024")</f>
        <v/>
      </c>
      <c r="X58">
        <f>HYPERLINK("https://klasma.github.io/Logging_2409/kartor/A 32023-2024 karta.png", "A 32023-2024")</f>
        <v/>
      </c>
      <c r="Y58">
        <f>HYPERLINK("https://klasma.github.io/Logging_2409/kartor_geotiff/A 32023-2024 georefererad karta.tif", "A 32023-2024")</f>
        <v/>
      </c>
      <c r="AA58">
        <f>HYPERLINK("https://klasma.github.io/Logging_2409/klagomål/A 32023-2024 FSC-klagomål.docx", "A 32023-2024")</f>
        <v/>
      </c>
      <c r="AB58">
        <f>HYPERLINK("https://klasma.github.io/Logging_2409/klagomålsmail/A 32023-2024 FSC-klagomål mail.docx", "A 32023-2024")</f>
        <v/>
      </c>
      <c r="AC58">
        <f>HYPERLINK("https://klasma.github.io/Logging_2409/tillsyn/A 32023-2024 tillsynsbegäran.docx", "A 32023-2024")</f>
        <v/>
      </c>
      <c r="AD58">
        <f>HYPERLINK("https://klasma.github.io/Logging_2409/tillsynsmail/A 32023-2024 tillsynsbegäran mail.docx", "A 32023-2024")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46289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40600-2022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46289</v>
      </c>
      <c r="F60" t="inlineStr">
        <is>
          <t>VÄSTERBOTTENS LÄN</t>
        </is>
      </c>
      <c r="G60" t="inlineStr">
        <is>
          <t>ROBERTSFORS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HYPERLINK("https://klasma.github.io/Logging_2409/artfynd/A 40600-2022 artfynd.xlsx", "A 40600-2022")</f>
        <v/>
      </c>
      <c r="X60">
        <f>HYPERLINK("https://klasma.github.io/Logging_2409/kartor/A 40600-2022 karta.png", "A 40600-2022")</f>
        <v/>
      </c>
      <c r="Y60">
        <f>HYPERLINK("https://klasma.github.io/Logging_2409/kartor_geotiff/A 40600-2022 georefererad karta.tif", "A 40600-2022")</f>
        <v/>
      </c>
      <c r="AA60">
        <f>HYPERLINK("https://klasma.github.io/Logging_2409/klagomål/A 40600-2022 FSC-klagomål.docx", "A 40600-2022")</f>
        <v/>
      </c>
      <c r="AB60">
        <f>HYPERLINK("https://klasma.github.io/Logging_2409/klagomålsmail/A 40600-2022 FSC-klagomål mail.docx", "A 40600-2022")</f>
        <v/>
      </c>
      <c r="AC60">
        <f>HYPERLINK("https://klasma.github.io/Logging_2409/tillsyn/A 40600-2022 tillsynsbegäran.docx", "A 40600-2022")</f>
        <v/>
      </c>
      <c r="AD60">
        <f>HYPERLINK("https://klasma.github.io/Logging_2409/tillsynsmail/A 40600-2022 tillsynsbegäran mail.docx", "A 40600-2022")</f>
        <v/>
      </c>
      <c r="AE60">
        <f>HYPERLINK("https://klasma.github.io/Logging_2409/fåglar/A 40600-2022 prioriterade fågelarter.docx", "A 40600-2022")</f>
        <v/>
      </c>
    </row>
    <row r="61" ht="15" customHeight="1">
      <c r="A61" t="inlineStr">
        <is>
          <t>A 35551-2025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45856</v>
      </c>
      <c r="E61" s="1" t="n">
        <v>46289</v>
      </c>
      <c r="F61" t="inlineStr">
        <is>
          <t>VÄSTERBOTTENS LÄN</t>
        </is>
      </c>
      <c r="G61" t="inlineStr">
        <is>
          <t>ROBERTSFORS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HYPERLINK("https://klasma.github.io/Logging_2409/artfynd/A 35551-2025 artfynd.xlsx", "A 35551-2025")</f>
        <v/>
      </c>
      <c r="X61">
        <f>HYPERLINK("https://klasma.github.io/Logging_2409/kartor/A 35551-2025 karta.png", "A 35551-2025")</f>
        <v/>
      </c>
      <c r="Y61">
        <f>HYPERLINK("https://klasma.github.io/Logging_2409/kartor_geotiff/A 35551-2025 georefererad karta.tif", "A 35551-2025")</f>
        <v/>
      </c>
      <c r="AA61">
        <f>HYPERLINK("https://klasma.github.io/Logging_2409/klagomål/A 35551-2025 FSC-klagomål.docx", "A 35551-2025")</f>
        <v/>
      </c>
      <c r="AB61">
        <f>HYPERLINK("https://klasma.github.io/Logging_2409/klagomålsmail/A 35551-2025 FSC-klagomål mail.docx", "A 35551-2025")</f>
        <v/>
      </c>
      <c r="AC61">
        <f>HYPERLINK("https://klasma.github.io/Logging_2409/tillsyn/A 35551-2025 tillsynsbegäran.docx", "A 35551-2025")</f>
        <v/>
      </c>
      <c r="AD61">
        <f>HYPERLINK("https://klasma.github.io/Logging_2409/tillsynsmail/A 35551-2025 tillsynsbegäran mail.docx", "A 35551-2025")</f>
        <v/>
      </c>
      <c r="AE61">
        <f>HYPERLINK("https://klasma.github.io/Logging_2409/fåglar/A 35551-2025 prioriterade fågelarter.docx", "A 35551-2025")</f>
        <v/>
      </c>
    </row>
    <row r="62" ht="15" customHeight="1">
      <c r="A62" t="inlineStr">
        <is>
          <t>A 54484-2023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46289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3</v>
      </c>
      <c r="U62" t="n">
        <v>1</v>
      </c>
      <c r="V62" s="2" t="inlineStr">
        <is>
          <t>Dropptaggsvamp</t>
        </is>
      </c>
      <c r="W62">
        <f>HYPERLINK("https://klasma.github.io/Logging_2409/artfynd/A 54484-2023 artfynd.xlsx", "A 54484-2023")</f>
        <v/>
      </c>
      <c r="X62">
        <f>HYPERLINK("https://klasma.github.io/Logging_2409/kartor/A 54484-2023 karta.png", "A 54484-2023")</f>
        <v/>
      </c>
      <c r="Y62">
        <f>HYPERLINK("https://klasma.github.io/Logging_2409/kartor_geotiff/A 54484-2023 georefererad karta.tif", "A 54484-2023")</f>
        <v/>
      </c>
      <c r="AA62">
        <f>HYPERLINK("https://klasma.github.io/Logging_2409/klagomål/A 54484-2023 FSC-klagomål.docx", "A 54484-2023")</f>
        <v/>
      </c>
      <c r="AB62">
        <f>HYPERLINK("https://klasma.github.io/Logging_2409/klagomålsmail/A 54484-2023 FSC-klagomål mail.docx", "A 54484-2023")</f>
        <v/>
      </c>
      <c r="AC62">
        <f>HYPERLINK("https://klasma.github.io/Logging_2409/tillsyn/A 54484-2023 tillsynsbegäran.docx", "A 54484-2023")</f>
        <v/>
      </c>
      <c r="AD62">
        <f>HYPERLINK("https://klasma.github.io/Logging_2409/tillsynsmail/A 54484-2023 tillsynsbegäran mail.docx", "A 54484-2023")</f>
        <v/>
      </c>
    </row>
    <row r="63" ht="15" customHeight="1">
      <c r="A63" t="inlineStr">
        <is>
          <t>A 10145-2025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46289</v>
      </c>
      <c r="F63" t="inlineStr">
        <is>
          <t>VÄSTERBOTTENS LÄN</t>
        </is>
      </c>
      <c r="G63" t="inlineStr">
        <is>
          <t>ROBERTSFORS</t>
        </is>
      </c>
      <c r="I63" t="n">
        <v>5.3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HYPERLINK("https://klasma.github.io/Logging_2409/artfynd/A 10145-2025 artfynd.xlsx", "A 10145-2025")</f>
        <v/>
      </c>
      <c r="X63">
        <f>HYPERLINK("https://klasma.github.io/Logging_2409/kartor/A 10145-2025 karta.png", "A 10145-2025")</f>
        <v/>
      </c>
      <c r="Y63">
        <f>HYPERLINK("https://klasma.github.io/Logging_2409/kartor_geotiff/A 10145-2025 georefererad karta.tif", "A 10145-2025")</f>
        <v/>
      </c>
      <c r="AA63">
        <f>HYPERLINK("https://klasma.github.io/Logging_2409/klagomål/A 10145-2025 FSC-klagomål.docx", "A 10145-2025")</f>
        <v/>
      </c>
      <c r="AB63">
        <f>HYPERLINK("https://klasma.github.io/Logging_2409/klagomålsmail/A 10145-2025 FSC-klagomål mail.docx", "A 10145-2025")</f>
        <v/>
      </c>
      <c r="AC63">
        <f>HYPERLINK("https://klasma.github.io/Logging_2409/tillsyn/A 10145-2025 tillsynsbegäran.docx", "A 10145-2025")</f>
        <v/>
      </c>
      <c r="AD63">
        <f>HYPERLINK("https://klasma.github.io/Logging_2409/tillsynsmail/A 10145-2025 tillsynsbegäran mail.docx", "A 10145-2025")</f>
        <v/>
      </c>
    </row>
    <row r="64" ht="15" customHeight="1">
      <c r="A64" t="inlineStr">
        <is>
          <t>A 52723-2025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46289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HYPERLINK("https://klasma.github.io/Logging_2409/artfynd/A 52723-2025 artfynd.xlsx", "A 52723-2025")</f>
        <v/>
      </c>
      <c r="X64">
        <f>HYPERLINK("https://klasma.github.io/Logging_2409/kartor/A 52723-2025 karta.png", "A 52723-2025")</f>
        <v/>
      </c>
      <c r="Y64">
        <f>HYPERLINK("https://klasma.github.io/Logging_2409/kartor_geotiff/A 52723-2025 georefererad karta.tif", "A 52723-2025")</f>
        <v/>
      </c>
      <c r="AA64">
        <f>HYPERLINK("https://klasma.github.io/Logging_2409/klagomål/A 52723-2025 FSC-klagomål.docx", "A 52723-2025")</f>
        <v/>
      </c>
      <c r="AB64">
        <f>HYPERLINK("https://klasma.github.io/Logging_2409/klagomålsmail/A 52723-2025 FSC-klagomål mail.docx", "A 52723-2025")</f>
        <v/>
      </c>
      <c r="AC64">
        <f>HYPERLINK("https://klasma.github.io/Logging_2409/tillsyn/A 52723-2025 tillsynsbegäran.docx", "A 52723-2025")</f>
        <v/>
      </c>
      <c r="AD64">
        <f>HYPERLINK("https://klasma.github.io/Logging_2409/tillsynsmail/A 52723-2025 tillsynsbegäran mail.docx", "A 52723-2025")</f>
        <v/>
      </c>
      <c r="AE64">
        <f>HYPERLINK("https://klasma.github.io/Logging_2409/fåglar/A 52723-2025 prioriterade fågelarter.docx", "A 52723-2025")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46289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29583-2026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46289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SCA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Björksplintborre</t>
        </is>
      </c>
      <c r="W66">
        <f>HYPERLINK("https://klasma.github.io/Logging_2409/artfynd/A 29583-2026 artfynd.xlsx", "A 29583-2026")</f>
        <v/>
      </c>
      <c r="X66">
        <f>HYPERLINK("https://klasma.github.io/Logging_2409/kartor/A 29583-2026 karta.png", "A 29583-2026")</f>
        <v/>
      </c>
      <c r="Y66">
        <f>HYPERLINK("https://klasma.github.io/Logging_2409/kartor_geotiff/A 29583-2026 georefererad karta.tif", "A 29583-2026")</f>
        <v/>
      </c>
      <c r="AA66">
        <f>HYPERLINK("https://klasma.github.io/Logging_2409/klagomål/A 29583-2026 FSC-klagomål.docx", "A 29583-2026")</f>
        <v/>
      </c>
      <c r="AB66">
        <f>HYPERLINK("https://klasma.github.io/Logging_2409/klagomålsmail/A 29583-2026 FSC-klagomål mail.docx", "A 29583-2026")</f>
        <v/>
      </c>
      <c r="AC66">
        <f>HYPERLINK("https://klasma.github.io/Logging_2409/tillsyn/A 29583-2026 tillsynsbegäran.docx", "A 29583-2026")</f>
        <v/>
      </c>
      <c r="AD66">
        <f>HYPERLINK("https://klasma.github.io/Logging_2409/tillsynsmail/A 29583-2026 tillsynsbegäran mail.docx", "A 29583-2026")</f>
        <v/>
      </c>
    </row>
    <row r="67" ht="15" customHeight="1">
      <c r="A67" t="inlineStr">
        <is>
          <t>A 36504-2026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46269</v>
      </c>
      <c r="E67" s="1" t="n">
        <v>46289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8.800000000000001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Blanksvart spiklav</t>
        </is>
      </c>
      <c r="W67">
        <f>HYPERLINK("https://klasma.github.io/Logging_2409/artfynd/A 36504-2026 artfynd.xlsx", "A 36504-2026")</f>
        <v/>
      </c>
      <c r="X67">
        <f>HYPERLINK("https://klasma.github.io/Logging_2409/kartor/A 36504-2026 karta.png", "A 36504-2026")</f>
        <v/>
      </c>
      <c r="Y67">
        <f>HYPERLINK("https://klasma.github.io/Logging_2409/kartor_geotiff/A 36504-2026 georefererad karta.tif", "A 36504-2026")</f>
        <v/>
      </c>
      <c r="AA67">
        <f>HYPERLINK("https://klasma.github.io/Logging_2409/klagomål/A 36504-2026 FSC-klagomål.docx", "A 36504-2026")</f>
        <v/>
      </c>
      <c r="AB67">
        <f>HYPERLINK("https://klasma.github.io/Logging_2409/klagomålsmail/A 36504-2026 FSC-klagomål mail.docx", "A 36504-2026")</f>
        <v/>
      </c>
      <c r="AC67">
        <f>HYPERLINK("https://klasma.github.io/Logging_2409/tillsyn/A 36504-2026 tillsynsbegäran.docx", "A 36504-2026")</f>
        <v/>
      </c>
      <c r="AD67">
        <f>HYPERLINK("https://klasma.github.io/Logging_2409/tillsynsmail/A 36504-2026 tillsynsbegäran mail.docx", "A 36504-2026")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46289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46289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46289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46289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46289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46289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46289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46289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46289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46289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46289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46289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46289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46289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46289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46289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46289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46289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46289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46289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46289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26231-2022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46289</v>
      </c>
      <c r="F89" t="inlineStr">
        <is>
          <t>VÄSTERBOTTENS LÄN</t>
        </is>
      </c>
      <c r="G89" t="inlineStr">
        <is>
          <t>ROBERTSFORS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46289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46289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46289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46289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46289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46289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46289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46289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46289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46289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46289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46289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46289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46289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46289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46289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46289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46289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46289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39283-2022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44817</v>
      </c>
      <c r="E109" s="1" t="n">
        <v>46289</v>
      </c>
      <c r="F109" t="inlineStr">
        <is>
          <t>VÄSTERBOTTENS LÄN</t>
        </is>
      </c>
      <c r="G109" t="inlineStr">
        <is>
          <t>ROBERTSFORS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45661</v>
      </c>
      <c r="E110" s="1" t="n">
        <v>46289</v>
      </c>
      <c r="F110" t="inlineStr">
        <is>
          <t>VÄSTERBOTTENS LÄN</t>
        </is>
      </c>
      <c r="G110" t="inlineStr">
        <is>
          <t>ROBERTSFORS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45664</v>
      </c>
      <c r="E111" s="1" t="n">
        <v>46289</v>
      </c>
      <c r="F111" t="inlineStr">
        <is>
          <t>VÄSTERBOTTENS LÄN</t>
        </is>
      </c>
      <c r="G111" t="inlineStr">
        <is>
          <t>ROBERTSFORS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46289</v>
      </c>
      <c r="F112" t="inlineStr">
        <is>
          <t>VÄSTERBOTTENS LÄN</t>
        </is>
      </c>
      <c r="G112" t="inlineStr">
        <is>
          <t>ROBERTSFORS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46289</v>
      </c>
      <c r="F113" t="inlineStr">
        <is>
          <t>VÄSTERBOTTENS LÄN</t>
        </is>
      </c>
      <c r="G113" t="inlineStr">
        <is>
          <t>ROBERTSFORS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45033</v>
      </c>
      <c r="E114" s="1" t="n">
        <v>46289</v>
      </c>
      <c r="F114" t="inlineStr">
        <is>
          <t>VÄSTERBOTTENS LÄN</t>
        </is>
      </c>
      <c r="G114" t="inlineStr">
        <is>
          <t>ROBERTSFORS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46289</v>
      </c>
      <c r="F115" t="inlineStr">
        <is>
          <t>VÄSTERBOTTENS LÄN</t>
        </is>
      </c>
      <c r="G115" t="inlineStr">
        <is>
          <t>ROBERTSFORS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45644</v>
      </c>
      <c r="E116" s="1" t="n">
        <v>46289</v>
      </c>
      <c r="F116" t="inlineStr">
        <is>
          <t>VÄSTERBOTTENS LÄN</t>
        </is>
      </c>
      <c r="G116" t="inlineStr">
        <is>
          <t>ROBERTSFORS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44824</v>
      </c>
      <c r="E117" s="1" t="n">
        <v>46289</v>
      </c>
      <c r="F117" t="inlineStr">
        <is>
          <t>VÄSTERBOTTENS LÄN</t>
        </is>
      </c>
      <c r="G117" t="inlineStr">
        <is>
          <t>ROBERTSFORS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55484-2021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46289</v>
      </c>
      <c r="F118" t="inlineStr">
        <is>
          <t>VÄSTERBOTTENS LÄN</t>
        </is>
      </c>
      <c r="G118" t="inlineStr">
        <is>
          <t>ROBERTSFORS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24467-2024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45458</v>
      </c>
      <c r="E119" s="1" t="n">
        <v>46289</v>
      </c>
      <c r="F119" t="inlineStr">
        <is>
          <t>VÄSTERBOTTENS LÄN</t>
        </is>
      </c>
      <c r="G119" t="inlineStr">
        <is>
          <t>ROBERTSFORS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46289</v>
      </c>
      <c r="F120" t="inlineStr">
        <is>
          <t>VÄSTERBOTTENS LÄN</t>
        </is>
      </c>
      <c r="G120" t="inlineStr">
        <is>
          <t>ROBERTSFORS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46289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46289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46289</v>
      </c>
      <c r="F123" t="inlineStr">
        <is>
          <t>VÄSTERBOTTENS LÄN</t>
        </is>
      </c>
      <c r="G123" t="inlineStr">
        <is>
          <t>ROBERTSFORS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46289</v>
      </c>
      <c r="F124" t="inlineStr">
        <is>
          <t>VÄSTERBOTTENS LÄN</t>
        </is>
      </c>
      <c r="G124" t="inlineStr">
        <is>
          <t>ROBERTSFORS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46289</v>
      </c>
      <c r="F125" t="inlineStr">
        <is>
          <t>VÄSTERBOTTENS LÄN</t>
        </is>
      </c>
      <c r="G125" t="inlineStr">
        <is>
          <t>ROBERTSFORS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44580</v>
      </c>
      <c r="E126" s="1" t="n">
        <v>46289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46289</v>
      </c>
      <c r="F127" t="inlineStr">
        <is>
          <t>VÄSTERBOTTENS LÄN</t>
        </is>
      </c>
      <c r="G127" t="inlineStr">
        <is>
          <t>ROBERTSFORS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46289</v>
      </c>
      <c r="F128" t="inlineStr">
        <is>
          <t>VÄSTERBOTTENS LÄN</t>
        </is>
      </c>
      <c r="G128" t="inlineStr">
        <is>
          <t>ROBERTSFORS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46289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44574</v>
      </c>
      <c r="E130" s="1" t="n">
        <v>46289</v>
      </c>
      <c r="F130" t="inlineStr">
        <is>
          <t>VÄSTERBOTTENS LÄN</t>
        </is>
      </c>
      <c r="G130" t="inlineStr">
        <is>
          <t>ROBERTSFORS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46289</v>
      </c>
      <c r="F131" t="inlineStr">
        <is>
          <t>VÄSTERBOTTENS LÄN</t>
        </is>
      </c>
      <c r="G131" t="inlineStr">
        <is>
          <t>ROBERTSFORS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44641</v>
      </c>
      <c r="E132" s="1" t="n">
        <v>46289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45042</v>
      </c>
      <c r="E133" s="1" t="n">
        <v>46289</v>
      </c>
      <c r="F133" t="inlineStr">
        <is>
          <t>VÄSTERBOTTENS LÄN</t>
        </is>
      </c>
      <c r="G133" t="inlineStr">
        <is>
          <t>ROBERTSFORS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45040</v>
      </c>
      <c r="E134" s="1" t="n">
        <v>46289</v>
      </c>
      <c r="F134" t="inlineStr">
        <is>
          <t>VÄSTERBOTTENS LÄN</t>
        </is>
      </c>
      <c r="G134" t="inlineStr">
        <is>
          <t>ROBERTSFORS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13329-2022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44644</v>
      </c>
      <c r="E135" s="1" t="n">
        <v>46289</v>
      </c>
      <c r="F135" t="inlineStr">
        <is>
          <t>VÄSTERBOTTENS LÄN</t>
        </is>
      </c>
      <c r="G135" t="inlineStr">
        <is>
          <t>ROBERTSFORS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46289</v>
      </c>
      <c r="F136" t="inlineStr">
        <is>
          <t>VÄSTERBOTTENS LÄN</t>
        </is>
      </c>
      <c r="G136" t="inlineStr">
        <is>
          <t>ROBERTSFORS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46289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45495</v>
      </c>
      <c r="E138" s="1" t="n">
        <v>46289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46289</v>
      </c>
      <c r="F139" t="inlineStr">
        <is>
          <t>VÄSTERBOTTENS LÄN</t>
        </is>
      </c>
      <c r="G139" t="inlineStr">
        <is>
          <t>ROBERTSFORS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46289</v>
      </c>
      <c r="F140" t="inlineStr">
        <is>
          <t>VÄSTERBOTTENS LÄN</t>
        </is>
      </c>
      <c r="G140" t="inlineStr">
        <is>
          <t>ROBERTSFORS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46289</v>
      </c>
      <c r="F141" t="inlineStr">
        <is>
          <t>VÄSTERBOTTENS LÄN</t>
        </is>
      </c>
      <c r="G141" t="inlineStr">
        <is>
          <t>ROBERTSFORS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46289</v>
      </c>
      <c r="F142" t="inlineStr">
        <is>
          <t>VÄSTERBOTTENS LÄN</t>
        </is>
      </c>
      <c r="G142" t="inlineStr">
        <is>
          <t>ROBERTSFORS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46289</v>
      </c>
      <c r="F143" t="inlineStr">
        <is>
          <t>VÄSTERBOTTENS LÄN</t>
        </is>
      </c>
      <c r="G143" t="inlineStr">
        <is>
          <t>ROBERTSFORS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46289</v>
      </c>
      <c r="F144" t="inlineStr">
        <is>
          <t>VÄSTERBOTTENS LÄN</t>
        </is>
      </c>
      <c r="G144" t="inlineStr">
        <is>
          <t>ROBERTSFORS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44372-2023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45188</v>
      </c>
      <c r="E145" s="1" t="n">
        <v>46289</v>
      </c>
      <c r="F145" t="inlineStr">
        <is>
          <t>VÄSTERBOTTENS LÄN</t>
        </is>
      </c>
      <c r="G145" t="inlineStr">
        <is>
          <t>ROBERTSFORS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45537</v>
      </c>
      <c r="E146" s="1" t="n">
        <v>46289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46289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46289</v>
      </c>
      <c r="F148" t="inlineStr">
        <is>
          <t>VÄSTERBOTTENS LÄN</t>
        </is>
      </c>
      <c r="G148" t="inlineStr">
        <is>
          <t>ROBERTSFORS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45794</v>
      </c>
      <c r="E149" s="1" t="n">
        <v>46289</v>
      </c>
      <c r="F149" t="inlineStr">
        <is>
          <t>VÄSTERBOTTENS LÄN</t>
        </is>
      </c>
      <c r="G149" t="inlineStr">
        <is>
          <t>ROBERTSFORS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46289</v>
      </c>
      <c r="F150" t="inlineStr">
        <is>
          <t>VÄSTERBOTTENS LÄN</t>
        </is>
      </c>
      <c r="G150" t="inlineStr">
        <is>
          <t>ROBERTSFORS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45070</v>
      </c>
      <c r="E151" s="1" t="n">
        <v>46289</v>
      </c>
      <c r="F151" t="inlineStr">
        <is>
          <t>VÄSTERBOTTENS LÄN</t>
        </is>
      </c>
      <c r="G151" t="inlineStr">
        <is>
          <t>ROBERTSFORS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46289</v>
      </c>
      <c r="F152" t="inlineStr">
        <is>
          <t>VÄSTERBOTTENS LÄN</t>
        </is>
      </c>
      <c r="G152" t="inlineStr">
        <is>
          <t>ROBERTSFORS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44901</v>
      </c>
      <c r="E153" s="1" t="n">
        <v>46289</v>
      </c>
      <c r="F153" t="inlineStr">
        <is>
          <t>VÄSTERBOTTENS LÄN</t>
        </is>
      </c>
      <c r="G153" t="inlineStr">
        <is>
          <t>ROBERTSFORS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44945</v>
      </c>
      <c r="E154" s="1" t="n">
        <v>46289</v>
      </c>
      <c r="F154" t="inlineStr">
        <is>
          <t>VÄSTERBOTTENS LÄN</t>
        </is>
      </c>
      <c r="G154" t="inlineStr">
        <is>
          <t>ROBERTSFORS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46289</v>
      </c>
      <c r="F155" t="inlineStr">
        <is>
          <t>VÄSTERBOTTENS LÄN</t>
        </is>
      </c>
      <c r="G155" t="inlineStr">
        <is>
          <t>ROBERTSFORS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45526</v>
      </c>
      <c r="E156" s="1" t="n">
        <v>46289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46289</v>
      </c>
      <c r="F157" t="inlineStr">
        <is>
          <t>VÄSTERBOTTENS LÄN</t>
        </is>
      </c>
      <c r="G157" t="inlineStr">
        <is>
          <t>ROBERTSFORS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45695</v>
      </c>
      <c r="E158" s="1" t="n">
        <v>46289</v>
      </c>
      <c r="F158" t="inlineStr">
        <is>
          <t>VÄSTERBOTTENS LÄN</t>
        </is>
      </c>
      <c r="G158" t="inlineStr">
        <is>
          <t>ROBERTSFORS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44980</v>
      </c>
      <c r="E159" s="1" t="n">
        <v>46289</v>
      </c>
      <c r="F159" t="inlineStr">
        <is>
          <t>VÄSTERBOTTENS LÄN</t>
        </is>
      </c>
      <c r="G159" t="inlineStr">
        <is>
          <t>ROBERTSFORS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46289</v>
      </c>
      <c r="F160" t="inlineStr">
        <is>
          <t>VÄSTERBOTTENS LÄN</t>
        </is>
      </c>
      <c r="G160" t="inlineStr">
        <is>
          <t>ROBERTSFORS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46289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46289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46289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46289</v>
      </c>
      <c r="F164" t="inlineStr">
        <is>
          <t>VÄSTERBOTTENS LÄN</t>
        </is>
      </c>
      <c r="G164" t="inlineStr">
        <is>
          <t>ROBERTSFORS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46289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39982-2025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45893</v>
      </c>
      <c r="E166" s="1" t="n">
        <v>46289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46289</v>
      </c>
      <c r="F167" t="inlineStr">
        <is>
          <t>VÄSTERBOTTENS LÄN</t>
        </is>
      </c>
      <c r="G167" t="inlineStr">
        <is>
          <t>ROBERTSFORS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45617</v>
      </c>
      <c r="E168" s="1" t="n">
        <v>46289</v>
      </c>
      <c r="F168" t="inlineStr">
        <is>
          <t>VÄSTERBOTTENS LÄN</t>
        </is>
      </c>
      <c r="G168" t="inlineStr">
        <is>
          <t>ROBERTSFORS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45617</v>
      </c>
      <c r="E169" s="1" t="n">
        <v>46289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46289</v>
      </c>
      <c r="F170" t="inlineStr">
        <is>
          <t>VÄSTERBOTTENS LÄN</t>
        </is>
      </c>
      <c r="G170" t="inlineStr">
        <is>
          <t>ROBERTSFORS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49146-2022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46289</v>
      </c>
      <c r="F171" t="inlineStr">
        <is>
          <t>VÄSTERBOTTENS LÄN</t>
        </is>
      </c>
      <c r="G171" t="inlineStr">
        <is>
          <t>ROBERTSFORS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46289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45551</v>
      </c>
      <c r="E173" s="1" t="n">
        <v>46289</v>
      </c>
      <c r="F173" t="inlineStr">
        <is>
          <t>VÄSTERBOTTENS LÄN</t>
        </is>
      </c>
      <c r="G173" t="inlineStr">
        <is>
          <t>ROBERTSFORS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45458</v>
      </c>
      <c r="E174" s="1" t="n">
        <v>46289</v>
      </c>
      <c r="F174" t="inlineStr">
        <is>
          <t>VÄSTERBOTTENS LÄN</t>
        </is>
      </c>
      <c r="G174" t="inlineStr">
        <is>
          <t>ROBERTSFORS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46289</v>
      </c>
      <c r="F175" t="inlineStr">
        <is>
          <t>VÄSTERBOTTENS LÄN</t>
        </is>
      </c>
      <c r="G175" t="inlineStr">
        <is>
          <t>ROBERTSFORS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38026-2024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46289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SCA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46289</v>
      </c>
      <c r="F177" t="inlineStr">
        <is>
          <t>VÄSTERBOTTENS LÄN</t>
        </is>
      </c>
      <c r="G177" t="inlineStr">
        <is>
          <t>ROBERTSFORS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46289</v>
      </c>
      <c r="F178" t="inlineStr">
        <is>
          <t>VÄSTERBOTTENS LÄN</t>
        </is>
      </c>
      <c r="G178" t="inlineStr">
        <is>
          <t>ROBERTSFORS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46289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SCA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46289</v>
      </c>
      <c r="F180" t="inlineStr">
        <is>
          <t>VÄSTERBOTTENS LÄN</t>
        </is>
      </c>
      <c r="G180" t="inlineStr">
        <is>
          <t>ROBERTSFORS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46289</v>
      </c>
      <c r="F181" t="inlineStr">
        <is>
          <t>VÄSTERBOTTENS LÄN</t>
        </is>
      </c>
      <c r="G181" t="inlineStr">
        <is>
          <t>ROBERTSFORS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46289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46289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59877-2022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46289</v>
      </c>
      <c r="F184" t="inlineStr">
        <is>
          <t>VÄSTERBOTTENS LÄN</t>
        </is>
      </c>
      <c r="G184" t="inlineStr">
        <is>
          <t>ROBERTSFORS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46289</v>
      </c>
      <c r="F185" t="inlineStr">
        <is>
          <t>VÄSTERBOTTENS LÄN</t>
        </is>
      </c>
      <c r="G185" t="inlineStr">
        <is>
          <t>ROBERTSFORS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30722-2024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45496</v>
      </c>
      <c r="E186" s="1" t="n">
        <v>46289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46289</v>
      </c>
      <c r="F187" t="inlineStr">
        <is>
          <t>VÄSTERBOTTENS LÄN</t>
        </is>
      </c>
      <c r="G187" t="inlineStr">
        <is>
          <t>ROBERTSFORS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15294-2023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45019</v>
      </c>
      <c r="E188" s="1" t="n">
        <v>46289</v>
      </c>
      <c r="F188" t="inlineStr">
        <is>
          <t>VÄSTERBOTTENS LÄN</t>
        </is>
      </c>
      <c r="G188" t="inlineStr">
        <is>
          <t>ROBERTSFORS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46289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SCA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45572</v>
      </c>
      <c r="E190" s="1" t="n">
        <v>46289</v>
      </c>
      <c r="F190" t="inlineStr">
        <is>
          <t>VÄSTERBOTTENS LÄN</t>
        </is>
      </c>
      <c r="G190" t="inlineStr">
        <is>
          <t>ROBERTSFORS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45049</v>
      </c>
      <c r="E191" s="1" t="n">
        <v>46289</v>
      </c>
      <c r="F191" t="inlineStr">
        <is>
          <t>VÄSTERBOTTENS LÄN</t>
        </is>
      </c>
      <c r="G191" t="inlineStr">
        <is>
          <t>ROBERTSFORS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46289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44130-2025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45915</v>
      </c>
      <c r="E193" s="1" t="n">
        <v>46289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28906-2024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45480</v>
      </c>
      <c r="E194" s="1" t="n">
        <v>46289</v>
      </c>
      <c r="F194" t="inlineStr">
        <is>
          <t>VÄSTERBOTTENS LÄN</t>
        </is>
      </c>
      <c r="G194" t="inlineStr">
        <is>
          <t>ROBERTSFORS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45141</v>
      </c>
      <c r="E195" s="1" t="n">
        <v>46289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64625-2023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46289</v>
      </c>
      <c r="F196" t="inlineStr">
        <is>
          <t>VÄSTERBOTTENS LÄN</t>
        </is>
      </c>
      <c r="G196" t="inlineStr">
        <is>
          <t>ROBERTSFORS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46289</v>
      </c>
      <c r="F197" t="inlineStr">
        <is>
          <t>VÄSTERBOTTENS LÄN</t>
        </is>
      </c>
      <c r="G197" t="inlineStr">
        <is>
          <t>ROBERTSFORS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46289</v>
      </c>
      <c r="F198" t="inlineStr">
        <is>
          <t>VÄSTERBOTTENS LÄN</t>
        </is>
      </c>
      <c r="G198" t="inlineStr">
        <is>
          <t>ROBERTSFORS</t>
        </is>
      </c>
      <c r="I198" t="n">
        <v>10.5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46289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46289</v>
      </c>
      <c r="F200" t="inlineStr">
        <is>
          <t>VÄSTERBOTTENS LÄN</t>
        </is>
      </c>
      <c r="G200" t="inlineStr">
        <is>
          <t>ROBERTSFORS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44487</v>
      </c>
      <c r="E201" s="1" t="n">
        <v>46289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46289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SCA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45919</v>
      </c>
      <c r="E203" s="1" t="n">
        <v>46289</v>
      </c>
      <c r="F203" t="inlineStr">
        <is>
          <t>VÄSTERBOTTENS LÄN</t>
        </is>
      </c>
      <c r="G203" t="inlineStr">
        <is>
          <t>ROBERTSFORS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45149</v>
      </c>
      <c r="E204" s="1" t="n">
        <v>46289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46289</v>
      </c>
      <c r="F205" t="inlineStr">
        <is>
          <t>VÄSTERBOTTENS LÄN</t>
        </is>
      </c>
      <c r="G205" t="inlineStr">
        <is>
          <t>ROBERTSFORS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46289</v>
      </c>
      <c r="F206" t="inlineStr">
        <is>
          <t>VÄSTERBOTTENS LÄN</t>
        </is>
      </c>
      <c r="G206" t="inlineStr">
        <is>
          <t>ROBERTSFORS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46289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46289</v>
      </c>
      <c r="F208" t="inlineStr">
        <is>
          <t>VÄSTERBOTTENS LÄN</t>
        </is>
      </c>
      <c r="G208" t="inlineStr">
        <is>
          <t>ROBERTSFORS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44913</v>
      </c>
      <c r="E209" s="1" t="n">
        <v>46289</v>
      </c>
      <c r="F209" t="inlineStr">
        <is>
          <t>VÄSTERBOTTENS LÄN</t>
        </is>
      </c>
      <c r="G209" t="inlineStr">
        <is>
          <t>ROBERTSFORS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46168-2025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45924</v>
      </c>
      <c r="E210" s="1" t="n">
        <v>46289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46289</v>
      </c>
      <c r="F211" t="inlineStr">
        <is>
          <t>VÄSTERBOTTENS LÄN</t>
        </is>
      </c>
      <c r="G211" t="inlineStr">
        <is>
          <t>ROBERTSFORS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44876</v>
      </c>
      <c r="E212" s="1" t="n">
        <v>46289</v>
      </c>
      <c r="F212" t="inlineStr">
        <is>
          <t>VÄSTERBOTTENS LÄN</t>
        </is>
      </c>
      <c r="G212" t="inlineStr">
        <is>
          <t>ROBERTSFORS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45458</v>
      </c>
      <c r="E213" s="1" t="n">
        <v>46289</v>
      </c>
      <c r="F213" t="inlineStr">
        <is>
          <t>VÄSTERBOTTENS LÄN</t>
        </is>
      </c>
      <c r="G213" t="inlineStr">
        <is>
          <t>ROBERTSFORS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46289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46289</v>
      </c>
      <c r="F215" t="inlineStr">
        <is>
          <t>VÄSTERBOTTENS LÄN</t>
        </is>
      </c>
      <c r="G215" t="inlineStr">
        <is>
          <t>ROBERTSFORS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73557-2021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46289</v>
      </c>
      <c r="F216" t="inlineStr">
        <is>
          <t>VÄSTERBOTTENS LÄN</t>
        </is>
      </c>
      <c r="G216" t="inlineStr">
        <is>
          <t>ROBERTSFORS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45687</v>
      </c>
      <c r="E217" s="1" t="n">
        <v>46289</v>
      </c>
      <c r="F217" t="inlineStr">
        <is>
          <t>VÄSTERBOTTENS LÄN</t>
        </is>
      </c>
      <c r="G217" t="inlineStr">
        <is>
          <t>ROBERTSFORS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45484</v>
      </c>
      <c r="E218" s="1" t="n">
        <v>46289</v>
      </c>
      <c r="F218" t="inlineStr">
        <is>
          <t>VÄSTERBOTTENS LÄN</t>
        </is>
      </c>
      <c r="G218" t="inlineStr">
        <is>
          <t>ROBERTSFORS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44894</v>
      </c>
      <c r="E219" s="1" t="n">
        <v>46289</v>
      </c>
      <c r="F219" t="inlineStr">
        <is>
          <t>VÄSTERBOTTENS LÄN</t>
        </is>
      </c>
      <c r="G219" t="inlineStr">
        <is>
          <t>ROBERTSFORS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58426-2022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44901</v>
      </c>
      <c r="E220" s="1" t="n">
        <v>46289</v>
      </c>
      <c r="F220" t="inlineStr">
        <is>
          <t>VÄSTERBOTTENS LÄN</t>
        </is>
      </c>
      <c r="G220" t="inlineStr">
        <is>
          <t>ROBERTSFORS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9135-2024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45357</v>
      </c>
      <c r="E221" s="1" t="n">
        <v>46289</v>
      </c>
      <c r="F221" t="inlineStr">
        <is>
          <t>VÄSTERBOTTENS LÄN</t>
        </is>
      </c>
      <c r="G221" t="inlineStr">
        <is>
          <t>ROBERTSFORS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46289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45041</v>
      </c>
      <c r="E223" s="1" t="n">
        <v>46289</v>
      </c>
      <c r="F223" t="inlineStr">
        <is>
          <t>VÄSTERBOTTENS LÄN</t>
        </is>
      </c>
      <c r="G223" t="inlineStr">
        <is>
          <t>ROBERTSFORS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45302</v>
      </c>
      <c r="E224" s="1" t="n">
        <v>46289</v>
      </c>
      <c r="F224" t="inlineStr">
        <is>
          <t>VÄSTERBOTTENS LÄN</t>
        </is>
      </c>
      <c r="G224" t="inlineStr">
        <is>
          <t>ROBERTSFORS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46289</v>
      </c>
      <c r="F225" t="inlineStr">
        <is>
          <t>VÄSTERBOTTENS LÄN</t>
        </is>
      </c>
      <c r="G225" t="inlineStr">
        <is>
          <t>ROBERTSFORS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46663-2024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45583</v>
      </c>
      <c r="E226" s="1" t="n">
        <v>46289</v>
      </c>
      <c r="F226" t="inlineStr">
        <is>
          <t>VÄSTERBOTTENS LÄN</t>
        </is>
      </c>
      <c r="G226" t="inlineStr">
        <is>
          <t>ROBERTSFORS</t>
        </is>
      </c>
      <c r="I226" t="n">
        <v>9.6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54366-2024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45617</v>
      </c>
      <c r="E227" s="1" t="n">
        <v>46289</v>
      </c>
      <c r="F227" t="inlineStr">
        <is>
          <t>VÄSTERBOTTENS LÄN</t>
        </is>
      </c>
      <c r="G227" t="inlineStr">
        <is>
          <t>ROBERTSFORS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46289</v>
      </c>
      <c r="F228" t="inlineStr">
        <is>
          <t>VÄSTERBOTTENS LÄN</t>
        </is>
      </c>
      <c r="G228" t="inlineStr">
        <is>
          <t>ROBERTSFORS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45005</v>
      </c>
      <c r="E229" s="1" t="n">
        <v>46289</v>
      </c>
      <c r="F229" t="inlineStr">
        <is>
          <t>VÄSTERBOTTENS LÄN</t>
        </is>
      </c>
      <c r="G229" t="inlineStr">
        <is>
          <t>ROBERTSFORS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45938</v>
      </c>
      <c r="E230" s="1" t="n">
        <v>46289</v>
      </c>
      <c r="F230" t="inlineStr">
        <is>
          <t>VÄSTERBOTTENS LÄN</t>
        </is>
      </c>
      <c r="G230" t="inlineStr">
        <is>
          <t>ROBERTSFORS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5902-2024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45335</v>
      </c>
      <c r="E231" s="1" t="n">
        <v>46289</v>
      </c>
      <c r="F231" t="inlineStr">
        <is>
          <t>VÄSTERBOTTENS LÄN</t>
        </is>
      </c>
      <c r="G231" t="inlineStr">
        <is>
          <t>ROBERTSFORS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25572-2023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45082</v>
      </c>
      <c r="E232" s="1" t="n">
        <v>46289</v>
      </c>
      <c r="F232" t="inlineStr">
        <is>
          <t>VÄSTERBOTTENS LÄN</t>
        </is>
      </c>
      <c r="G232" t="inlineStr">
        <is>
          <t>ROBERTSFORS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46289</v>
      </c>
      <c r="F233" t="inlineStr">
        <is>
          <t>VÄSTERBOTTENS LÄN</t>
        </is>
      </c>
      <c r="G233" t="inlineStr">
        <is>
          <t>ROBERTSFORS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45712</v>
      </c>
      <c r="E234" s="1" t="n">
        <v>46289</v>
      </c>
      <c r="F234" t="inlineStr">
        <is>
          <t>VÄSTERBOTTENS LÄN</t>
        </is>
      </c>
      <c r="G234" t="inlineStr">
        <is>
          <t>ROBERTSFORS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46289</v>
      </c>
      <c r="F235" t="inlineStr">
        <is>
          <t>VÄSTERBOTTENS LÄN</t>
        </is>
      </c>
      <c r="G235" t="inlineStr">
        <is>
          <t>ROBERTSFORS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46289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9.4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46289</v>
      </c>
      <c r="F237" t="inlineStr">
        <is>
          <t>VÄSTERBOTTENS LÄN</t>
        </is>
      </c>
      <c r="G237" t="inlineStr">
        <is>
          <t>ROBERTSFORS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46289</v>
      </c>
      <c r="F238" t="inlineStr">
        <is>
          <t>VÄSTERBOTTENS LÄN</t>
        </is>
      </c>
      <c r="G238" t="inlineStr">
        <is>
          <t>ROBERTSFORS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45182</v>
      </c>
      <c r="E239" s="1" t="n">
        <v>46289</v>
      </c>
      <c r="F239" t="inlineStr">
        <is>
          <t>VÄSTERBOTTENS LÄN</t>
        </is>
      </c>
      <c r="G239" t="inlineStr">
        <is>
          <t>ROBERTSFORS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46289</v>
      </c>
      <c r="F240" t="inlineStr">
        <is>
          <t>VÄSTERBOTTENS LÄN</t>
        </is>
      </c>
      <c r="G240" t="inlineStr">
        <is>
          <t>ROBERTSFORS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45496</v>
      </c>
      <c r="E241" s="1" t="n">
        <v>46289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45818</v>
      </c>
      <c r="E242" s="1" t="n">
        <v>46289</v>
      </c>
      <c r="F242" t="inlineStr">
        <is>
          <t>VÄSTERBOTTENS LÄN</t>
        </is>
      </c>
      <c r="G242" t="inlineStr">
        <is>
          <t>ROBERTSFORS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46289</v>
      </c>
      <c r="F243" t="inlineStr">
        <is>
          <t>VÄSTERBOTTENS LÄN</t>
        </is>
      </c>
      <c r="G243" t="inlineStr">
        <is>
          <t>ROBERTSFORS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46289</v>
      </c>
      <c r="F244" t="inlineStr">
        <is>
          <t>VÄSTERBOTTENS LÄN</t>
        </is>
      </c>
      <c r="G244" t="inlineStr">
        <is>
          <t>ROBERTSFORS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46289</v>
      </c>
      <c r="F245" t="inlineStr">
        <is>
          <t>VÄSTERBOTTENS LÄN</t>
        </is>
      </c>
      <c r="G245" t="inlineStr">
        <is>
          <t>ROBERTSFORS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45157-2023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45191</v>
      </c>
      <c r="E246" s="1" t="n">
        <v>46289</v>
      </c>
      <c r="F246" t="inlineStr">
        <is>
          <t>VÄSTERBOTTENS LÄN</t>
        </is>
      </c>
      <c r="G246" t="inlineStr">
        <is>
          <t>ROBERTSFORS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44580</v>
      </c>
      <c r="E247" s="1" t="n">
        <v>46289</v>
      </c>
      <c r="F247" t="inlineStr">
        <is>
          <t>VÄSTERBOTTENS LÄN</t>
        </is>
      </c>
      <c r="G247" t="inlineStr">
        <is>
          <t>ROBERTSFORS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45627</v>
      </c>
      <c r="E248" s="1" t="n">
        <v>46289</v>
      </c>
      <c r="F248" t="inlineStr">
        <is>
          <t>VÄSTERBOTTENS LÄN</t>
        </is>
      </c>
      <c r="G248" t="inlineStr">
        <is>
          <t>ROBERTSFORS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45679</v>
      </c>
      <c r="E249" s="1" t="n">
        <v>46289</v>
      </c>
      <c r="F249" t="inlineStr">
        <is>
          <t>VÄSTERBOTTENS LÄN</t>
        </is>
      </c>
      <c r="G249" t="inlineStr">
        <is>
          <t>ROBERTSFORS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45610</v>
      </c>
      <c r="E250" s="1" t="n">
        <v>46289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SCA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46289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46289</v>
      </c>
      <c r="F252" t="inlineStr">
        <is>
          <t>VÄSTERBOTTENS LÄN</t>
        </is>
      </c>
      <c r="G252" t="inlineStr">
        <is>
          <t>ROBERTSFORS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52934-2025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46289</v>
      </c>
      <c r="F253" t="inlineStr">
        <is>
          <t>VÄSTERBOTTENS LÄN</t>
        </is>
      </c>
      <c r="G253" t="inlineStr">
        <is>
          <t>ROBERTSFORS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46289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56502-2024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46289</v>
      </c>
      <c r="F255" t="inlineStr">
        <is>
          <t>VÄSTERBOTTENS LÄN</t>
        </is>
      </c>
      <c r="G255" t="inlineStr">
        <is>
          <t>ROBERTSFORS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46289</v>
      </c>
      <c r="F256" t="inlineStr">
        <is>
          <t>VÄSTERBOTTENS LÄN</t>
        </is>
      </c>
      <c r="G256" t="inlineStr">
        <is>
          <t>ROBERTSFORS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25575-2022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44732</v>
      </c>
      <c r="E257" s="1" t="n">
        <v>46289</v>
      </c>
      <c r="F257" t="inlineStr">
        <is>
          <t>VÄSTERBOTTENS LÄN</t>
        </is>
      </c>
      <c r="G257" t="inlineStr">
        <is>
          <t>ROBERTSFORS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46289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53320-2025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45959</v>
      </c>
      <c r="E259" s="1" t="n">
        <v>46289</v>
      </c>
      <c r="F259" t="inlineStr">
        <is>
          <t>VÄSTERBOTTENS LÄN</t>
        </is>
      </c>
      <c r="G259" t="inlineStr">
        <is>
          <t>ROBERTSFORS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46289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36771-2022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44805</v>
      </c>
      <c r="E261" s="1" t="n">
        <v>46289</v>
      </c>
      <c r="F261" t="inlineStr">
        <is>
          <t>VÄSTERBOTTENS LÄN</t>
        </is>
      </c>
      <c r="G261" t="inlineStr">
        <is>
          <t>ROBERTSFORS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45600</v>
      </c>
      <c r="E262" s="1" t="n">
        <v>46289</v>
      </c>
      <c r="F262" t="inlineStr">
        <is>
          <t>VÄSTERBOTTENS LÄN</t>
        </is>
      </c>
      <c r="G262" t="inlineStr">
        <is>
          <t>ROBERTSFORS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46289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46289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46289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46289</v>
      </c>
      <c r="F266" t="inlineStr">
        <is>
          <t>VÄSTERBOTTENS LÄN</t>
        </is>
      </c>
      <c r="G266" t="inlineStr">
        <is>
          <t>ROBERTSFORS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46289</v>
      </c>
      <c r="F267" t="inlineStr">
        <is>
          <t>VÄSTERBOTTENS LÄN</t>
        </is>
      </c>
      <c r="G267" t="inlineStr">
        <is>
          <t>ROBERTSFORS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46289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46289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46289</v>
      </c>
      <c r="F270" t="inlineStr">
        <is>
          <t>VÄSTERBOTTENS LÄN</t>
        </is>
      </c>
      <c r="G270" t="inlineStr">
        <is>
          <t>ROBERTSFORS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45687</v>
      </c>
      <c r="E271" s="1" t="n">
        <v>46289</v>
      </c>
      <c r="F271" t="inlineStr">
        <is>
          <t>VÄSTERBOTTENS LÄN</t>
        </is>
      </c>
      <c r="G271" t="inlineStr">
        <is>
          <t>ROBERTSFORS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45708</v>
      </c>
      <c r="E272" s="1" t="n">
        <v>46289</v>
      </c>
      <c r="F272" t="inlineStr">
        <is>
          <t>VÄSTERBOTTENS LÄN</t>
        </is>
      </c>
      <c r="G272" t="inlineStr">
        <is>
          <t>ROBERTSFORS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46289</v>
      </c>
      <c r="F273" t="inlineStr">
        <is>
          <t>VÄSTERBOTTENS LÄN</t>
        </is>
      </c>
      <c r="G273" t="inlineStr">
        <is>
          <t>ROBERTSFORS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46289</v>
      </c>
      <c r="F274" t="inlineStr">
        <is>
          <t>VÄSTERBOTTENS LÄN</t>
        </is>
      </c>
      <c r="G274" t="inlineStr">
        <is>
          <t>ROBERTSFORS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44588</v>
      </c>
      <c r="E275" s="1" t="n">
        <v>46289</v>
      </c>
      <c r="F275" t="inlineStr">
        <is>
          <t>VÄSTERBOTTENS LÄN</t>
        </is>
      </c>
      <c r="G275" t="inlineStr">
        <is>
          <t>ROBERTSFORS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45712</v>
      </c>
      <c r="E276" s="1" t="n">
        <v>46289</v>
      </c>
      <c r="F276" t="inlineStr">
        <is>
          <t>VÄSTERBOTTENS LÄN</t>
        </is>
      </c>
      <c r="G276" t="inlineStr">
        <is>
          <t>ROBERTSFORS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46289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10173-2022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44622</v>
      </c>
      <c r="E278" s="1" t="n">
        <v>46289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46289</v>
      </c>
      <c r="F279" t="inlineStr">
        <is>
          <t>VÄSTERBOTTENS LÄN</t>
        </is>
      </c>
      <c r="G279" t="inlineStr">
        <is>
          <t>ROBERTSFORS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46289</v>
      </c>
      <c r="F280" t="inlineStr">
        <is>
          <t>VÄSTERBOTTENS LÄN</t>
        </is>
      </c>
      <c r="G280" t="inlineStr">
        <is>
          <t>ROBERTSFORS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45653</v>
      </c>
      <c r="E281" s="1" t="n">
        <v>46289</v>
      </c>
      <c r="F281" t="inlineStr">
        <is>
          <t>VÄSTERBOTTENS LÄN</t>
        </is>
      </c>
      <c r="G281" t="inlineStr">
        <is>
          <t>ROBERTSFORS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45664</v>
      </c>
      <c r="E282" s="1" t="n">
        <v>46289</v>
      </c>
      <c r="F282" t="inlineStr">
        <is>
          <t>VÄSTERBOTTENS LÄN</t>
        </is>
      </c>
      <c r="G282" t="inlineStr">
        <is>
          <t>ROBERTSFORS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20519-2022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44699</v>
      </c>
      <c r="E283" s="1" t="n">
        <v>46289</v>
      </c>
      <c r="F283" t="inlineStr">
        <is>
          <t>VÄSTERBOTTENS LÄN</t>
        </is>
      </c>
      <c r="G283" t="inlineStr">
        <is>
          <t>ROBERTSFORS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46289</v>
      </c>
      <c r="F284" t="inlineStr">
        <is>
          <t>VÄSTERBOTTENS LÄN</t>
        </is>
      </c>
      <c r="G284" t="inlineStr">
        <is>
          <t>ROBERTSFORS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45659</v>
      </c>
      <c r="E285" s="1" t="n">
        <v>46289</v>
      </c>
      <c r="F285" t="inlineStr">
        <is>
          <t>VÄSTERBOTTENS LÄN</t>
        </is>
      </c>
      <c r="G285" t="inlineStr">
        <is>
          <t>ROBERTSFORS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44960</v>
      </c>
      <c r="E286" s="1" t="n">
        <v>46289</v>
      </c>
      <c r="F286" t="inlineStr">
        <is>
          <t>VÄSTERBOTTENS LÄN</t>
        </is>
      </c>
      <c r="G286" t="inlineStr">
        <is>
          <t>ROBERTSFORS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46289</v>
      </c>
      <c r="F287" t="inlineStr">
        <is>
          <t>VÄSTERBOTTENS LÄN</t>
        </is>
      </c>
      <c r="G287" t="inlineStr">
        <is>
          <t>ROBERTSFORS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46289</v>
      </c>
      <c r="F288" t="inlineStr">
        <is>
          <t>VÄSTERBOTTENS LÄN</t>
        </is>
      </c>
      <c r="G288" t="inlineStr">
        <is>
          <t>ROBERTSFORS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45974</v>
      </c>
      <c r="E289" s="1" t="n">
        <v>46289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46289</v>
      </c>
      <c r="F290" t="inlineStr">
        <is>
          <t>VÄSTERBOTTENS LÄN</t>
        </is>
      </c>
      <c r="G290" t="inlineStr">
        <is>
          <t>ROBERTSFORS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45079</v>
      </c>
      <c r="E291" s="1" t="n">
        <v>46289</v>
      </c>
      <c r="F291" t="inlineStr">
        <is>
          <t>VÄSTERBOTTENS LÄN</t>
        </is>
      </c>
      <c r="G291" t="inlineStr">
        <is>
          <t>ROBERTSFORS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45565</v>
      </c>
      <c r="E292" s="1" t="n">
        <v>46289</v>
      </c>
      <c r="F292" t="inlineStr">
        <is>
          <t>VÄSTERBOTTENS LÄN</t>
        </is>
      </c>
      <c r="G292" t="inlineStr">
        <is>
          <t>ROBERTSFORS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45020</v>
      </c>
      <c r="E293" s="1" t="n">
        <v>46289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Sveaskog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45670</v>
      </c>
      <c r="E294" s="1" t="n">
        <v>46289</v>
      </c>
      <c r="F294" t="inlineStr">
        <is>
          <t>VÄSTERBOTTENS LÄN</t>
        </is>
      </c>
      <c r="G294" t="inlineStr">
        <is>
          <t>ROBERTSFORS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46289</v>
      </c>
      <c r="F295" t="inlineStr">
        <is>
          <t>VÄSTERBOTTENS LÄN</t>
        </is>
      </c>
      <c r="G295" t="inlineStr">
        <is>
          <t>ROBERTSFORS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44838</v>
      </c>
      <c r="E296" s="1" t="n">
        <v>46289</v>
      </c>
      <c r="F296" t="inlineStr">
        <is>
          <t>VÄSTERBOTTENS LÄN</t>
        </is>
      </c>
      <c r="G296" t="inlineStr">
        <is>
          <t>ROBERTSFORS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45446</v>
      </c>
      <c r="E297" s="1" t="n">
        <v>46289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46289</v>
      </c>
      <c r="F298" t="inlineStr">
        <is>
          <t>VÄSTERBOTTENS LÄN</t>
        </is>
      </c>
      <c r="G298" t="inlineStr">
        <is>
          <t>ROBERTSFORS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65771-2021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44516</v>
      </c>
      <c r="E299" s="1" t="n">
        <v>46289</v>
      </c>
      <c r="F299" t="inlineStr">
        <is>
          <t>VÄSTERBOTTENS LÄN</t>
        </is>
      </c>
      <c r="G299" t="inlineStr">
        <is>
          <t>ROBERTSFORS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45090</v>
      </c>
      <c r="E300" s="1" t="n">
        <v>46289</v>
      </c>
      <c r="F300" t="inlineStr">
        <is>
          <t>VÄSTERBOTTENS LÄN</t>
        </is>
      </c>
      <c r="G300" t="inlineStr">
        <is>
          <t>ROBERTSFORS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46289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46289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46289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45205</v>
      </c>
      <c r="E304" s="1" t="n">
        <v>46289</v>
      </c>
      <c r="F304" t="inlineStr">
        <is>
          <t>VÄSTERBOTTENS LÄN</t>
        </is>
      </c>
      <c r="G304" t="inlineStr">
        <is>
          <t>ROBERTSFORS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48547-2023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46289</v>
      </c>
      <c r="F305" t="inlineStr">
        <is>
          <t>VÄSTERBOTTENS LÄN</t>
        </is>
      </c>
      <c r="G305" t="inlineStr">
        <is>
          <t>ROBERTSFORS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46289</v>
      </c>
      <c r="F306" t="inlineStr">
        <is>
          <t>VÄSTERBOTTENS LÄN</t>
        </is>
      </c>
      <c r="G306" t="inlineStr">
        <is>
          <t>ROBERTSFORS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46289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45659</v>
      </c>
      <c r="E308" s="1" t="n">
        <v>46289</v>
      </c>
      <c r="F308" t="inlineStr">
        <is>
          <t>VÄSTERBOTTENS LÄN</t>
        </is>
      </c>
      <c r="G308" t="inlineStr">
        <is>
          <t>ROBERTSFORS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46289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46289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45996</v>
      </c>
      <c r="E311" s="1" t="n">
        <v>46289</v>
      </c>
      <c r="F311" t="inlineStr">
        <is>
          <t>VÄSTERBOTTENS LÄN</t>
        </is>
      </c>
      <c r="G311" t="inlineStr">
        <is>
          <t>ROBERTSFORS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46289</v>
      </c>
      <c r="F312" t="inlineStr">
        <is>
          <t>VÄSTERBOTTENS LÄN</t>
        </is>
      </c>
      <c r="G312" t="inlineStr">
        <is>
          <t>ROBERTSFORS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46289</v>
      </c>
      <c r="F313" t="inlineStr">
        <is>
          <t>VÄSTERBOTTENS LÄN</t>
        </is>
      </c>
      <c r="G313" t="inlineStr">
        <is>
          <t>ROBERTSFORS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46289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Sveaskog</t>
        </is>
      </c>
      <c r="I314" t="n">
        <v>9.199999999999999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45756</v>
      </c>
      <c r="E315" s="1" t="n">
        <v>46289</v>
      </c>
      <c r="F315" t="inlineStr">
        <is>
          <t>VÄSTERBOTTENS LÄN</t>
        </is>
      </c>
      <c r="G315" t="inlineStr">
        <is>
          <t>ROBERTSFORS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32581-2022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46289</v>
      </c>
      <c r="F316" t="inlineStr">
        <is>
          <t>VÄSTERBOTTENS LÄN</t>
        </is>
      </c>
      <c r="G316" t="inlineStr">
        <is>
          <t>ROBERTSFORS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46289</v>
      </c>
      <c r="F317" t="inlineStr">
        <is>
          <t>VÄSTERBOTTENS LÄN</t>
        </is>
      </c>
      <c r="G317" t="inlineStr">
        <is>
          <t>ROBERTSFORS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46289</v>
      </c>
      <c r="F318" t="inlineStr">
        <is>
          <t>VÄSTERBOTTENS LÄN</t>
        </is>
      </c>
      <c r="G318" t="inlineStr">
        <is>
          <t>ROBERTSFORS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45301</v>
      </c>
      <c r="E319" s="1" t="n">
        <v>46289</v>
      </c>
      <c r="F319" t="inlineStr">
        <is>
          <t>VÄSTERBOTTENS LÄN</t>
        </is>
      </c>
      <c r="G319" t="inlineStr">
        <is>
          <t>ROBERTSFORS</t>
        </is>
      </c>
      <c r="I319" t="n">
        <v>8.800000000000001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46037</v>
      </c>
      <c r="E320" s="1" t="n">
        <v>46289</v>
      </c>
      <c r="F320" t="inlineStr">
        <is>
          <t>VÄSTERBOTTENS LÄN</t>
        </is>
      </c>
      <c r="G320" t="inlineStr">
        <is>
          <t>ROBERTSFORS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45474</v>
      </c>
      <c r="E321" s="1" t="n">
        <v>46289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46289</v>
      </c>
      <c r="F322" t="inlineStr">
        <is>
          <t>VÄSTERBOTTENS LÄN</t>
        </is>
      </c>
      <c r="G322" t="inlineStr">
        <is>
          <t>ROBERTSFORS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46289</v>
      </c>
      <c r="F323" t="inlineStr">
        <is>
          <t>VÄSTERBOTTENS LÄN</t>
        </is>
      </c>
      <c r="G323" t="inlineStr">
        <is>
          <t>ROBERTSFORS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46289</v>
      </c>
      <c r="F324" t="inlineStr">
        <is>
          <t>VÄSTERBOTTENS LÄN</t>
        </is>
      </c>
      <c r="G324" t="inlineStr">
        <is>
          <t>ROBERTSFORS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46289</v>
      </c>
      <c r="F325" t="inlineStr">
        <is>
          <t>VÄSTERBOTTENS LÄN</t>
        </is>
      </c>
      <c r="G325" t="inlineStr">
        <is>
          <t>ROBERTSFORS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45839</v>
      </c>
      <c r="E326" s="1" t="n">
        <v>46289</v>
      </c>
      <c r="F326" t="inlineStr">
        <is>
          <t>VÄSTERBOTTENS LÄN</t>
        </is>
      </c>
      <c r="G326" t="inlineStr">
        <is>
          <t>ROBERTSFORS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46289</v>
      </c>
      <c r="F327" t="inlineStr">
        <is>
          <t>VÄSTERBOTTENS LÄN</t>
        </is>
      </c>
      <c r="G327" t="inlineStr">
        <is>
          <t>ROBERTSFORS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46289</v>
      </c>
      <c r="F328" t="inlineStr">
        <is>
          <t>VÄSTERBOTTENS LÄN</t>
        </is>
      </c>
      <c r="G328" t="inlineStr">
        <is>
          <t>ROBERTSFORS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45839</v>
      </c>
      <c r="E329" s="1" t="n">
        <v>46289</v>
      </c>
      <c r="F329" t="inlineStr">
        <is>
          <t>VÄSTERBOTTENS LÄN</t>
        </is>
      </c>
      <c r="G329" t="inlineStr">
        <is>
          <t>ROBERTSFORS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46289</v>
      </c>
      <c r="F330" t="inlineStr">
        <is>
          <t>VÄSTERBOTTENS LÄN</t>
        </is>
      </c>
      <c r="G330" t="inlineStr">
        <is>
          <t>ROBERTSFORS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46289</v>
      </c>
      <c r="F331" t="inlineStr">
        <is>
          <t>VÄSTERBOTTENS LÄN</t>
        </is>
      </c>
      <c r="G331" t="inlineStr">
        <is>
          <t>ROBERTSFORS</t>
        </is>
      </c>
      <c r="I331" t="n">
        <v>9.9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46289</v>
      </c>
      <c r="F332" t="inlineStr">
        <is>
          <t>VÄSTERBOTTENS LÄN</t>
        </is>
      </c>
      <c r="G332" t="inlineStr">
        <is>
          <t>ROBERTSFORS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46289</v>
      </c>
      <c r="F333" t="inlineStr">
        <is>
          <t>VÄSTERBOTTENS LÄN</t>
        </is>
      </c>
      <c r="G333" t="inlineStr">
        <is>
          <t>ROBERTSFORS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46050</v>
      </c>
      <c r="E334" s="1" t="n">
        <v>46289</v>
      </c>
      <c r="F334" t="inlineStr">
        <is>
          <t>VÄSTERBOTTENS LÄN</t>
        </is>
      </c>
      <c r="G334" t="inlineStr">
        <is>
          <t>ROBERTSFORS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46289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44938</v>
      </c>
      <c r="E336" s="1" t="n">
        <v>46289</v>
      </c>
      <c r="F336" t="inlineStr">
        <is>
          <t>VÄSTERBOTTENS LÄN</t>
        </is>
      </c>
      <c r="G336" t="inlineStr">
        <is>
          <t>ROBERTSFORS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46289</v>
      </c>
      <c r="F337" t="inlineStr">
        <is>
          <t>VÄSTERBOTTENS LÄN</t>
        </is>
      </c>
      <c r="G337" t="inlineStr">
        <is>
          <t>ROBERTSFORS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46239</v>
      </c>
      <c r="E338" s="1" t="n">
        <v>46289</v>
      </c>
      <c r="F338" t="inlineStr">
        <is>
          <t>VÄSTERBOTTENS LÄN</t>
        </is>
      </c>
      <c r="G338" t="inlineStr">
        <is>
          <t>ROBERTSFORS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33368-2025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45841</v>
      </c>
      <c r="E339" s="1" t="n">
        <v>46289</v>
      </c>
      <c r="F339" t="inlineStr">
        <is>
          <t>VÄSTERBOTTENS LÄN</t>
        </is>
      </c>
      <c r="G339" t="inlineStr">
        <is>
          <t>ROBERTSFORS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46283</v>
      </c>
      <c r="E340" s="1" t="n">
        <v>46289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8.300000000000001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46240</v>
      </c>
      <c r="E341" s="1" t="n">
        <v>46289</v>
      </c>
      <c r="F341" t="inlineStr">
        <is>
          <t>VÄSTERBOTTENS LÄN</t>
        </is>
      </c>
      <c r="G341" t="inlineStr">
        <is>
          <t>ROBERTSFORS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46185</v>
      </c>
      <c r="E342" s="1" t="n">
        <v>46289</v>
      </c>
      <c r="F342" t="inlineStr">
        <is>
          <t>VÄSTERBOTTENS LÄN</t>
        </is>
      </c>
      <c r="G342" t="inlineStr">
        <is>
          <t>ROBERTSFORS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26368-2024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45468</v>
      </c>
      <c r="E343" s="1" t="n">
        <v>46289</v>
      </c>
      <c r="F343" t="inlineStr">
        <is>
          <t>VÄSTERBOTTENS LÄN</t>
        </is>
      </c>
      <c r="G343" t="inlineStr">
        <is>
          <t>ROBERTSFORS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46240</v>
      </c>
      <c r="E344" s="1" t="n">
        <v>46289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46289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46240</v>
      </c>
      <c r="E346" s="1" t="n">
        <v>46289</v>
      </c>
      <c r="F346" t="inlineStr">
        <is>
          <t>VÄSTERBOTTENS LÄN</t>
        </is>
      </c>
      <c r="G346" t="inlineStr">
        <is>
          <t>ROBERTSFORS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46240</v>
      </c>
      <c r="E347" s="1" t="n">
        <v>46289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46289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46289</v>
      </c>
      <c r="F349" t="inlineStr">
        <is>
          <t>VÄSTERBOTTENS LÄN</t>
        </is>
      </c>
      <c r="G349" t="inlineStr">
        <is>
          <t>ROBERTSFORS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46289</v>
      </c>
      <c r="F350" t="inlineStr">
        <is>
          <t>VÄSTERBOTTENS LÄN</t>
        </is>
      </c>
      <c r="G350" t="inlineStr">
        <is>
          <t>ROBERTSFORS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45644</v>
      </c>
      <c r="E351" s="1" t="n">
        <v>46289</v>
      </c>
      <c r="F351" t="inlineStr">
        <is>
          <t>VÄSTERBOTTENS LÄN</t>
        </is>
      </c>
      <c r="G351" t="inlineStr">
        <is>
          <t>ROBERTSFORS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46286</v>
      </c>
      <c r="E352" s="1" t="n">
        <v>46289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46289</v>
      </c>
      <c r="F353" t="inlineStr">
        <is>
          <t>VÄSTERBOTTENS LÄN</t>
        </is>
      </c>
      <c r="G353" t="inlineStr">
        <is>
          <t>ROBERTSFORS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45510</v>
      </c>
      <c r="E354" s="1" t="n">
        <v>46289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45622</v>
      </c>
      <c r="E355" s="1" t="n">
        <v>46289</v>
      </c>
      <c r="F355" t="inlineStr">
        <is>
          <t>VÄSTERBOTTENS LÄN</t>
        </is>
      </c>
      <c r="G355" t="inlineStr">
        <is>
          <t>ROBERTSFORS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45671</v>
      </c>
      <c r="E356" s="1" t="n">
        <v>46289</v>
      </c>
      <c r="F356" t="inlineStr">
        <is>
          <t>VÄSTERBOTTENS LÄN</t>
        </is>
      </c>
      <c r="G356" t="inlineStr">
        <is>
          <t>ROBERTSFORS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46289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46289</v>
      </c>
      <c r="F358" t="inlineStr">
        <is>
          <t>VÄSTERBOTTENS LÄN</t>
        </is>
      </c>
      <c r="G358" t="inlineStr">
        <is>
          <t>ROBERTSFORS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46289</v>
      </c>
      <c r="F359" t="inlineStr">
        <is>
          <t>VÄSTERBOTTENS LÄN</t>
        </is>
      </c>
      <c r="G359" t="inlineStr">
        <is>
          <t>ROBERTSFORS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33375-2025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45841</v>
      </c>
      <c r="E360" s="1" t="n">
        <v>46289</v>
      </c>
      <c r="F360" t="inlineStr">
        <is>
          <t>VÄSTERBOTTENS LÄN</t>
        </is>
      </c>
      <c r="G360" t="inlineStr">
        <is>
          <t>ROBERTSFORS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46300-2024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45581</v>
      </c>
      <c r="E361" s="1" t="n">
        <v>46289</v>
      </c>
      <c r="F361" t="inlineStr">
        <is>
          <t>VÄSTERBOTTENS LÄN</t>
        </is>
      </c>
      <c r="G361" t="inlineStr">
        <is>
          <t>ROBERTSFORS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46288</v>
      </c>
      <c r="E362" s="1" t="n">
        <v>46289</v>
      </c>
      <c r="F362" t="inlineStr">
        <is>
          <t>VÄSTERBOTTENS LÄN</t>
        </is>
      </c>
      <c r="G362" t="inlineStr">
        <is>
          <t>ROBERTSFORS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38951-2024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46289</v>
      </c>
      <c r="F363" t="inlineStr">
        <is>
          <t>VÄSTERBOTTENS LÄN</t>
        </is>
      </c>
      <c r="G363" t="inlineStr">
        <is>
          <t>ROBERTSFORS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45678</v>
      </c>
      <c r="E364" s="1" t="n">
        <v>46289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46289</v>
      </c>
      <c r="F365" t="inlineStr">
        <is>
          <t>VÄSTERBOTTENS LÄN</t>
        </is>
      </c>
      <c r="G365" t="inlineStr">
        <is>
          <t>ROBERTSFORS</t>
        </is>
      </c>
      <c r="I365" t="n">
        <v>10.8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46244</v>
      </c>
      <c r="E366" s="1" t="n">
        <v>46289</v>
      </c>
      <c r="F366" t="inlineStr">
        <is>
          <t>VÄSTERBOTTENS LÄN</t>
        </is>
      </c>
      <c r="G366" t="inlineStr">
        <is>
          <t>ROBERTSFORS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65772-2021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44516</v>
      </c>
      <c r="E367" s="1" t="n">
        <v>46289</v>
      </c>
      <c r="F367" t="inlineStr">
        <is>
          <t>VÄSTERBOTTENS LÄN</t>
        </is>
      </c>
      <c r="G367" t="inlineStr">
        <is>
          <t>ROBERTSFORS</t>
        </is>
      </c>
      <c r="I367" t="n">
        <v>18.2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45033</v>
      </c>
      <c r="E368" s="1" t="n">
        <v>46289</v>
      </c>
      <c r="F368" t="inlineStr">
        <is>
          <t>VÄSTERBOTTENS LÄN</t>
        </is>
      </c>
      <c r="G368" t="inlineStr">
        <is>
          <t>ROBERTSFORS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45048</v>
      </c>
      <c r="E369" s="1" t="n">
        <v>46289</v>
      </c>
      <c r="F369" t="inlineStr">
        <is>
          <t>VÄSTERBOTTENS LÄN</t>
        </is>
      </c>
      <c r="G369" t="inlineStr">
        <is>
          <t>ROBERTSFORS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44936</v>
      </c>
      <c r="E370" s="1" t="n">
        <v>46289</v>
      </c>
      <c r="F370" t="inlineStr">
        <is>
          <t>VÄSTERBOTTENS LÄN</t>
        </is>
      </c>
      <c r="G370" t="inlineStr">
        <is>
          <t>ROBERTSFORS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46288</v>
      </c>
      <c r="E371" s="1" t="n">
        <v>46289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46083</v>
      </c>
      <c r="E372" s="1" t="n">
        <v>46289</v>
      </c>
      <c r="F372" t="inlineStr">
        <is>
          <t>VÄSTERBOTTENS LÄN</t>
        </is>
      </c>
      <c r="G372" t="inlineStr">
        <is>
          <t>ROBERTSFORS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46289</v>
      </c>
      <c r="F373" t="inlineStr">
        <is>
          <t>VÄSTERBOTTENS LÄN</t>
        </is>
      </c>
      <c r="G373" t="inlineStr">
        <is>
          <t>ROBERTSFORS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38092-2022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44811</v>
      </c>
      <c r="E374" s="1" t="n">
        <v>46289</v>
      </c>
      <c r="F374" t="inlineStr">
        <is>
          <t>VÄSTERBOTTENS LÄN</t>
        </is>
      </c>
      <c r="G374" t="inlineStr">
        <is>
          <t>ROBERTSFORS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51966-2024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46289</v>
      </c>
      <c r="F375" t="inlineStr">
        <is>
          <t>VÄSTERBOTTENS LÄN</t>
        </is>
      </c>
      <c r="G375" t="inlineStr">
        <is>
          <t>ROBERTSFORS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44502</v>
      </c>
      <c r="E376" s="1" t="n">
        <v>46289</v>
      </c>
      <c r="F376" t="inlineStr">
        <is>
          <t>VÄSTERBOTTENS LÄN</t>
        </is>
      </c>
      <c r="G376" t="inlineStr">
        <is>
          <t>ROBERTSFORS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44580</v>
      </c>
      <c r="E377" s="1" t="n">
        <v>46289</v>
      </c>
      <c r="F377" t="inlineStr">
        <is>
          <t>VÄSTERBOTTENS LÄN</t>
        </is>
      </c>
      <c r="G377" t="inlineStr">
        <is>
          <t>ROBERTSFORS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46289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46289</v>
      </c>
      <c r="F379" t="inlineStr">
        <is>
          <t>VÄSTERBOTTENS LÄN</t>
        </is>
      </c>
      <c r="G379" t="inlineStr">
        <is>
          <t>ROBERTSFORS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46289</v>
      </c>
      <c r="F380" t="inlineStr">
        <is>
          <t>VÄSTERBOTTENS LÄN</t>
        </is>
      </c>
      <c r="G380" t="inlineStr">
        <is>
          <t>ROBERTSFORS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53271-2021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44467</v>
      </c>
      <c r="E381" s="1" t="n">
        <v>46289</v>
      </c>
      <c r="F381" t="inlineStr">
        <is>
          <t>VÄSTERBOTTENS LÄN</t>
        </is>
      </c>
      <c r="G381" t="inlineStr">
        <is>
          <t>ROBERTSFORS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46289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45580</v>
      </c>
      <c r="E383" s="1" t="n">
        <v>46289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45856</v>
      </c>
      <c r="E384" s="1" t="n">
        <v>46289</v>
      </c>
      <c r="F384" t="inlineStr">
        <is>
          <t>VÄSTERBOTTENS LÄN</t>
        </is>
      </c>
      <c r="G384" t="inlineStr">
        <is>
          <t>ROBERTSFORS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46289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45856</v>
      </c>
      <c r="E386" s="1" t="n">
        <v>46289</v>
      </c>
      <c r="F386" t="inlineStr">
        <is>
          <t>VÄSTERBOTTENS LÄN</t>
        </is>
      </c>
      <c r="G386" t="inlineStr">
        <is>
          <t>ROBERTSFORS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45856</v>
      </c>
      <c r="E387" s="1" t="n">
        <v>46289</v>
      </c>
      <c r="F387" t="inlineStr">
        <is>
          <t>VÄSTERBOTTENS LÄN</t>
        </is>
      </c>
      <c r="G387" t="inlineStr">
        <is>
          <t>ROBERTSFORS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22782-2025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45789</v>
      </c>
      <c r="E388" s="1" t="n">
        <v>46289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45470</v>
      </c>
      <c r="E389" s="1" t="n">
        <v>46289</v>
      </c>
      <c r="F389" t="inlineStr">
        <is>
          <t>VÄSTERBOTTENS LÄN</t>
        </is>
      </c>
      <c r="G389" t="inlineStr">
        <is>
          <t>ROBERTSFORS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45029</v>
      </c>
      <c r="E390" s="1" t="n">
        <v>46289</v>
      </c>
      <c r="F390" t="inlineStr">
        <is>
          <t>VÄSTERBOTTENS LÄN</t>
        </is>
      </c>
      <c r="G390" t="inlineStr">
        <is>
          <t>ROBERTSFORS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46289</v>
      </c>
      <c r="F391" t="inlineStr">
        <is>
          <t>VÄSTERBOTTENS LÄN</t>
        </is>
      </c>
      <c r="G391" t="inlineStr">
        <is>
          <t>ROBERTSFORS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26038-2022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44734</v>
      </c>
      <c r="E392" s="1" t="n">
        <v>46289</v>
      </c>
      <c r="F392" t="inlineStr">
        <is>
          <t>VÄSTERBOTTENS LÄN</t>
        </is>
      </c>
      <c r="G392" t="inlineStr">
        <is>
          <t>ROBERTSFORS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46289</v>
      </c>
      <c r="F393" t="inlineStr">
        <is>
          <t>VÄSTERBOTTENS LÄN</t>
        </is>
      </c>
      <c r="G393" t="inlineStr">
        <is>
          <t>ROBERTSFORS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46289</v>
      </c>
      <c r="F394" t="inlineStr">
        <is>
          <t>VÄSTERBOTTENS LÄN</t>
        </is>
      </c>
      <c r="G394" t="inlineStr">
        <is>
          <t>ROBERTSFORS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46122</v>
      </c>
      <c r="E395" s="1" t="n">
        <v>46289</v>
      </c>
      <c r="F395" t="inlineStr">
        <is>
          <t>VÄSTERBOTTENS LÄN</t>
        </is>
      </c>
      <c r="G395" t="inlineStr">
        <is>
          <t>ROBERTSFORS</t>
        </is>
      </c>
      <c r="I395" t="n">
        <v>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45129</v>
      </c>
      <c r="E396" s="1" t="n">
        <v>46289</v>
      </c>
      <c r="F396" t="inlineStr">
        <is>
          <t>VÄSTERBOTTENS LÄN</t>
        </is>
      </c>
      <c r="G396" t="inlineStr">
        <is>
          <t>ROBERTSFORS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46122</v>
      </c>
      <c r="E397" s="1" t="n">
        <v>46289</v>
      </c>
      <c r="F397" t="inlineStr">
        <is>
          <t>VÄSTERBOTTENS LÄN</t>
        </is>
      </c>
      <c r="G397" t="inlineStr">
        <is>
          <t>ROBERTSFORS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46289</v>
      </c>
      <c r="F398" t="inlineStr">
        <is>
          <t>VÄSTERBOTTENS LÄN</t>
        </is>
      </c>
      <c r="G398" t="inlineStr">
        <is>
          <t>ROBERTSFORS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46289</v>
      </c>
      <c r="F399" t="inlineStr">
        <is>
          <t>VÄSTERBOTTENS LÄN</t>
        </is>
      </c>
      <c r="G399" t="inlineStr">
        <is>
          <t>ROBERTSFORS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46289</v>
      </c>
      <c r="F400" t="inlineStr">
        <is>
          <t>VÄSTERBOTTENS LÄN</t>
        </is>
      </c>
      <c r="G400" t="inlineStr">
        <is>
          <t>ROBERTSFORS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46289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46132</v>
      </c>
      <c r="E402" s="1" t="n">
        <v>46289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45160</v>
      </c>
      <c r="E403" s="1" t="n">
        <v>46289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46289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19732-2026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46289</v>
      </c>
      <c r="F405" t="inlineStr">
        <is>
          <t>VÄSTERBOTTENS LÄN</t>
        </is>
      </c>
      <c r="G405" t="inlineStr">
        <is>
          <t>ROBERTSFORS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46135</v>
      </c>
      <c r="E406" s="1" t="n">
        <v>46289</v>
      </c>
      <c r="F406" t="inlineStr">
        <is>
          <t>VÄSTERBOTTENS LÄN</t>
        </is>
      </c>
      <c r="G406" t="inlineStr">
        <is>
          <t>ROBERTSFORS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55469-2021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44475</v>
      </c>
      <c r="E407" s="1" t="n">
        <v>46289</v>
      </c>
      <c r="F407" t="inlineStr">
        <is>
          <t>VÄSTERBOTTENS LÄN</t>
        </is>
      </c>
      <c r="G407" t="inlineStr">
        <is>
          <t>ROBERTSFORS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46289</v>
      </c>
      <c r="F408" t="inlineStr">
        <is>
          <t>VÄSTERBOTTENS LÄN</t>
        </is>
      </c>
      <c r="G408" t="inlineStr">
        <is>
          <t>ROBERTSFORS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26797-2023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45090</v>
      </c>
      <c r="E409" s="1" t="n">
        <v>46289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59256-2022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44904</v>
      </c>
      <c r="E410" s="1" t="n">
        <v>46289</v>
      </c>
      <c r="F410" t="inlineStr">
        <is>
          <t>VÄSTERBOTTENS LÄN</t>
        </is>
      </c>
      <c r="G410" t="inlineStr">
        <is>
          <t>ROBERTSFORS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46289</v>
      </c>
      <c r="F411" t="inlineStr">
        <is>
          <t>VÄSTERBOTTENS LÄN</t>
        </is>
      </c>
      <c r="G411" t="inlineStr">
        <is>
          <t>ROBERTSFORS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45901</v>
      </c>
      <c r="E412" s="1" t="n">
        <v>46289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13026-2025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45734</v>
      </c>
      <c r="E413" s="1" t="n">
        <v>46289</v>
      </c>
      <c r="F413" t="inlineStr">
        <is>
          <t>VÄSTERBOTTENS LÄN</t>
        </is>
      </c>
      <c r="G413" t="inlineStr">
        <is>
          <t>ROBERTSFORS</t>
        </is>
      </c>
      <c r="I413" t="n">
        <v>24.4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46289</v>
      </c>
      <c r="F414" t="inlineStr">
        <is>
          <t>VÄSTERBOTTENS LÄN</t>
        </is>
      </c>
      <c r="G414" t="inlineStr">
        <is>
          <t>ROBERTSFORS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45530</v>
      </c>
      <c r="E415" s="1" t="n">
        <v>46289</v>
      </c>
      <c r="F415" t="inlineStr">
        <is>
          <t>VÄSTERBOTTENS LÄN</t>
        </is>
      </c>
      <c r="G415" t="inlineStr">
        <is>
          <t>ROBERTSFORS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45307</v>
      </c>
      <c r="E416" s="1" t="n">
        <v>46289</v>
      </c>
      <c r="F416" t="inlineStr">
        <is>
          <t>VÄSTERBOTTENS LÄN</t>
        </is>
      </c>
      <c r="G416" t="inlineStr">
        <is>
          <t>ROBERTSFORS</t>
        </is>
      </c>
      <c r="I416" t="n">
        <v>12.1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45197</v>
      </c>
      <c r="E417" s="1" t="n">
        <v>46289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31059-2024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45502</v>
      </c>
      <c r="E418" s="1" t="n">
        <v>46289</v>
      </c>
      <c r="F418" t="inlineStr">
        <is>
          <t>VÄSTERBOTTENS LÄN</t>
        </is>
      </c>
      <c r="G418" t="inlineStr">
        <is>
          <t>ROBERTSFORS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46289</v>
      </c>
      <c r="F419" t="inlineStr">
        <is>
          <t>VÄSTERBOTTENS LÄN</t>
        </is>
      </c>
      <c r="G419" t="inlineStr">
        <is>
          <t>ROBERTSFORS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46139</v>
      </c>
      <c r="E420" s="1" t="n">
        <v>46289</v>
      </c>
      <c r="F420" t="inlineStr">
        <is>
          <t>VÄSTERBOTTENS LÄN</t>
        </is>
      </c>
      <c r="G420" t="inlineStr">
        <is>
          <t>ROBERTSFORS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45659</v>
      </c>
      <c r="E421" s="1" t="n">
        <v>46289</v>
      </c>
      <c r="F421" t="inlineStr">
        <is>
          <t>VÄSTERBOTTENS LÄN</t>
        </is>
      </c>
      <c r="G421" t="inlineStr">
        <is>
          <t>ROBERTSFORS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41914-2024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45561</v>
      </c>
      <c r="E422" s="1" t="n">
        <v>46289</v>
      </c>
      <c r="F422" t="inlineStr">
        <is>
          <t>VÄSTERBOTTENS LÄN</t>
        </is>
      </c>
      <c r="G422" t="inlineStr">
        <is>
          <t>ROBERTSFORS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45238</v>
      </c>
      <c r="E423" s="1" t="n">
        <v>46289</v>
      </c>
      <c r="F423" t="inlineStr">
        <is>
          <t>VÄSTERBOTTENS LÄN</t>
        </is>
      </c>
      <c r="G423" t="inlineStr">
        <is>
          <t>ROBERTSFORS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46289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13.9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46289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45148</v>
      </c>
      <c r="E426" s="1" t="n">
        <v>46289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45145</v>
      </c>
      <c r="E427" s="1" t="n">
        <v>46289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46969-2025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45929</v>
      </c>
      <c r="E428" s="1" t="n">
        <v>46289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34434-2024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46289</v>
      </c>
      <c r="F429" t="inlineStr">
        <is>
          <t>VÄSTERBOTTENS LÄN</t>
        </is>
      </c>
      <c r="G429" t="inlineStr">
        <is>
          <t>ROBERTSFORS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29939-2025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45826</v>
      </c>
      <c r="E430" s="1" t="n">
        <v>46289</v>
      </c>
      <c r="F430" t="inlineStr">
        <is>
          <t>VÄSTERBOTTENS LÄN</t>
        </is>
      </c>
      <c r="G430" t="inlineStr">
        <is>
          <t>ROBERTSFORS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46289</v>
      </c>
      <c r="F431" t="inlineStr">
        <is>
          <t>VÄSTERBOTTENS LÄN</t>
        </is>
      </c>
      <c r="G431" t="inlineStr">
        <is>
          <t>ROBERTSFORS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45146</v>
      </c>
      <c r="E432" s="1" t="n">
        <v>46289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10234-2024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45365</v>
      </c>
      <c r="E433" s="1" t="n">
        <v>46289</v>
      </c>
      <c r="F433" t="inlineStr">
        <is>
          <t>VÄSTERBOTTENS LÄN</t>
        </is>
      </c>
      <c r="G433" t="inlineStr">
        <is>
          <t>ROBERTSFORS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46289</v>
      </c>
      <c r="F434" t="inlineStr">
        <is>
          <t>VÄSTERBOTTENS LÄN</t>
        </is>
      </c>
      <c r="G434" t="inlineStr">
        <is>
          <t>ROBERTSFORS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45365</v>
      </c>
      <c r="E435" s="1" t="n">
        <v>46289</v>
      </c>
      <c r="F435" t="inlineStr">
        <is>
          <t>VÄSTERBOTTENS LÄN</t>
        </is>
      </c>
      <c r="G435" t="inlineStr">
        <is>
          <t>ROBERTSFORS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52832-2024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45610</v>
      </c>
      <c r="E436" s="1" t="n">
        <v>46289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SCA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46289</v>
      </c>
      <c r="F437" t="inlineStr">
        <is>
          <t>VÄSTERBOTTENS LÄN</t>
        </is>
      </c>
      <c r="G437" t="inlineStr">
        <is>
          <t>ROBERTSFORS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46289</v>
      </c>
      <c r="F438" t="inlineStr">
        <is>
          <t>VÄSTERBOTTENS LÄN</t>
        </is>
      </c>
      <c r="G438" t="inlineStr">
        <is>
          <t>ROBERTSFORS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45687</v>
      </c>
      <c r="E439" s="1" t="n">
        <v>46289</v>
      </c>
      <c r="F439" t="inlineStr">
        <is>
          <t>VÄSTERBOTTENS LÄN</t>
        </is>
      </c>
      <c r="G439" t="inlineStr">
        <is>
          <t>ROBERTSFORS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38120-2024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45545</v>
      </c>
      <c r="E440" s="1" t="n">
        <v>46289</v>
      </c>
      <c r="F440" t="inlineStr">
        <is>
          <t>VÄSTERBOTTENS LÄN</t>
        </is>
      </c>
      <c r="G440" t="inlineStr">
        <is>
          <t>ROBERTSFORS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45635</v>
      </c>
      <c r="E441" s="1" t="n">
        <v>46289</v>
      </c>
      <c r="F441" t="inlineStr">
        <is>
          <t>VÄSTERBOTTENS LÄN</t>
        </is>
      </c>
      <c r="G441" t="inlineStr">
        <is>
          <t>ROBERTSFORS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46146</v>
      </c>
      <c r="E442" s="1" t="n">
        <v>46289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56724-2024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45628</v>
      </c>
      <c r="E443" s="1" t="n">
        <v>46289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45251</v>
      </c>
      <c r="E444" s="1" t="n">
        <v>46289</v>
      </c>
      <c r="F444" t="inlineStr">
        <is>
          <t>VÄSTERBOTTENS LÄN</t>
        </is>
      </c>
      <c r="G444" t="inlineStr">
        <is>
          <t>ROBERTSFORS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46289</v>
      </c>
      <c r="F445" t="inlineStr">
        <is>
          <t>VÄSTERBOTTENS LÄN</t>
        </is>
      </c>
      <c r="G445" t="inlineStr">
        <is>
          <t>ROBERTSFORS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46148</v>
      </c>
      <c r="E446" s="1" t="n">
        <v>46289</v>
      </c>
      <c r="F446" t="inlineStr">
        <is>
          <t>VÄSTERBOTTENS LÄN</t>
        </is>
      </c>
      <c r="G446" t="inlineStr">
        <is>
          <t>ROBERTSFORS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46289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45628</v>
      </c>
      <c r="E448" s="1" t="n">
        <v>46289</v>
      </c>
      <c r="F448" t="inlineStr">
        <is>
          <t>VÄSTERBOTTENS LÄN</t>
        </is>
      </c>
      <c r="G448" t="inlineStr">
        <is>
          <t>ROBERTSFORS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45160</v>
      </c>
      <c r="E449" s="1" t="n">
        <v>46289</v>
      </c>
      <c r="F449" t="inlineStr">
        <is>
          <t>VÄSTERBOTTENS LÄN</t>
        </is>
      </c>
      <c r="G449" t="inlineStr">
        <is>
          <t>ROBERTSFORS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45161</v>
      </c>
      <c r="E450" s="1" t="n">
        <v>46289</v>
      </c>
      <c r="F450" t="inlineStr">
        <is>
          <t>VÄSTERBOTTENS LÄN</t>
        </is>
      </c>
      <c r="G450" t="inlineStr">
        <is>
          <t>ROBERTSFORS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46289</v>
      </c>
      <c r="F451" t="inlineStr">
        <is>
          <t>VÄSTERBOTTENS LÄN</t>
        </is>
      </c>
      <c r="G451" t="inlineStr">
        <is>
          <t>ROBERTSFORS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46150</v>
      </c>
      <c r="E452" s="1" t="n">
        <v>46289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45246</v>
      </c>
      <c r="E453" s="1" t="n">
        <v>46289</v>
      </c>
      <c r="F453" t="inlineStr">
        <is>
          <t>VÄSTERBOTTENS LÄN</t>
        </is>
      </c>
      <c r="G453" t="inlineStr">
        <is>
          <t>ROBERTSFORS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46289</v>
      </c>
      <c r="F454" t="inlineStr">
        <is>
          <t>VÄSTERBOTTENS LÄN</t>
        </is>
      </c>
      <c r="G454" t="inlineStr">
        <is>
          <t>ROBERTSFORS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46289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46289</v>
      </c>
      <c r="F456" t="inlineStr">
        <is>
          <t>VÄSTERBOTTENS LÄN</t>
        </is>
      </c>
      <c r="G456" t="inlineStr">
        <is>
          <t>ROBERTSFORS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46289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46289</v>
      </c>
      <c r="F458" t="inlineStr">
        <is>
          <t>VÄSTERBOTTENS LÄN</t>
        </is>
      </c>
      <c r="G458" t="inlineStr">
        <is>
          <t>ROBERTSFORS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22934-2026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46289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46289</v>
      </c>
      <c r="F460" t="inlineStr">
        <is>
          <t>VÄSTERBOTTENS LÄN</t>
        </is>
      </c>
      <c r="G460" t="inlineStr">
        <is>
          <t>ROBERTSFORS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22929-2026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46289</v>
      </c>
      <c r="F461" t="inlineStr">
        <is>
          <t>VÄSTERBOTTENS LÄN</t>
        </is>
      </c>
      <c r="G461" t="inlineStr">
        <is>
          <t>ROBERTSFORS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45502</v>
      </c>
      <c r="E462" s="1" t="n">
        <v>46289</v>
      </c>
      <c r="F462" t="inlineStr">
        <is>
          <t>VÄSTERBOTTENS LÄN</t>
        </is>
      </c>
      <c r="G462" t="inlineStr">
        <is>
          <t>ROBERTSFORS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46289</v>
      </c>
      <c r="F463" t="inlineStr">
        <is>
          <t>VÄSTERBOTTENS LÄN</t>
        </is>
      </c>
      <c r="G463" t="inlineStr">
        <is>
          <t>ROBERTSFORS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24365-2026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46169</v>
      </c>
      <c r="E464" s="1" t="n">
        <v>46289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15.9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45386</v>
      </c>
      <c r="E465" s="1" t="n">
        <v>46289</v>
      </c>
      <c r="F465" t="inlineStr">
        <is>
          <t>VÄSTERBOTTENS LÄN</t>
        </is>
      </c>
      <c r="G465" t="inlineStr">
        <is>
          <t>ROBERTSFORS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46289</v>
      </c>
      <c r="F466" t="inlineStr">
        <is>
          <t>VÄSTERBOTTENS LÄN</t>
        </is>
      </c>
      <c r="G466" t="inlineStr">
        <is>
          <t>ROBERTSFORS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46289</v>
      </c>
      <c r="F467" t="inlineStr">
        <is>
          <t>VÄSTERBOTTENS LÄN</t>
        </is>
      </c>
      <c r="G467" t="inlineStr">
        <is>
          <t>ROBERTSFORS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24647-2026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46171</v>
      </c>
      <c r="E468" s="1" t="n">
        <v>46289</v>
      </c>
      <c r="F468" t="inlineStr">
        <is>
          <t>VÄSTERBOTTENS LÄN</t>
        </is>
      </c>
      <c r="G468" t="inlineStr">
        <is>
          <t>ROBERTSFORS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46176</v>
      </c>
      <c r="E469" s="1" t="n">
        <v>46289</v>
      </c>
      <c r="F469" t="inlineStr">
        <is>
          <t>VÄSTERBOTTENS LÄN</t>
        </is>
      </c>
      <c r="G469" t="inlineStr">
        <is>
          <t>ROBERTSFORS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46289</v>
      </c>
      <c r="F470" t="inlineStr">
        <is>
          <t>VÄSTERBOTTENS LÄN</t>
        </is>
      </c>
      <c r="G470" t="inlineStr">
        <is>
          <t>ROBERTSFORS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25588-2026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46289</v>
      </c>
      <c r="F471" t="inlineStr">
        <is>
          <t>VÄSTERBOTTENS LÄN</t>
        </is>
      </c>
      <c r="G471" t="inlineStr">
        <is>
          <t>ROBERTSFORS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45454</v>
      </c>
      <c r="E472" s="1" t="n">
        <v>46289</v>
      </c>
      <c r="F472" t="inlineStr">
        <is>
          <t>VÄSTERBOTTENS LÄN</t>
        </is>
      </c>
      <c r="G472" t="inlineStr">
        <is>
          <t>ROBERTSFORS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46289</v>
      </c>
      <c r="F473" t="inlineStr">
        <is>
          <t>VÄSTERBOTTENS LÄN</t>
        </is>
      </c>
      <c r="G473" t="inlineStr">
        <is>
          <t>ROBERTSFORS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46289</v>
      </c>
      <c r="F474" t="inlineStr">
        <is>
          <t>VÄSTERBOTTENS LÄN</t>
        </is>
      </c>
      <c r="G474" t="inlineStr">
        <is>
          <t>ROBERTSFORS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46289</v>
      </c>
      <c r="F475" t="inlineStr">
        <is>
          <t>VÄSTERBOTTENS LÄN</t>
        </is>
      </c>
      <c r="G475" t="inlineStr">
        <is>
          <t>ROBERTSFORS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26949-2026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46289</v>
      </c>
      <c r="F476" t="inlineStr">
        <is>
          <t>VÄSTERBOTTENS LÄN</t>
        </is>
      </c>
      <c r="G476" t="inlineStr">
        <is>
          <t>ROBERTSFORS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46289</v>
      </c>
      <c r="F477" t="inlineStr">
        <is>
          <t>VÄSTERBOTTENS LÄN</t>
        </is>
      </c>
      <c r="G477" t="inlineStr">
        <is>
          <t>ROBERTSFORS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46289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46289</v>
      </c>
      <c r="F479" t="inlineStr">
        <is>
          <t>VÄSTERBOTTENS LÄN</t>
        </is>
      </c>
      <c r="G479" t="inlineStr">
        <is>
          <t>ROBERTSFORS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46289</v>
      </c>
      <c r="F480" t="inlineStr">
        <is>
          <t>VÄSTERBOTTENS LÄN</t>
        </is>
      </c>
      <c r="G480" t="inlineStr">
        <is>
          <t>ROBERTSFORS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46289</v>
      </c>
      <c r="F481" t="inlineStr">
        <is>
          <t>VÄSTERBOTTENS LÄN</t>
        </is>
      </c>
      <c r="G481" t="inlineStr">
        <is>
          <t>ROBERTSFORS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46289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27894-2026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46289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54968-2024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45620</v>
      </c>
      <c r="E484" s="1" t="n">
        <v>46289</v>
      </c>
      <c r="F484" t="inlineStr">
        <is>
          <t>VÄSTERBOTTENS LÄN</t>
        </is>
      </c>
      <c r="G484" t="inlineStr">
        <is>
          <t>ROBERTSFORS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28222-2026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46289</v>
      </c>
      <c r="F485" t="inlineStr">
        <is>
          <t>VÄSTERBOTTENS LÄN</t>
        </is>
      </c>
      <c r="G485" t="inlineStr">
        <is>
          <t>ROBERTSFORS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46289</v>
      </c>
      <c r="F486" t="inlineStr">
        <is>
          <t>VÄSTERBOTTENS LÄN</t>
        </is>
      </c>
      <c r="G486" t="inlineStr">
        <is>
          <t>ROBERTSFORS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46289</v>
      </c>
      <c r="F487" t="inlineStr">
        <is>
          <t>VÄSTERBOTTENS LÄN</t>
        </is>
      </c>
      <c r="G487" t="inlineStr">
        <is>
          <t>ROBERTSFORS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46289</v>
      </c>
      <c r="F488" t="inlineStr">
        <is>
          <t>VÄSTERBOTTENS LÄN</t>
        </is>
      </c>
      <c r="G488" t="inlineStr">
        <is>
          <t>ROBERTSFORS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46289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SCA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29958-2026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46289</v>
      </c>
      <c r="F490" t="inlineStr">
        <is>
          <t>VÄSTERBOTTENS LÄN</t>
        </is>
      </c>
      <c r="G490" t="inlineStr">
        <is>
          <t>ROBERTSFORS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29964-2026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46289</v>
      </c>
      <c r="F491" t="inlineStr">
        <is>
          <t>VÄSTERBOTTENS LÄN</t>
        </is>
      </c>
      <c r="G491" t="inlineStr">
        <is>
          <t>ROBERTSFORS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46289</v>
      </c>
      <c r="F492" t="inlineStr">
        <is>
          <t>VÄSTERBOTTENS LÄN</t>
        </is>
      </c>
      <c r="G492" t="inlineStr">
        <is>
          <t>ROBERTSFORS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46254</v>
      </c>
      <c r="E493" s="1" t="n">
        <v>46289</v>
      </c>
      <c r="F493" t="inlineStr">
        <is>
          <t>VÄSTERBOTTENS LÄN</t>
        </is>
      </c>
      <c r="G493" t="inlineStr">
        <is>
          <t>ROBERTSFORS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34556-2026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46255</v>
      </c>
      <c r="E494" s="1" t="n">
        <v>46289</v>
      </c>
      <c r="F494" t="inlineStr">
        <is>
          <t>VÄSTERBOTTENS LÄN</t>
        </is>
      </c>
      <c r="G494" t="inlineStr">
        <is>
          <t>ROBERTSFORS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46255</v>
      </c>
      <c r="E495" s="1" t="n">
        <v>46289</v>
      </c>
      <c r="F495" t="inlineStr">
        <is>
          <t>VÄSTERBOTTENS LÄN</t>
        </is>
      </c>
      <c r="G495" t="inlineStr">
        <is>
          <t>ROBERTSFORS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34808-2026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46289</v>
      </c>
      <c r="F496" t="inlineStr">
        <is>
          <t>VÄSTERBOTTENS LÄN</t>
        </is>
      </c>
      <c r="G496" t="inlineStr">
        <is>
          <t>ROBERTSFORS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46289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46289</v>
      </c>
      <c r="F498" t="inlineStr">
        <is>
          <t>VÄSTERBOTTENS LÄN</t>
        </is>
      </c>
      <c r="G498" t="inlineStr">
        <is>
          <t>ROBERTSFORS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46261</v>
      </c>
      <c r="E499" s="1" t="n">
        <v>46289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46262</v>
      </c>
      <c r="E500" s="1" t="n">
        <v>46289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46261</v>
      </c>
      <c r="E501" s="1" t="n">
        <v>46289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46266</v>
      </c>
      <c r="E502" s="1" t="n">
        <v>46289</v>
      </c>
      <c r="F502" t="inlineStr">
        <is>
          <t>VÄSTERBOTTENS LÄN</t>
        </is>
      </c>
      <c r="G502" t="inlineStr">
        <is>
          <t>ROBERTSFORS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35896-2026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46266</v>
      </c>
      <c r="E503" s="1" t="n">
        <v>46289</v>
      </c>
      <c r="F503" t="inlineStr">
        <is>
          <t>VÄSTERBOTTENS LÄN</t>
        </is>
      </c>
      <c r="G503" t="inlineStr">
        <is>
          <t>ROBERTSFORS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46289</v>
      </c>
      <c r="F504" t="inlineStr">
        <is>
          <t>VÄSTERBOTTENS LÄN</t>
        </is>
      </c>
      <c r="G504" t="inlineStr">
        <is>
          <t>ROBERTSFORS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31664-2026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46225</v>
      </c>
      <c r="E505" s="1" t="n">
        <v>46289</v>
      </c>
      <c r="F505" t="inlineStr">
        <is>
          <t>VÄSTERBOTTENS LÄN</t>
        </is>
      </c>
      <c r="G505" t="inlineStr">
        <is>
          <t>ROBERTSFORS</t>
        </is>
      </c>
      <c r="I505" t="n">
        <v>10.4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46268</v>
      </c>
      <c r="E506" s="1" t="n">
        <v>46289</v>
      </c>
      <c r="F506" t="inlineStr">
        <is>
          <t>VÄSTERBOTTENS LÄN</t>
        </is>
      </c>
      <c r="G506" t="inlineStr">
        <is>
          <t>ROBERTSFORS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46225</v>
      </c>
      <c r="E507" s="1" t="n">
        <v>46289</v>
      </c>
      <c r="F507" t="inlineStr">
        <is>
          <t>VÄSTERBOTTENS LÄN</t>
        </is>
      </c>
      <c r="G507" t="inlineStr">
        <is>
          <t>ROBERTSFORS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46289</v>
      </c>
      <c r="F508" t="inlineStr">
        <is>
          <t>VÄSTERBOTTENS LÄN</t>
        </is>
      </c>
      <c r="G508" t="inlineStr">
        <is>
          <t>ROBERTSFORS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36532-2026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46269</v>
      </c>
      <c r="E509" s="1" t="n">
        <v>46289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Sveaskog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46289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36523-2026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46269</v>
      </c>
      <c r="E511" s="1" t="n">
        <v>46289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46268</v>
      </c>
      <c r="E512" s="1" t="n">
        <v>46289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Sveaskog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46289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36473-2026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46269</v>
      </c>
      <c r="E514" s="1" t="n">
        <v>46289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Sveaskog</t>
        </is>
      </c>
      <c r="I514" t="n">
        <v>13.5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37069-2026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46273</v>
      </c>
      <c r="E515" s="1" t="n">
        <v>46289</v>
      </c>
      <c r="F515" t="inlineStr">
        <is>
          <t>VÄSTERBOTTENS LÄN</t>
        </is>
      </c>
      <c r="G515" t="inlineStr">
        <is>
          <t>ROBERTSFORS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37059-2026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46273</v>
      </c>
      <c r="E516" s="1" t="n">
        <v>46289</v>
      </c>
      <c r="F516" t="inlineStr">
        <is>
          <t>VÄSTERBOTTENS LÄN</t>
        </is>
      </c>
      <c r="G516" t="inlineStr">
        <is>
          <t>ROBERTSFORS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46230</v>
      </c>
      <c r="E517" s="1" t="n">
        <v>46289</v>
      </c>
      <c r="F517" t="inlineStr">
        <is>
          <t>VÄSTERBOTTENS LÄN</t>
        </is>
      </c>
      <c r="G517" t="inlineStr">
        <is>
          <t>ROBERTSFORS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46276</v>
      </c>
      <c r="E518" s="1" t="n">
        <v>46289</v>
      </c>
      <c r="F518" t="inlineStr">
        <is>
          <t>VÄSTERBOTTENS LÄN</t>
        </is>
      </c>
      <c r="G518" t="inlineStr">
        <is>
          <t>ROBERTSFORS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37609-2026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46276</v>
      </c>
      <c r="E519" s="1" t="n">
        <v>46289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46279</v>
      </c>
      <c r="E520" s="1" t="n">
        <v>46289</v>
      </c>
      <c r="F520" t="inlineStr">
        <is>
          <t>VÄSTERBOTTENS LÄN</t>
        </is>
      </c>
      <c r="G520" t="inlineStr">
        <is>
          <t>ROBERTSFORS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37819-2026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46279</v>
      </c>
      <c r="E521" s="1" t="n">
        <v>46289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46280</v>
      </c>
      <c r="E522" s="1" t="n">
        <v>46289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46280</v>
      </c>
      <c r="E523" s="1" t="n">
        <v>46289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37831-2026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46279</v>
      </c>
      <c r="E524" s="1" t="n">
        <v>46289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37844-2026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46289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46289</v>
      </c>
      <c r="F526" t="inlineStr">
        <is>
          <t>VÄSTERBOTTENS LÄN</t>
        </is>
      </c>
      <c r="G526" t="inlineStr">
        <is>
          <t>ROBERTSFORS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32513-2026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46239</v>
      </c>
      <c r="E527" s="1" t="n">
        <v>46289</v>
      </c>
      <c r="F527" t="inlineStr">
        <is>
          <t>VÄSTERBOTTENS LÄN</t>
        </is>
      </c>
      <c r="G527" t="inlineStr">
        <is>
          <t>ROBERTSFORS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46282</v>
      </c>
      <c r="E528" s="1" t="n">
        <v>46289</v>
      </c>
      <c r="F528" t="inlineStr">
        <is>
          <t>VÄSTERBOTTENS LÄN</t>
        </is>
      </c>
      <c r="G528" t="inlineStr">
        <is>
          <t>ROBERTSFORS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32663-2026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46240</v>
      </c>
      <c r="E529" s="1" t="n">
        <v>46289</v>
      </c>
      <c r="F529" t="inlineStr">
        <is>
          <t>VÄSTERBOTTENS LÄN</t>
        </is>
      </c>
      <c r="G529" t="inlineStr">
        <is>
          <t>ROBERTSFORS</t>
        </is>
      </c>
      <c r="I529" t="n">
        <v>11.3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46289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46239</v>
      </c>
      <c r="E531" s="1" t="n">
        <v>46289</v>
      </c>
      <c r="F531" t="inlineStr">
        <is>
          <t>VÄSTERBOTTENS LÄN</t>
        </is>
      </c>
      <c r="G531" t="inlineStr">
        <is>
          <t>ROBERTSFORS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46240</v>
      </c>
      <c r="E532" s="1" t="n">
        <v>46289</v>
      </c>
      <c r="F532" t="inlineStr">
        <is>
          <t>VÄSTERBOTTENS LÄN</t>
        </is>
      </c>
      <c r="G532" t="inlineStr">
        <is>
          <t>ROBERTSFORS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32651-2026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46240</v>
      </c>
      <c r="E533" s="1" t="n">
        <v>46289</v>
      </c>
      <c r="F533" t="inlineStr">
        <is>
          <t>VÄSTERBOTTENS LÄN</t>
        </is>
      </c>
      <c r="G533" t="inlineStr">
        <is>
          <t>ROBERTSFORS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46240</v>
      </c>
      <c r="E534" s="1" t="n">
        <v>46289</v>
      </c>
      <c r="F534" t="inlineStr">
        <is>
          <t>VÄSTERBOTTENS LÄN</t>
        </is>
      </c>
      <c r="G534" t="inlineStr">
        <is>
          <t>ROBERTSFORS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2849-2022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44707</v>
      </c>
      <c r="E535" s="1" t="n">
        <v>46289</v>
      </c>
      <c r="F535" t="inlineStr">
        <is>
          <t>VÄSTERBOTTENS LÄN</t>
        </is>
      </c>
      <c r="G535" t="inlineStr">
        <is>
          <t>ROBERTSFORS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8592-2021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44501</v>
      </c>
      <c r="E536" s="1" t="n">
        <v>46289</v>
      </c>
      <c r="F536" t="inlineStr">
        <is>
          <t>VÄSTERBOTTENS LÄN</t>
        </is>
      </c>
      <c r="G536" t="inlineStr">
        <is>
          <t>ROBERTSFORS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1034-2025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45747</v>
      </c>
      <c r="E537" s="1" t="n">
        <v>46289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Sveaskog</t>
        </is>
      </c>
      <c r="I537" t="n">
        <v>14.9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1249-2025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45762</v>
      </c>
      <c r="E538" s="1" t="n">
        <v>46289</v>
      </c>
      <c r="F538" t="inlineStr">
        <is>
          <t>VÄSTERBOTTENS LÄN</t>
        </is>
      </c>
      <c r="G538" t="inlineStr">
        <is>
          <t>ROBERTSFORS</t>
        </is>
      </c>
      <c r="H538" t="inlineStr">
        <is>
          <t>Holmen skog AB</t>
        </is>
      </c>
      <c r="I538" t="n">
        <v>175.8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702-2026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46092</v>
      </c>
      <c r="E539" s="1" t="n">
        <v>46289</v>
      </c>
      <c r="F539" t="inlineStr">
        <is>
          <t>VÄSTERBOTTENS LÄN</t>
        </is>
      </c>
      <c r="G539" t="inlineStr">
        <is>
          <t>ROBERTSFORS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1273-2026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46147</v>
      </c>
      <c r="E540" s="1" t="n">
        <v>46289</v>
      </c>
      <c r="F540" t="inlineStr">
        <is>
          <t>VÄSTERBOTTENS LÄN</t>
        </is>
      </c>
      <c r="G540" t="inlineStr">
        <is>
          <t>ROBERTSFORS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1322-2026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46149</v>
      </c>
      <c r="E541" s="1" t="n">
        <v>46289</v>
      </c>
      <c r="F541" t="inlineStr">
        <is>
          <t>VÄSTERBOTTENS LÄN</t>
        </is>
      </c>
      <c r="G541" t="inlineStr">
        <is>
          <t>ROBERTSFORS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>
      <c r="A542" t="inlineStr">
        <is>
          <t>S 1416-2026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46155</v>
      </c>
      <c r="E542" s="1" t="n">
        <v>46289</v>
      </c>
      <c r="F542" t="inlineStr">
        <is>
          <t>VÄSTERBOTTENS LÄN</t>
        </is>
      </c>
      <c r="G542" t="inlineStr">
        <is>
          <t>ROBERTSFORS</t>
        </is>
      </c>
      <c r="I542" t="n">
        <v>32.7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2026-09-24T01:58:45Z</dcterms:created>
  <dcterms:modified xmlns:dcterms="http://purl.org/dc/terms/" xmlns:xsi="http://www.w3.org/2001/XMLSchema-instance" xsi:type="dcterms:W3CDTF">2026-09-24T01:58:46Z</dcterms:modified>
</cp:coreProperties>
</file>