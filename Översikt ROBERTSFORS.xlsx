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46280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46280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46280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46280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46280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46280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46280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46280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46280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46280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46280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46280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46280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46280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46280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46280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46280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46280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46280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46280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46280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32211-2023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45119</v>
      </c>
      <c r="E23" s="1" t="n">
        <v>46280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SCA</t>
        </is>
      </c>
      <c r="I23" t="n">
        <v>14.4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Gräddporing
Tallticka
Talltita</t>
        </is>
      </c>
      <c r="W23">
        <f>HYPERLINK("https://klasma.github.io/Logging_2409/artfynd/A 32211-2023 artfynd.xlsx", "A 32211-2023")</f>
        <v/>
      </c>
      <c r="X23">
        <f>HYPERLINK("https://klasma.github.io/Logging_2409/kartor/A 32211-2023 karta.png", "A 32211-2023")</f>
        <v/>
      </c>
      <c r="Y23">
        <f>HYPERLINK("https://klasma.github.io/Logging_2409/kartor_geotiff/A 32211-2023 georefererad karta.tif", "A 32211-2023")</f>
        <v/>
      </c>
      <c r="AA23">
        <f>HYPERLINK("https://klasma.github.io/Logging_2409/klagomål/A 32211-2023 FSC-klagomål.docx", "A 32211-2023")</f>
        <v/>
      </c>
      <c r="AB23">
        <f>HYPERLINK("https://klasma.github.io/Logging_2409/klagomålsmail/A 32211-2023 FSC-klagomål mail.docx", "A 32211-2023")</f>
        <v/>
      </c>
      <c r="AC23">
        <f>HYPERLINK("https://klasma.github.io/Logging_2409/tillsyn/A 32211-2023 tillsynsbegäran.docx", "A 32211-2023")</f>
        <v/>
      </c>
      <c r="AD23">
        <f>HYPERLINK("https://klasma.github.io/Logging_2409/tillsynsmail/A 32211-2023 tillsynsbegäran mail.docx", "A 32211-2023")</f>
        <v/>
      </c>
      <c r="AE23">
        <f>HYPERLINK("https://klasma.github.io/Logging_2409/fåglar/A 32211-2023 prioriterade fågelarter.docx", "A 32211-2023")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46280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46280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46280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46280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46280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5283-2026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46280</v>
      </c>
      <c r="F29" t="inlineStr">
        <is>
          <t>VÄSTERBOTTENS LÄN</t>
        </is>
      </c>
      <c r="G29" t="inlineStr">
        <is>
          <t>ROBERTSFORS</t>
        </is>
      </c>
      <c r="I29" t="n">
        <v>1.2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Talltita
Utter</t>
        </is>
      </c>
      <c r="W29">
        <f>HYPERLINK("https://klasma.github.io/Logging_2409/artfynd/A 5283-2026 artfynd.xlsx", "A 5283-2026")</f>
        <v/>
      </c>
      <c r="X29">
        <f>HYPERLINK("https://klasma.github.io/Logging_2409/kartor/A 5283-2026 karta.png", "A 5283-2026")</f>
        <v/>
      </c>
      <c r="Y29">
        <f>HYPERLINK("https://klasma.github.io/Logging_2409/kartor_geotiff/A 5283-2026 georefererad karta.tif", "A 5283-2026")</f>
        <v/>
      </c>
      <c r="AA29">
        <f>HYPERLINK("https://klasma.github.io/Logging_2409/klagomål/A 5283-2026 FSC-klagomål.docx", "A 5283-2026")</f>
        <v/>
      </c>
      <c r="AB29">
        <f>HYPERLINK("https://klasma.github.io/Logging_2409/klagomålsmail/A 5283-2026 FSC-klagomål mail.docx", "A 5283-2026")</f>
        <v/>
      </c>
      <c r="AC29">
        <f>HYPERLINK("https://klasma.github.io/Logging_2409/tillsyn/A 5283-2026 tillsynsbegäran.docx", "A 5283-2026")</f>
        <v/>
      </c>
      <c r="AD29">
        <f>HYPERLINK("https://klasma.github.io/Logging_2409/tillsynsmail/A 5283-2026 tillsynsbegäran mail.docx", "A 5283-2026")</f>
        <v/>
      </c>
      <c r="AE29">
        <f>HYPERLINK("https://klasma.github.io/Logging_2409/fåglar/A 5283-2026 prioriterade fågelarter.docx", "A 5283-2026")</f>
        <v/>
      </c>
    </row>
    <row r="30" ht="15" customHeight="1">
      <c r="A30" t="inlineStr">
        <is>
          <t>A 5287-2026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46280</v>
      </c>
      <c r="F30" t="inlineStr">
        <is>
          <t>VÄSTERBOTTENS LÄN</t>
        </is>
      </c>
      <c r="G30" t="inlineStr">
        <is>
          <t>ROBERTSFORS</t>
        </is>
      </c>
      <c r="I30" t="n">
        <v>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Spillkråka</t>
        </is>
      </c>
      <c r="W30">
        <f>HYPERLINK("https://klasma.github.io/Logging_2409/artfynd/A 5287-2026 artfynd.xlsx", "A 5287-2026")</f>
        <v/>
      </c>
      <c r="X30">
        <f>HYPERLINK("https://klasma.github.io/Logging_2409/kartor/A 5287-2026 karta.png", "A 5287-2026")</f>
        <v/>
      </c>
      <c r="Y30">
        <f>HYPERLINK("https://klasma.github.io/Logging_2409/kartor_geotiff/A 5287-2026 georefererad karta.tif", "A 5287-2026")</f>
        <v/>
      </c>
      <c r="AA30">
        <f>HYPERLINK("https://klasma.github.io/Logging_2409/klagomål/A 5287-2026 FSC-klagomål.docx", "A 5287-2026")</f>
        <v/>
      </c>
      <c r="AB30">
        <f>HYPERLINK("https://klasma.github.io/Logging_2409/klagomålsmail/A 5287-2026 FSC-klagomål mail.docx", "A 5287-2026")</f>
        <v/>
      </c>
      <c r="AC30">
        <f>HYPERLINK("https://klasma.github.io/Logging_2409/tillsyn/A 5287-2026 tillsynsbegäran.docx", "A 5287-2026")</f>
        <v/>
      </c>
      <c r="AD30">
        <f>HYPERLINK("https://klasma.github.io/Logging_2409/tillsynsmail/A 5287-2026 tillsynsbegäran mail.docx", "A 5287-2026")</f>
        <v/>
      </c>
      <c r="AE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46280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5290-2026 artfynd.xlsx", "A 5290-2026")</f>
        <v/>
      </c>
      <c r="X31">
        <f>HYPERLINK("https://klasma.github.io/Logging_2409/kartor/A 5290-2026 karta.png", "A 5290-2026")</f>
        <v/>
      </c>
      <c r="Y31">
        <f>HYPERLINK("https://klasma.github.io/Logging_2409/kartor_geotiff/A 5290-2026 georefererad karta.tif", "A 5290-2026")</f>
        <v/>
      </c>
      <c r="AA31">
        <f>HYPERLINK("https://klasma.github.io/Logging_2409/klagomål/A 5290-2026 FSC-klagomål.docx", "A 5290-2026")</f>
        <v/>
      </c>
      <c r="AB31">
        <f>HYPERLINK("https://klasma.github.io/Logging_2409/klagomålsmail/A 5290-2026 FSC-klagomål mail.docx", "A 5290-2026")</f>
        <v/>
      </c>
      <c r="AC31">
        <f>HYPERLINK("https://klasma.github.io/Logging_2409/tillsyn/A 5290-2026 tillsynsbegäran.docx", "A 5290-2026")</f>
        <v/>
      </c>
      <c r="AD31">
        <f>HYPERLINK("https://klasma.github.io/Logging_2409/tillsynsmail/A 5290-2026 tillsynsbegäran mail.docx", "A 5290-2026")</f>
        <v/>
      </c>
    </row>
    <row r="32" ht="15" customHeight="1">
      <c r="A32" t="inlineStr">
        <is>
          <t>A 26204-2024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46280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Holmen skog AB</t>
        </is>
      </c>
      <c r="I32" t="n">
        <v>3.9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8</v>
      </c>
      <c r="U32" t="n">
        <v>8</v>
      </c>
      <c r="V32" s="2" t="inlineStr">
        <is>
          <t>Tjäder
Orre</t>
        </is>
      </c>
      <c r="W32">
        <f>HYPERLINK("https://klasma.github.io/Logging_2409/artfynd/A 26204-2024 artfynd.xlsx", "A 26204-2024")</f>
        <v/>
      </c>
      <c r="X32">
        <f>HYPERLINK("https://klasma.github.io/Logging_2409/kartor/A 26204-2024 karta.png", "A 26204-2024")</f>
        <v/>
      </c>
      <c r="Y32">
        <f>HYPERLINK("https://klasma.github.io/Logging_2409/kartor_geotiff/A 26204-2024 georefererad karta.tif", "A 26204-2024")</f>
        <v/>
      </c>
      <c r="AA32">
        <f>HYPERLINK("https://klasma.github.io/Logging_2409/klagomål/A 26204-2024 FSC-klagomål.docx", "A 26204-2024")</f>
        <v/>
      </c>
      <c r="AB32">
        <f>HYPERLINK("https://klasma.github.io/Logging_2409/klagomålsmail/A 26204-2024 FSC-klagomål mail.docx", "A 26204-2024")</f>
        <v/>
      </c>
      <c r="AC32">
        <f>HYPERLINK("https://klasma.github.io/Logging_2409/tillsyn/A 26204-2024 tillsynsbegäran.docx", "A 26204-2024")</f>
        <v/>
      </c>
      <c r="AD32">
        <f>HYPERLINK("https://klasma.github.io/Logging_2409/tillsynsmail/A 26204-2024 tillsynsbegäran mail.docx", "A 26204-2024")</f>
        <v/>
      </c>
      <c r="AE32">
        <f>HYPERLINK("https://klasma.github.io/Logging_2409/fåglar/A 26204-2024 prioriterade fågelarter.docx", "A 26204-2024")</f>
        <v/>
      </c>
    </row>
    <row r="33" ht="15" customHeight="1">
      <c r="A33" t="inlineStr">
        <is>
          <t>A 48882-2025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45937</v>
      </c>
      <c r="E33" s="1" t="n">
        <v>46280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Kyrkan</t>
        </is>
      </c>
      <c r="I33" t="n">
        <v>5.5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Harticka
Ullticka</t>
        </is>
      </c>
      <c r="W33">
        <f>HYPERLINK("https://klasma.github.io/Logging_2409/artfynd/A 48882-2025 artfynd.xlsx", "A 48882-2025")</f>
        <v/>
      </c>
      <c r="X33">
        <f>HYPERLINK("https://klasma.github.io/Logging_2409/kartor/A 48882-2025 karta.png", "A 48882-2025")</f>
        <v/>
      </c>
      <c r="Y33">
        <f>HYPERLINK("https://klasma.github.io/Logging_2409/kartor_geotiff/A 48882-2025 georefererad karta.tif", "A 48882-2025")</f>
        <v/>
      </c>
      <c r="AA33">
        <f>HYPERLINK("https://klasma.github.io/Logging_2409/klagomål/A 48882-2025 FSC-klagomål.docx", "A 48882-2025")</f>
        <v/>
      </c>
      <c r="AB33">
        <f>HYPERLINK("https://klasma.github.io/Logging_2409/klagomålsmail/A 48882-2025 FSC-klagomål mail.docx", "A 48882-2025")</f>
        <v/>
      </c>
      <c r="AC33">
        <f>HYPERLINK("https://klasma.github.io/Logging_2409/tillsyn/A 48882-2025 tillsynsbegäran.docx", "A 48882-2025")</f>
        <v/>
      </c>
      <c r="AD33">
        <f>HYPERLINK("https://klasma.github.io/Logging_2409/tillsynsmail/A 48882-2025 tillsynsbegäran mail.docx", "A 48882-2025")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46280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46280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46280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46280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46280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46280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46280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46280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46280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46280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46280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5285-2026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46280</v>
      </c>
      <c r="F45" t="inlineStr">
        <is>
          <t>VÄSTERBOTTENS LÄN</t>
        </is>
      </c>
      <c r="G45" t="inlineStr">
        <is>
          <t>ROBERTSFORS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HYPERLINK("https://klasma.github.io/Logging_2409/artfynd/A 5285-2026 artfynd.xlsx", "A 5285-2026")</f>
        <v/>
      </c>
      <c r="X45">
        <f>HYPERLINK("https://klasma.github.io/Logging_2409/kartor/A 5285-2026 karta.png", "A 5285-2026")</f>
        <v/>
      </c>
      <c r="Y45">
        <f>HYPERLINK("https://klasma.github.io/Logging_2409/kartor_geotiff/A 5285-2026 georefererad karta.tif", "A 5285-2026")</f>
        <v/>
      </c>
      <c r="AA45">
        <f>HYPERLINK("https://klasma.github.io/Logging_2409/klagomål/A 5285-2026 FSC-klagomål.docx", "A 5285-2026")</f>
        <v/>
      </c>
      <c r="AB45">
        <f>HYPERLINK("https://klasma.github.io/Logging_2409/klagomålsmail/A 5285-2026 FSC-klagomål mail.docx", "A 5285-2026")</f>
        <v/>
      </c>
      <c r="AC45">
        <f>HYPERLINK("https://klasma.github.io/Logging_2409/tillsyn/A 5285-2026 tillsynsbegäran.docx", "A 5285-2026")</f>
        <v/>
      </c>
      <c r="AD45">
        <f>HYPERLINK("https://klasma.github.io/Logging_2409/tillsynsmail/A 5285-2026 tillsynsbegäran mail.docx", "A 5285-2026")</f>
        <v/>
      </c>
      <c r="AE45">
        <f>HYPERLINK("https://klasma.github.io/Logging_2409/fåglar/A 5285-2026 prioriterade fågelarter.docx", "A 5285-2026")</f>
        <v/>
      </c>
    </row>
    <row r="46" ht="15" customHeight="1">
      <c r="A46" t="inlineStr">
        <is>
          <t>A 5289-2026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46050</v>
      </c>
      <c r="E46" s="1" t="n">
        <v>46280</v>
      </c>
      <c r="F46" t="inlineStr">
        <is>
          <t>VÄSTERBOTTENS LÄN</t>
        </is>
      </c>
      <c r="G46" t="inlineStr">
        <is>
          <t>ROBERTSFORS</t>
        </is>
      </c>
      <c r="I46" t="n">
        <v>2.1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Björktrast</t>
        </is>
      </c>
      <c r="W46">
        <f>HYPERLINK("https://klasma.github.io/Logging_2409/artfynd/A 5289-2026 artfynd.xlsx", "A 5289-2026")</f>
        <v/>
      </c>
      <c r="X46">
        <f>HYPERLINK("https://klasma.github.io/Logging_2409/kartor/A 5289-2026 karta.png", "A 5289-2026")</f>
        <v/>
      </c>
      <c r="Y46">
        <f>HYPERLINK("https://klasma.github.io/Logging_2409/kartor_geotiff/A 5289-2026 georefererad karta.tif", "A 5289-2026")</f>
        <v/>
      </c>
      <c r="AA46">
        <f>HYPERLINK("https://klasma.github.io/Logging_2409/klagomål/A 5289-2026 FSC-klagomål.docx", "A 5289-2026")</f>
        <v/>
      </c>
      <c r="AB46">
        <f>HYPERLINK("https://klasma.github.io/Logging_2409/klagomålsmail/A 5289-2026 FSC-klagomål mail.docx", "A 5289-2026")</f>
        <v/>
      </c>
      <c r="AC46">
        <f>HYPERLINK("https://klasma.github.io/Logging_2409/tillsyn/A 5289-2026 tillsynsbegäran.docx", "A 5289-2026")</f>
        <v/>
      </c>
      <c r="AD46">
        <f>HYPERLINK("https://klasma.github.io/Logging_2409/tillsynsmail/A 5289-2026 tillsynsbegäran mail.docx", "A 5289-2026")</f>
        <v/>
      </c>
      <c r="AE46">
        <f>HYPERLINK("https://klasma.github.io/Logging_2409/fåglar/A 5289-2026 prioriterade fågelarter.docx", "A 5289-2026")</f>
        <v/>
      </c>
    </row>
    <row r="47" ht="15" customHeight="1">
      <c r="A47" t="inlineStr">
        <is>
          <t>A 5284-2026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46280</v>
      </c>
      <c r="F47" t="inlineStr">
        <is>
          <t>VÄSTERBOTTENS LÄN</t>
        </is>
      </c>
      <c r="G47" t="inlineStr">
        <is>
          <t>ROBERTSFORS</t>
        </is>
      </c>
      <c r="I47" t="n">
        <v>3.1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HYPERLINK("https://klasma.github.io/Logging_2409/artfynd/A 5284-2026 artfynd.xlsx", "A 5284-2026")</f>
        <v/>
      </c>
      <c r="X47">
        <f>HYPERLINK("https://klasma.github.io/Logging_2409/kartor/A 5284-2026 karta.png", "A 5284-2026")</f>
        <v/>
      </c>
      <c r="Y47">
        <f>HYPERLINK("https://klasma.github.io/Logging_2409/kartor_geotiff/A 5284-2026 georefererad karta.tif", "A 5284-2026")</f>
        <v/>
      </c>
      <c r="AA47">
        <f>HYPERLINK("https://klasma.github.io/Logging_2409/klagomål/A 5284-2026 FSC-klagomål.docx", "A 5284-2026")</f>
        <v/>
      </c>
      <c r="AB47">
        <f>HYPERLINK("https://klasma.github.io/Logging_2409/klagomålsmail/A 5284-2026 FSC-klagomål mail.docx", "A 5284-2026")</f>
        <v/>
      </c>
      <c r="AC47">
        <f>HYPERLINK("https://klasma.github.io/Logging_2409/tillsyn/A 5284-2026 tillsynsbegäran.docx", "A 5284-2026")</f>
        <v/>
      </c>
      <c r="AD47">
        <f>HYPERLINK("https://klasma.github.io/Logging_2409/tillsynsmail/A 5284-2026 tillsynsbegäran mail.docx", "A 5284-2026")</f>
        <v/>
      </c>
      <c r="AE47">
        <f>HYPERLINK("https://klasma.github.io/Logging_2409/fåglar/A 5284-2026 prioriterade fågelarter.docx", "A 5284-2026")</f>
        <v/>
      </c>
    </row>
    <row r="48" ht="15" customHeight="1">
      <c r="A48" t="inlineStr">
        <is>
          <t>A 34007-2025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45844</v>
      </c>
      <c r="E48" s="1" t="n">
        <v>46280</v>
      </c>
      <c r="F48" t="inlineStr">
        <is>
          <t>VÄSTERBOTTENS LÄN</t>
        </is>
      </c>
      <c r="G48" t="inlineStr">
        <is>
          <t>ROBERTSFORS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Harticka</t>
        </is>
      </c>
      <c r="W48">
        <f>HYPERLINK("https://klasma.github.io/Logging_2409/artfynd/A 34007-2025 artfynd.xlsx", "A 34007-2025")</f>
        <v/>
      </c>
      <c r="X48">
        <f>HYPERLINK("https://klasma.github.io/Logging_2409/kartor/A 34007-2025 karta.png", "A 34007-2025")</f>
        <v/>
      </c>
      <c r="Y48">
        <f>HYPERLINK("https://klasma.github.io/Logging_2409/kartor_geotiff/A 34007-2025 georefererad karta.tif", "A 34007-2025")</f>
        <v/>
      </c>
      <c r="AA48">
        <f>HYPERLINK("https://klasma.github.io/Logging_2409/klagomål/A 34007-2025 FSC-klagomål.docx", "A 34007-2025")</f>
        <v/>
      </c>
      <c r="AB48">
        <f>HYPERLINK("https://klasma.github.io/Logging_2409/klagomålsmail/A 34007-2025 FSC-klagomål mail.docx", "A 34007-2025")</f>
        <v/>
      </c>
      <c r="AC48">
        <f>HYPERLINK("https://klasma.github.io/Logging_2409/tillsyn/A 34007-2025 tillsynsbegäran.docx", "A 34007-2025")</f>
        <v/>
      </c>
      <c r="AD48">
        <f>HYPERLINK("https://klasma.github.io/Logging_2409/tillsynsmail/A 34007-2025 tillsynsbegäran mail.docx", "A 34007-2025")</f>
        <v/>
      </c>
    </row>
    <row r="49" ht="15" customHeight="1">
      <c r="A49" t="inlineStr">
        <is>
          <t>A 36703-2023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45153</v>
      </c>
      <c r="E49" s="1" t="n">
        <v>46280</v>
      </c>
      <c r="F49" t="inlineStr">
        <is>
          <t>VÄSTERBOTTENS LÄN</t>
        </is>
      </c>
      <c r="G49" t="inlineStr">
        <is>
          <t>ROBERTSFORS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Tallkötticka</t>
        </is>
      </c>
      <c r="W49">
        <f>HYPERLINK("https://klasma.github.io/Logging_2409/artfynd/A 36703-2023 artfynd.xlsx", "A 36703-2023")</f>
        <v/>
      </c>
      <c r="X49">
        <f>HYPERLINK("https://klasma.github.io/Logging_2409/kartor/A 36703-2023 karta.png", "A 36703-2023")</f>
        <v/>
      </c>
      <c r="Y49">
        <f>HYPERLINK("https://klasma.github.io/Logging_2409/kartor_geotiff/A 36703-2023 georefererad karta.tif", "A 36703-2023")</f>
        <v/>
      </c>
      <c r="AA49">
        <f>HYPERLINK("https://klasma.github.io/Logging_2409/klagomål/A 36703-2023 FSC-klagomål.docx", "A 36703-2023")</f>
        <v/>
      </c>
      <c r="AB49">
        <f>HYPERLINK("https://klasma.github.io/Logging_2409/klagomålsmail/A 36703-2023 FSC-klagomål mail.docx", "A 36703-2023")</f>
        <v/>
      </c>
      <c r="AC49">
        <f>HYPERLINK("https://klasma.github.io/Logging_2409/tillsyn/A 36703-2023 tillsynsbegäran.docx", "A 36703-2023")</f>
        <v/>
      </c>
      <c r="AD49">
        <f>HYPERLINK("https://klasma.github.io/Logging_2409/tillsynsmail/A 36703-2023 tillsynsbegäran mail.docx", "A 36703-2023")</f>
        <v/>
      </c>
    </row>
    <row r="50" ht="15" customHeight="1">
      <c r="A50" t="inlineStr">
        <is>
          <t>A 54484-2023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46280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Sveaskog</t>
        </is>
      </c>
      <c r="I50" t="n">
        <v>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1</v>
      </c>
      <c r="V50" s="2" t="inlineStr">
        <is>
          <t>Dropptaggsvamp</t>
        </is>
      </c>
      <c r="W50">
        <f>HYPERLINK("https://klasma.github.io/Logging_2409/artfynd/A 54484-2023 artfynd.xlsx", "A 54484-2023")</f>
        <v/>
      </c>
      <c r="X50">
        <f>HYPERLINK("https://klasma.github.io/Logging_2409/kartor/A 54484-2023 karta.png", "A 54484-2023")</f>
        <v/>
      </c>
      <c r="Y50">
        <f>HYPERLINK("https://klasma.github.io/Logging_2409/kartor_geotiff/A 54484-2023 georefererad karta.tif", "A 54484-2023")</f>
        <v/>
      </c>
      <c r="AA50">
        <f>HYPERLINK("https://klasma.github.io/Logging_2409/klagomål/A 54484-2023 FSC-klagomål.docx", "A 54484-2023")</f>
        <v/>
      </c>
      <c r="AB50">
        <f>HYPERLINK("https://klasma.github.io/Logging_2409/klagomålsmail/A 54484-2023 FSC-klagomål mail.docx", "A 54484-2023")</f>
        <v/>
      </c>
      <c r="AC50">
        <f>HYPERLINK("https://klasma.github.io/Logging_2409/tillsyn/A 54484-2023 tillsynsbegäran.docx", "A 54484-2023")</f>
        <v/>
      </c>
      <c r="AD50">
        <f>HYPERLINK("https://klasma.github.io/Logging_2409/tillsynsmail/A 54484-2023 tillsynsbegäran mail.docx", "A 54484-2023")</f>
        <v/>
      </c>
    </row>
    <row r="51" ht="15" customHeight="1">
      <c r="A51" t="inlineStr">
        <is>
          <t>A 57284-2023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45245</v>
      </c>
      <c r="E51" s="1" t="n">
        <v>46280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HYPERLINK("https://klasma.github.io/Logging_2409/artfynd/A 57284-2023 artfynd.xlsx", "A 57284-2023")</f>
        <v/>
      </c>
      <c r="X51">
        <f>HYPERLINK("https://klasma.github.io/Logging_2409/kartor/A 57284-2023 karta.png", "A 57284-2023")</f>
        <v/>
      </c>
      <c r="Y51">
        <f>HYPERLINK("https://klasma.github.io/Logging_2409/kartor_geotiff/A 57284-2023 georefererad karta.tif", "A 57284-2023")</f>
        <v/>
      </c>
      <c r="AA51">
        <f>HYPERLINK("https://klasma.github.io/Logging_2409/klagomål/A 57284-2023 FSC-klagomål.docx", "A 57284-2023")</f>
        <v/>
      </c>
      <c r="AB51">
        <f>HYPERLINK("https://klasma.github.io/Logging_2409/klagomålsmail/A 57284-2023 FSC-klagomål mail.docx", "A 57284-2023")</f>
        <v/>
      </c>
      <c r="AC51">
        <f>HYPERLINK("https://klasma.github.io/Logging_2409/tillsyn/A 57284-2023 tillsynsbegäran.docx", "A 57284-2023")</f>
        <v/>
      </c>
      <c r="AD51">
        <f>HYPERLINK("https://klasma.github.io/Logging_2409/tillsynsmail/A 57284-2023 tillsynsbegäran mail.docx", "A 57284-2023")</f>
        <v/>
      </c>
    </row>
    <row r="52" ht="15" customHeight="1">
      <c r="A52" t="inlineStr">
        <is>
          <t>A 35551-2025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45856</v>
      </c>
      <c r="E52" s="1" t="n">
        <v>46280</v>
      </c>
      <c r="F52" t="inlineStr">
        <is>
          <t>VÄSTERBOTTENS LÄN</t>
        </is>
      </c>
      <c r="G52" t="inlineStr">
        <is>
          <t>ROBERTSFORS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HYPERLINK("https://klasma.github.io/Logging_2409/artfynd/A 35551-2025 artfynd.xlsx", "A 35551-2025")</f>
        <v/>
      </c>
      <c r="X52">
        <f>HYPERLINK("https://klasma.github.io/Logging_2409/kartor/A 35551-2025 karta.png", "A 35551-2025")</f>
        <v/>
      </c>
      <c r="Y52">
        <f>HYPERLINK("https://klasma.github.io/Logging_2409/kartor_geotiff/A 35551-2025 georefererad karta.tif", "A 35551-2025")</f>
        <v/>
      </c>
      <c r="AA52">
        <f>HYPERLINK("https://klasma.github.io/Logging_2409/klagomål/A 35551-2025 FSC-klagomål.docx", "A 35551-2025")</f>
        <v/>
      </c>
      <c r="AB52">
        <f>HYPERLINK("https://klasma.github.io/Logging_2409/klagomålsmail/A 35551-2025 FSC-klagomål mail.docx", "A 35551-2025")</f>
        <v/>
      </c>
      <c r="AC52">
        <f>HYPERLINK("https://klasma.github.io/Logging_2409/tillsyn/A 35551-2025 tillsynsbegäran.docx", "A 35551-2025")</f>
        <v/>
      </c>
      <c r="AD52">
        <f>HYPERLINK("https://klasma.github.io/Logging_2409/tillsynsmail/A 35551-2025 tillsynsbegäran mail.docx", "A 35551-2025")</f>
        <v/>
      </c>
      <c r="AE52">
        <f>HYPERLINK("https://klasma.github.io/Logging_2409/fåglar/A 35551-2025 prioriterade fågelarter.docx", "A 35551-2025")</f>
        <v/>
      </c>
    </row>
    <row r="53" ht="15" customHeight="1">
      <c r="A53" t="inlineStr">
        <is>
          <t>A 32023-2024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46280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1.8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HYPERLINK("https://klasma.github.io/Logging_2409/artfynd/A 32023-2024 artfynd.xlsx", "A 32023-2024")</f>
        <v/>
      </c>
      <c r="X53">
        <f>HYPERLINK("https://klasma.github.io/Logging_2409/kartor/A 32023-2024 karta.png", "A 32023-2024")</f>
        <v/>
      </c>
      <c r="Y53">
        <f>HYPERLINK("https://klasma.github.io/Logging_2409/kartor_geotiff/A 32023-2024 georefererad karta.tif", "A 32023-2024")</f>
        <v/>
      </c>
      <c r="AA53">
        <f>HYPERLINK("https://klasma.github.io/Logging_2409/klagomål/A 32023-2024 FSC-klagomål.docx", "A 32023-2024")</f>
        <v/>
      </c>
      <c r="AB53">
        <f>HYPERLINK("https://klasma.github.io/Logging_2409/klagomålsmail/A 32023-2024 FSC-klagomål mail.docx", "A 32023-2024")</f>
        <v/>
      </c>
      <c r="AC53">
        <f>HYPERLINK("https://klasma.github.io/Logging_2409/tillsyn/A 32023-2024 tillsynsbegäran.docx", "A 32023-2024")</f>
        <v/>
      </c>
      <c r="AD53">
        <f>HYPERLINK("https://klasma.github.io/Logging_2409/tillsynsmail/A 32023-2024 tillsynsbegäran mail.docx", "A 32023-2024")</f>
        <v/>
      </c>
    </row>
    <row r="54" ht="15" customHeight="1">
      <c r="A54" t="inlineStr">
        <is>
          <t>A 40600-2022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44823</v>
      </c>
      <c r="E54" s="1" t="n">
        <v>46280</v>
      </c>
      <c r="F54" t="inlineStr">
        <is>
          <t>VÄSTERBOTTENS LÄN</t>
        </is>
      </c>
      <c r="G54" t="inlineStr">
        <is>
          <t>ROBERTSFORS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Fiskgjuse</t>
        </is>
      </c>
      <c r="W54">
        <f>HYPERLINK("https://klasma.github.io/Logging_2409/artfynd/A 40600-2022 artfynd.xlsx", "A 40600-2022")</f>
        <v/>
      </c>
      <c r="X54">
        <f>HYPERLINK("https://klasma.github.io/Logging_2409/kartor/A 40600-2022 karta.png", "A 40600-2022")</f>
        <v/>
      </c>
      <c r="Y54">
        <f>HYPERLINK("https://klasma.github.io/Logging_2409/kartor_geotiff/A 40600-2022 georefererad karta.tif", "A 40600-2022")</f>
        <v/>
      </c>
      <c r="AA54">
        <f>HYPERLINK("https://klasma.github.io/Logging_2409/klagomål/A 40600-2022 FSC-klagomål.docx", "A 40600-2022")</f>
        <v/>
      </c>
      <c r="AB54">
        <f>HYPERLINK("https://klasma.github.io/Logging_2409/klagomålsmail/A 40600-2022 FSC-klagomål mail.docx", "A 40600-2022")</f>
        <v/>
      </c>
      <c r="AC54">
        <f>HYPERLINK("https://klasma.github.io/Logging_2409/tillsyn/A 40600-2022 tillsynsbegäran.docx", "A 40600-2022")</f>
        <v/>
      </c>
      <c r="AD54">
        <f>HYPERLINK("https://klasma.github.io/Logging_2409/tillsynsmail/A 40600-2022 tillsynsbegäran mail.docx", "A 40600-2022")</f>
        <v/>
      </c>
      <c r="AE54">
        <f>HYPERLINK("https://klasma.github.io/Logging_2409/fåglar/A 40600-2022 prioriterade fågelarter.docx", "A 40600-2022")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46280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10145-2025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45719</v>
      </c>
      <c r="E56" s="1" t="n">
        <v>46280</v>
      </c>
      <c r="F56" t="inlineStr">
        <is>
          <t>VÄSTERBOTTENS LÄN</t>
        </is>
      </c>
      <c r="G56" t="inlineStr">
        <is>
          <t>ROBERTSFORS</t>
        </is>
      </c>
      <c r="I56" t="n">
        <v>5.3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HYPERLINK("https://klasma.github.io/Logging_2409/artfynd/A 10145-2025 artfynd.xlsx", "A 10145-2025")</f>
        <v/>
      </c>
      <c r="X56">
        <f>HYPERLINK("https://klasma.github.io/Logging_2409/kartor/A 10145-2025 karta.png", "A 10145-2025")</f>
        <v/>
      </c>
      <c r="Y56">
        <f>HYPERLINK("https://klasma.github.io/Logging_2409/kartor_geotiff/A 10145-2025 georefererad karta.tif", "A 10145-2025")</f>
        <v/>
      </c>
      <c r="AA56">
        <f>HYPERLINK("https://klasma.github.io/Logging_2409/klagomål/A 10145-2025 FSC-klagomål.docx", "A 10145-2025")</f>
        <v/>
      </c>
      <c r="AB56">
        <f>HYPERLINK("https://klasma.github.io/Logging_2409/klagomålsmail/A 10145-2025 FSC-klagomål mail.docx", "A 10145-2025")</f>
        <v/>
      </c>
      <c r="AC56">
        <f>HYPERLINK("https://klasma.github.io/Logging_2409/tillsyn/A 10145-2025 tillsynsbegäran.docx", "A 10145-2025")</f>
        <v/>
      </c>
      <c r="AD56">
        <f>HYPERLINK("https://klasma.github.io/Logging_2409/tillsynsmail/A 10145-2025 tillsynsbegäran mail.docx", "A 10145-2025")</f>
        <v/>
      </c>
    </row>
    <row r="57" ht="15" customHeight="1">
      <c r="A57" t="inlineStr">
        <is>
          <t>A 35497-2023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45146</v>
      </c>
      <c r="E57" s="1" t="n">
        <v>46280</v>
      </c>
      <c r="F57" t="inlineStr">
        <is>
          <t>VÄSTERBOTTENS LÄN</t>
        </is>
      </c>
      <c r="G57" t="inlineStr">
        <is>
          <t>ROBERTSFORS</t>
        </is>
      </c>
      <c r="I57" t="n">
        <v>0.2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35497-2023 artfynd.xlsx", "A 35497-2023")</f>
        <v/>
      </c>
      <c r="X57">
        <f>HYPERLINK("https://klasma.github.io/Logging_2409/kartor/A 35497-2023 karta.png", "A 35497-2023")</f>
        <v/>
      </c>
      <c r="Y57">
        <f>HYPERLINK("https://klasma.github.io/Logging_2409/kartor_geotiff/A 35497-2023 georefererad karta.tif", "A 35497-2023")</f>
        <v/>
      </c>
      <c r="AA57">
        <f>HYPERLINK("https://klasma.github.io/Logging_2409/klagomål/A 35497-2023 FSC-klagomål.docx", "A 35497-2023")</f>
        <v/>
      </c>
      <c r="AB57">
        <f>HYPERLINK("https://klasma.github.io/Logging_2409/klagomålsmail/A 35497-2023 FSC-klagomål mail.docx", "A 35497-2023")</f>
        <v/>
      </c>
      <c r="AC57">
        <f>HYPERLINK("https://klasma.github.io/Logging_2409/tillsyn/A 35497-2023 tillsynsbegäran.docx", "A 35497-2023")</f>
        <v/>
      </c>
      <c r="AD57">
        <f>HYPERLINK("https://klasma.github.io/Logging_2409/tillsynsmail/A 35497-2023 tillsynsbegäran mail.docx", "A 35497-2023")</f>
        <v/>
      </c>
    </row>
    <row r="58" ht="15" customHeight="1">
      <c r="A58" t="inlineStr">
        <is>
          <t>A 32876-2023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45124</v>
      </c>
      <c r="E58" s="1" t="n">
        <v>46280</v>
      </c>
      <c r="F58" t="inlineStr">
        <is>
          <t>VÄSTERBOTTENS LÄN</t>
        </is>
      </c>
      <c r="G58" t="inlineStr">
        <is>
          <t>ROBERTSFORS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HYPERLINK("https://klasma.github.io/Logging_2409/artfynd/A 32876-2023 artfynd.xlsx", "A 32876-2023")</f>
        <v/>
      </c>
      <c r="X58">
        <f>HYPERLINK("https://klasma.github.io/Logging_2409/kartor/A 32876-2023 karta.png", "A 32876-2023")</f>
        <v/>
      </c>
      <c r="Y58">
        <f>HYPERLINK("https://klasma.github.io/Logging_2409/kartor_geotiff/A 32876-2023 georefererad karta.tif", "A 32876-2023")</f>
        <v/>
      </c>
      <c r="AA58">
        <f>HYPERLINK("https://klasma.github.io/Logging_2409/klagomål/A 32876-2023 FSC-klagomål.docx", "A 32876-2023")</f>
        <v/>
      </c>
      <c r="AB58">
        <f>HYPERLINK("https://klasma.github.io/Logging_2409/klagomålsmail/A 32876-2023 FSC-klagomål mail.docx", "A 32876-2023")</f>
        <v/>
      </c>
      <c r="AC58">
        <f>HYPERLINK("https://klasma.github.io/Logging_2409/tillsyn/A 32876-2023 tillsynsbegäran.docx", "A 32876-2023")</f>
        <v/>
      </c>
      <c r="AD58">
        <f>HYPERLINK("https://klasma.github.io/Logging_2409/tillsynsmail/A 32876-2023 tillsynsbegäran mail.docx", "A 32876-2023")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46280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28224-2026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46196</v>
      </c>
      <c r="E60" s="1" t="n">
        <v>46280</v>
      </c>
      <c r="F60" t="inlineStr">
        <is>
          <t>VÄSTERBOTTENS LÄN</t>
        </is>
      </c>
      <c r="G60" t="inlineStr">
        <is>
          <t>ROBERTSFORS</t>
        </is>
      </c>
      <c r="I60" t="n">
        <v>9.800000000000001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6</v>
      </c>
      <c r="U60" t="n">
        <v>0</v>
      </c>
      <c r="V60" s="2" t="inlineStr">
        <is>
          <t>Garnlav</t>
        </is>
      </c>
      <c r="W60">
        <f>HYPERLINK("https://klasma.github.io/Logging_2409/artfynd/A 28224-2026 artfynd.xlsx", "A 28224-2026")</f>
        <v/>
      </c>
      <c r="X60">
        <f>HYPERLINK("https://klasma.github.io/Logging_2409/kartor/A 28224-2026 karta.png", "A 28224-2026")</f>
        <v/>
      </c>
      <c r="Y60">
        <f>HYPERLINK("https://klasma.github.io/Logging_2409/kartor_geotiff/A 28224-2026 georefererad karta.tif", "A 28224-2026")</f>
        <v/>
      </c>
      <c r="AA60">
        <f>HYPERLINK("https://klasma.github.io/Logging_2409/klagomål/A 28224-2026 FSC-klagomål.docx", "A 28224-2026")</f>
        <v/>
      </c>
      <c r="AB60">
        <f>HYPERLINK("https://klasma.github.io/Logging_2409/klagomålsmail/A 28224-2026 FSC-klagomål mail.docx", "A 28224-2026")</f>
        <v/>
      </c>
      <c r="AC60">
        <f>HYPERLINK("https://klasma.github.io/Logging_2409/tillsyn/A 28224-2026 tillsynsbegäran.docx", "A 28224-2026")</f>
        <v/>
      </c>
      <c r="AD60">
        <f>HYPERLINK("https://klasma.github.io/Logging_2409/tillsynsmail/A 28224-2026 tillsynsbegäran mail.docx", "A 28224-2026")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46280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46280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36504-2026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46269</v>
      </c>
      <c r="E63" s="1" t="n">
        <v>46280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8.800000000000001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Blanksvart spiklav</t>
        </is>
      </c>
      <c r="W63">
        <f>HYPERLINK("https://klasma.github.io/Logging_2409/artfynd/A 36504-2026 artfynd.xlsx", "A 36504-2026")</f>
        <v/>
      </c>
      <c r="X63">
        <f>HYPERLINK("https://klasma.github.io/Logging_2409/kartor/A 36504-2026 karta.png", "A 36504-2026")</f>
        <v/>
      </c>
      <c r="Y63">
        <f>HYPERLINK("https://klasma.github.io/Logging_2409/kartor_geotiff/A 36504-2026 georefererad karta.tif", "A 36504-2026")</f>
        <v/>
      </c>
      <c r="AA63">
        <f>HYPERLINK("https://klasma.github.io/Logging_2409/klagomål/A 36504-2026 FSC-klagomål.docx", "A 36504-2026")</f>
        <v/>
      </c>
      <c r="AB63">
        <f>HYPERLINK("https://klasma.github.io/Logging_2409/klagomålsmail/A 36504-2026 FSC-klagomål mail.docx", "A 36504-2026")</f>
        <v/>
      </c>
      <c r="AC63">
        <f>HYPERLINK("https://klasma.github.io/Logging_2409/tillsyn/A 36504-2026 tillsynsbegäran.docx", "A 36504-2026")</f>
        <v/>
      </c>
      <c r="AD63">
        <f>HYPERLINK("https://klasma.github.io/Logging_2409/tillsynsmail/A 36504-2026 tillsynsbegäran mail.docx", "A 36504-2026")</f>
        <v/>
      </c>
    </row>
    <row r="64" ht="15" customHeight="1">
      <c r="A64" t="inlineStr">
        <is>
          <t>A 38777-2023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45163</v>
      </c>
      <c r="E64" s="1" t="n">
        <v>46280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5.9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Talltita</t>
        </is>
      </c>
      <c r="W64">
        <f>HYPERLINK("https://klasma.github.io/Logging_2409/artfynd/A 38777-2023 artfynd.xlsx", "A 38777-2023")</f>
        <v/>
      </c>
      <c r="X64">
        <f>HYPERLINK("https://klasma.github.io/Logging_2409/kartor/A 38777-2023 karta.png", "A 38777-2023")</f>
        <v/>
      </c>
      <c r="Y64">
        <f>HYPERLINK("https://klasma.github.io/Logging_2409/kartor_geotiff/A 38777-2023 georefererad karta.tif", "A 38777-2023")</f>
        <v/>
      </c>
      <c r="AA64">
        <f>HYPERLINK("https://klasma.github.io/Logging_2409/klagomål/A 38777-2023 FSC-klagomål.docx", "A 38777-2023")</f>
        <v/>
      </c>
      <c r="AB64">
        <f>HYPERLINK("https://klasma.github.io/Logging_2409/klagomålsmail/A 38777-2023 FSC-klagomål mail.docx", "A 38777-2023")</f>
        <v/>
      </c>
      <c r="AC64">
        <f>HYPERLINK("https://klasma.github.io/Logging_2409/tillsyn/A 38777-2023 tillsynsbegäran.docx", "A 38777-2023")</f>
        <v/>
      </c>
      <c r="AD64">
        <f>HYPERLINK("https://klasma.github.io/Logging_2409/tillsynsmail/A 38777-2023 tillsynsbegäran mail.docx", "A 38777-2023")</f>
        <v/>
      </c>
      <c r="AE64">
        <f>HYPERLINK("https://klasma.github.io/Logging_2409/fåglar/A 38777-2023 prioriterade fågelarter.docx", "A 38777-2023")</f>
        <v/>
      </c>
    </row>
    <row r="65" ht="15" customHeight="1">
      <c r="A65" t="inlineStr">
        <is>
          <t>A 57653-2024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45630</v>
      </c>
      <c r="E65" s="1" t="n">
        <v>46280</v>
      </c>
      <c r="F65" t="inlineStr">
        <is>
          <t>VÄSTERBOTTENS LÄN</t>
        </is>
      </c>
      <c r="G65" t="inlineStr">
        <is>
          <t>ROBERTSFORS</t>
        </is>
      </c>
      <c r="I65" t="n">
        <v>6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Blå kärrhök</t>
        </is>
      </c>
      <c r="W65">
        <f>HYPERLINK("https://klasma.github.io/Logging_2409/artfynd/A 57653-2024 artfynd.xlsx", "A 57653-2024")</f>
        <v/>
      </c>
      <c r="X65">
        <f>HYPERLINK("https://klasma.github.io/Logging_2409/kartor/A 57653-2024 karta.png", "A 57653-2024")</f>
        <v/>
      </c>
      <c r="Y65">
        <f>HYPERLINK("https://klasma.github.io/Logging_2409/kartor_geotiff/A 57653-2024 georefererad karta.tif", "A 57653-2024")</f>
        <v/>
      </c>
      <c r="AA65">
        <f>HYPERLINK("https://klasma.github.io/Logging_2409/klagomål/A 57653-2024 FSC-klagomål.docx", "A 57653-2024")</f>
        <v/>
      </c>
      <c r="AB65">
        <f>HYPERLINK("https://klasma.github.io/Logging_2409/klagomålsmail/A 57653-2024 FSC-klagomål mail.docx", "A 57653-2024")</f>
        <v/>
      </c>
      <c r="AC65">
        <f>HYPERLINK("https://klasma.github.io/Logging_2409/tillsyn/A 57653-2024 tillsynsbegäran.docx", "A 57653-2024")</f>
        <v/>
      </c>
      <c r="AD65">
        <f>HYPERLINK("https://klasma.github.io/Logging_2409/tillsynsmail/A 57653-2024 tillsynsbegäran mail.docx", "A 57653-2024")</f>
        <v/>
      </c>
      <c r="AE65">
        <f>HYPERLINK("https://klasma.github.io/Logging_2409/fåglar/A 57653-2024 prioriterade fågelarter.docx", "A 57653-2024")</f>
        <v/>
      </c>
    </row>
    <row r="66" ht="15" customHeight="1">
      <c r="A66" t="inlineStr">
        <is>
          <t>A 57270-2023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45245</v>
      </c>
      <c r="E66" s="1" t="n">
        <v>46280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HYPERLINK("https://klasma.github.io/Logging_2409/artfynd/A 57270-2023 artfynd.xlsx", "A 57270-2023")</f>
        <v/>
      </c>
      <c r="X66">
        <f>HYPERLINK("https://klasma.github.io/Logging_2409/kartor/A 57270-2023 karta.png", "A 57270-2023")</f>
        <v/>
      </c>
      <c r="Y66">
        <f>HYPERLINK("https://klasma.github.io/Logging_2409/kartor_geotiff/A 57270-2023 georefererad karta.tif", "A 57270-2023")</f>
        <v/>
      </c>
      <c r="AA66">
        <f>HYPERLINK("https://klasma.github.io/Logging_2409/klagomål/A 57270-2023 FSC-klagomål.docx", "A 57270-2023")</f>
        <v/>
      </c>
      <c r="AB66">
        <f>HYPERLINK("https://klasma.github.io/Logging_2409/klagomålsmail/A 57270-2023 FSC-klagomål mail.docx", "A 57270-2023")</f>
        <v/>
      </c>
      <c r="AC66">
        <f>HYPERLINK("https://klasma.github.io/Logging_2409/tillsyn/A 57270-2023 tillsynsbegäran.docx", "A 57270-2023")</f>
        <v/>
      </c>
      <c r="AD66">
        <f>HYPERLINK("https://klasma.github.io/Logging_2409/tillsynsmail/A 57270-2023 tillsynsbegäran mail.docx", "A 57270-2023")</f>
        <v/>
      </c>
    </row>
    <row r="67" ht="15" customHeight="1">
      <c r="A67" t="inlineStr">
        <is>
          <t>A 5969-2025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45695</v>
      </c>
      <c r="E67" s="1" t="n">
        <v>46280</v>
      </c>
      <c r="F67" t="inlineStr">
        <is>
          <t>VÄSTERBOTTENS LÄN</t>
        </is>
      </c>
      <c r="G67" t="inlineStr">
        <is>
          <t>ROBERTSFORS</t>
        </is>
      </c>
      <c r="I67" t="n">
        <v>18.1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Tretåig hackspett</t>
        </is>
      </c>
      <c r="W67">
        <f>HYPERLINK("https://klasma.github.io/Logging_2409/artfynd/A 5969-2025 artfynd.xlsx", "A 5969-2025")</f>
        <v/>
      </c>
      <c r="X67">
        <f>HYPERLINK("https://klasma.github.io/Logging_2409/kartor/A 5969-2025 karta.png", "A 5969-2025")</f>
        <v/>
      </c>
      <c r="Y67">
        <f>HYPERLINK("https://klasma.github.io/Logging_2409/kartor_geotiff/A 5969-2025 georefererad karta.tif", "A 5969-2025")</f>
        <v/>
      </c>
      <c r="AA67">
        <f>HYPERLINK("https://klasma.github.io/Logging_2409/klagomål/A 5969-2025 FSC-klagomål.docx", "A 5969-2025")</f>
        <v/>
      </c>
      <c r="AB67">
        <f>HYPERLINK("https://klasma.github.io/Logging_2409/klagomålsmail/A 5969-2025 FSC-klagomål mail.docx", "A 5969-2025")</f>
        <v/>
      </c>
      <c r="AC67">
        <f>HYPERLINK("https://klasma.github.io/Logging_2409/tillsyn/A 5969-2025 tillsynsbegäran.docx", "A 5969-2025")</f>
        <v/>
      </c>
      <c r="AD67">
        <f>HYPERLINK("https://klasma.github.io/Logging_2409/tillsynsmail/A 5969-2025 tillsynsbegäran mail.docx", "A 5969-2025")</f>
        <v/>
      </c>
      <c r="AE67">
        <f>HYPERLINK("https://klasma.github.io/Logging_2409/fåglar/A 5969-2025 prioriterade fågelarter.docx", "A 5969-2025")</f>
        <v/>
      </c>
    </row>
    <row r="68" ht="15" customHeight="1">
      <c r="A68" t="inlineStr">
        <is>
          <t>A 8753-2025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45712</v>
      </c>
      <c r="E68" s="1" t="n">
        <v>46280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Kommuner</t>
        </is>
      </c>
      <c r="I68" t="n">
        <v>8.1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Nattviol</t>
        </is>
      </c>
      <c r="W68">
        <f>HYPERLINK("https://klasma.github.io/Logging_2409/artfynd/A 8753-2025 artfynd.xlsx", "A 8753-2025")</f>
        <v/>
      </c>
      <c r="X68">
        <f>HYPERLINK("https://klasma.github.io/Logging_2409/kartor/A 8753-2025 karta.png", "A 8753-2025")</f>
        <v/>
      </c>
      <c r="Y68">
        <f>HYPERLINK("https://klasma.github.io/Logging_2409/kartor_geotiff/A 8753-2025 georefererad karta.tif", "A 8753-2025")</f>
        <v/>
      </c>
      <c r="AA68">
        <f>HYPERLINK("https://klasma.github.io/Logging_2409/klagomål/A 8753-2025 FSC-klagomål.docx", "A 8753-2025")</f>
        <v/>
      </c>
      <c r="AB68">
        <f>HYPERLINK("https://klasma.github.io/Logging_2409/klagomålsmail/A 8753-2025 FSC-klagomål mail.docx", "A 8753-2025")</f>
        <v/>
      </c>
      <c r="AC68">
        <f>HYPERLINK("https://klasma.github.io/Logging_2409/tillsyn/A 8753-2025 tillsynsbegäran.docx", "A 8753-2025")</f>
        <v/>
      </c>
      <c r="AD68">
        <f>HYPERLINK("https://klasma.github.io/Logging_2409/tillsynsmail/A 8753-2025 tillsynsbegäran mail.docx", "A 8753-2025")</f>
        <v/>
      </c>
    </row>
    <row r="69" ht="15" customHeight="1">
      <c r="A69" t="inlineStr">
        <is>
          <t>A 41767-2023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45176</v>
      </c>
      <c r="E69" s="1" t="n">
        <v>46280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Holmen skog AB</t>
        </is>
      </c>
      <c r="I69" t="n">
        <v>0.8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Nordfladdermus</t>
        </is>
      </c>
      <c r="W69">
        <f>HYPERLINK("https://klasma.github.io/Logging_2409/artfynd/A 41767-2023 artfynd.xlsx", "A 41767-2023")</f>
        <v/>
      </c>
      <c r="X69">
        <f>HYPERLINK("https://klasma.github.io/Logging_2409/kartor/A 41767-2023 karta.png", "A 41767-2023")</f>
        <v/>
      </c>
      <c r="Y69">
        <f>HYPERLINK("https://klasma.github.io/Logging_2409/kartor_geotiff/A 41767-2023 georefererad karta.tif", "A 41767-2023")</f>
        <v/>
      </c>
      <c r="AA69">
        <f>HYPERLINK("https://klasma.github.io/Logging_2409/klagomål/A 41767-2023 FSC-klagomål.docx", "A 41767-2023")</f>
        <v/>
      </c>
      <c r="AB69">
        <f>HYPERLINK("https://klasma.github.io/Logging_2409/klagomålsmail/A 41767-2023 FSC-klagomål mail.docx", "A 41767-2023")</f>
        <v/>
      </c>
      <c r="AC69">
        <f>HYPERLINK("https://klasma.github.io/Logging_2409/tillsyn/A 41767-2023 tillsynsbegäran.docx", "A 41767-2023")</f>
        <v/>
      </c>
      <c r="AD69">
        <f>HYPERLINK("https://klasma.github.io/Logging_2409/tillsynsmail/A 41767-2023 tillsynsbegäran mail.docx", "A 41767-2023")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46280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46280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46280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46280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46280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46280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46280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46280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46280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46280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46280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46280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46280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46280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46280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46280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46280</v>
      </c>
      <c r="F86" t="inlineStr">
        <is>
          <t>VÄSTERBOTTENS LÄN</t>
        </is>
      </c>
      <c r="G86" t="inlineStr">
        <is>
          <t>ROBERTSFORS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46280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46280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46280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46280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46280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26231-2022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44735</v>
      </c>
      <c r="E92" s="1" t="n">
        <v>46280</v>
      </c>
      <c r="F92" t="inlineStr">
        <is>
          <t>VÄSTERBOTTENS LÄN</t>
        </is>
      </c>
      <c r="G92" t="inlineStr">
        <is>
          <t>ROBERTSFORS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46280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48024-2022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44855</v>
      </c>
      <c r="E94" s="1" t="n">
        <v>46280</v>
      </c>
      <c r="F94" t="inlineStr">
        <is>
          <t>VÄSTERBOTTENS LÄN</t>
        </is>
      </c>
      <c r="G94" t="inlineStr">
        <is>
          <t>ROBERTSFORS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46280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66503-2021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46280</v>
      </c>
      <c r="F96" t="inlineStr">
        <is>
          <t>VÄSTERBOTTENS LÄN</t>
        </is>
      </c>
      <c r="G96" t="inlineStr">
        <is>
          <t>ROBERTSFORS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2604-2022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44571</v>
      </c>
      <c r="E97" s="1" t="n">
        <v>46280</v>
      </c>
      <c r="F97" t="inlineStr">
        <is>
          <t>VÄSTERBOTTENS LÄN</t>
        </is>
      </c>
      <c r="G97" t="inlineStr">
        <is>
          <t>ROBERTSFORS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46280</v>
      </c>
      <c r="F98" t="inlineStr">
        <is>
          <t>VÄSTERBOTTENS LÄN</t>
        </is>
      </c>
      <c r="G98" t="inlineStr">
        <is>
          <t>ROBERTSFORS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69805-2021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46280</v>
      </c>
      <c r="F99" t="inlineStr">
        <is>
          <t>VÄSTERBOTTENS LÄN</t>
        </is>
      </c>
      <c r="G99" t="inlineStr">
        <is>
          <t>ROBERTSFORS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44844</v>
      </c>
      <c r="E100" s="1" t="n">
        <v>46280</v>
      </c>
      <c r="F100" t="inlineStr">
        <is>
          <t>VÄSTERBOTTENS LÄN</t>
        </is>
      </c>
      <c r="G100" t="inlineStr">
        <is>
          <t>ROBERTSFORS</t>
        </is>
      </c>
      <c r="H100" t="inlineStr">
        <is>
          <t>Holmen skog AB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44482</v>
      </c>
      <c r="E101" s="1" t="n">
        <v>46280</v>
      </c>
      <c r="F101" t="inlineStr">
        <is>
          <t>VÄSTERBOTTENS LÄN</t>
        </is>
      </c>
      <c r="G101" t="inlineStr">
        <is>
          <t>ROBERTSFORS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44612</v>
      </c>
      <c r="E102" s="1" t="n">
        <v>46280</v>
      </c>
      <c r="F102" t="inlineStr">
        <is>
          <t>VÄSTERBOTTENS LÄN</t>
        </is>
      </c>
      <c r="G102" t="inlineStr">
        <is>
          <t>ROBERTSFORS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44612</v>
      </c>
      <c r="E103" s="1" t="n">
        <v>46280</v>
      </c>
      <c r="F103" t="inlineStr">
        <is>
          <t>VÄSTERBOTTENS LÄN</t>
        </is>
      </c>
      <c r="G103" t="inlineStr">
        <is>
          <t>ROBERTSFORS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46280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44729</v>
      </c>
      <c r="E105" s="1" t="n">
        <v>46280</v>
      </c>
      <c r="F105" t="inlineStr">
        <is>
          <t>VÄSTERBOTTENS LÄN</t>
        </is>
      </c>
      <c r="G105" t="inlineStr">
        <is>
          <t>ROBERTSFORS</t>
        </is>
      </c>
      <c r="I105" t="n">
        <v>9.1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44819</v>
      </c>
      <c r="E106" s="1" t="n">
        <v>46280</v>
      </c>
      <c r="F106" t="inlineStr">
        <is>
          <t>VÄSTERBOTTENS LÄN</t>
        </is>
      </c>
      <c r="G106" t="inlineStr">
        <is>
          <t>ROBERTSFORS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46280</v>
      </c>
      <c r="F107" t="inlineStr">
        <is>
          <t>VÄSTERBOTTENS LÄN</t>
        </is>
      </c>
      <c r="G107" t="inlineStr">
        <is>
          <t>ROBERTSFORS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19962-2022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44697</v>
      </c>
      <c r="E108" s="1" t="n">
        <v>46280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46280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46280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44841</v>
      </c>
      <c r="E111" s="1" t="n">
        <v>46280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44824</v>
      </c>
      <c r="E112" s="1" t="n">
        <v>46280</v>
      </c>
      <c r="F112" t="inlineStr">
        <is>
          <t>VÄSTERBOTTENS LÄN</t>
        </is>
      </c>
      <c r="G112" t="inlineStr">
        <is>
          <t>ROBERTSFORS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55484-2021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46280</v>
      </c>
      <c r="F113" t="inlineStr">
        <is>
          <t>VÄSTERBOTTENS LÄN</t>
        </is>
      </c>
      <c r="G113" t="inlineStr">
        <is>
          <t>ROBERTSFORS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44580</v>
      </c>
      <c r="E114" s="1" t="n">
        <v>46280</v>
      </c>
      <c r="F114" t="inlineStr">
        <is>
          <t>VÄSTERBOTTENS LÄN</t>
        </is>
      </c>
      <c r="G114" t="inlineStr">
        <is>
          <t>ROBERTSFORS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46280</v>
      </c>
      <c r="F115" t="inlineStr">
        <is>
          <t>VÄSTERBOTTENS LÄN</t>
        </is>
      </c>
      <c r="G115" t="inlineStr">
        <is>
          <t>ROBERTSFORS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44641</v>
      </c>
      <c r="E116" s="1" t="n">
        <v>46280</v>
      </c>
      <c r="F116" t="inlineStr">
        <is>
          <t>VÄSTERBOTTENS LÄN</t>
        </is>
      </c>
      <c r="G116" t="inlineStr">
        <is>
          <t>ROBERTSFORS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46280</v>
      </c>
      <c r="F117" t="inlineStr">
        <is>
          <t>VÄSTERBOTTENS LÄN</t>
        </is>
      </c>
      <c r="G117" t="inlineStr">
        <is>
          <t>ROBERTSFORS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39283-2022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44817</v>
      </c>
      <c r="E118" s="1" t="n">
        <v>46280</v>
      </c>
      <c r="F118" t="inlineStr">
        <is>
          <t>VÄSTERBOTTENS LÄN</t>
        </is>
      </c>
      <c r="G118" t="inlineStr">
        <is>
          <t>ROBERTSFORS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46280</v>
      </c>
      <c r="F119" t="inlineStr">
        <is>
          <t>VÄSTERBOTTENS LÄN</t>
        </is>
      </c>
      <c r="G119" t="inlineStr">
        <is>
          <t>ROBERTSFORS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46280</v>
      </c>
      <c r="F120" t="inlineStr">
        <is>
          <t>VÄSTERBOTTENS LÄN</t>
        </is>
      </c>
      <c r="G120" t="inlineStr">
        <is>
          <t>ROBERTSFORS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46280</v>
      </c>
      <c r="F121" t="inlineStr">
        <is>
          <t>VÄSTERBOTTENS LÄN</t>
        </is>
      </c>
      <c r="G121" t="inlineStr">
        <is>
          <t>ROBERTSFORS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46280</v>
      </c>
      <c r="F122" t="inlineStr">
        <is>
          <t>VÄSTERBOTTENS LÄN</t>
        </is>
      </c>
      <c r="G122" t="inlineStr">
        <is>
          <t>ROBERTSFORS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44789</v>
      </c>
      <c r="E123" s="1" t="n">
        <v>46280</v>
      </c>
      <c r="F123" t="inlineStr">
        <is>
          <t>VÄSTERBOTTENS LÄN</t>
        </is>
      </c>
      <c r="G123" t="inlineStr">
        <is>
          <t>ROBERTSFORS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45246</v>
      </c>
      <c r="E124" s="1" t="n">
        <v>46280</v>
      </c>
      <c r="F124" t="inlineStr">
        <is>
          <t>VÄSTERBOTTENS LÄN</t>
        </is>
      </c>
      <c r="G124" t="inlineStr">
        <is>
          <t>ROBERTSFORS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46280</v>
      </c>
      <c r="F125" t="inlineStr">
        <is>
          <t>VÄSTERBOTTENS LÄN</t>
        </is>
      </c>
      <c r="G125" t="inlineStr">
        <is>
          <t>ROBERTSFORS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16995-2023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45033</v>
      </c>
      <c r="E126" s="1" t="n">
        <v>46280</v>
      </c>
      <c r="F126" t="inlineStr">
        <is>
          <t>VÄSTERBOTTENS LÄN</t>
        </is>
      </c>
      <c r="G126" t="inlineStr">
        <is>
          <t>ROBERTSFORS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45079</v>
      </c>
      <c r="E127" s="1" t="n">
        <v>46280</v>
      </c>
      <c r="F127" t="inlineStr">
        <is>
          <t>VÄSTERBOTTENS LÄN</t>
        </is>
      </c>
      <c r="G127" t="inlineStr">
        <is>
          <t>ROBERTSFORS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45625</v>
      </c>
      <c r="E128" s="1" t="n">
        <v>46280</v>
      </c>
      <c r="F128" t="inlineStr">
        <is>
          <t>VÄSTERBOTTENS LÄN</t>
        </is>
      </c>
      <c r="G128" t="inlineStr">
        <is>
          <t>ROBERTSFORS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46280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45537</v>
      </c>
      <c r="E130" s="1" t="n">
        <v>46280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46280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45048</v>
      </c>
      <c r="E132" s="1" t="n">
        <v>46280</v>
      </c>
      <c r="F132" t="inlineStr">
        <is>
          <t>VÄSTERBOTTENS LÄN</t>
        </is>
      </c>
      <c r="G132" t="inlineStr">
        <is>
          <t>ROBERTSFORS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45197</v>
      </c>
      <c r="E133" s="1" t="n">
        <v>46280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46280</v>
      </c>
      <c r="F134" t="inlineStr">
        <is>
          <t>VÄSTERBOTTENS LÄN</t>
        </is>
      </c>
      <c r="G134" t="inlineStr">
        <is>
          <t>ROBERTSFORS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45622</v>
      </c>
      <c r="E135" s="1" t="n">
        <v>46280</v>
      </c>
      <c r="F135" t="inlineStr">
        <is>
          <t>VÄSTERBOTTENS LÄN</t>
        </is>
      </c>
      <c r="G135" t="inlineStr">
        <is>
          <t>ROBERTSFORS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59549-2023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45253</v>
      </c>
      <c r="E136" s="1" t="n">
        <v>46280</v>
      </c>
      <c r="F136" t="inlineStr">
        <is>
          <t>VÄSTERBOTTENS LÄN</t>
        </is>
      </c>
      <c r="G136" t="inlineStr">
        <is>
          <t>ROBERTSFORS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46280</v>
      </c>
      <c r="F137" t="inlineStr">
        <is>
          <t>VÄSTERBOTTENS LÄN</t>
        </is>
      </c>
      <c r="G137" t="inlineStr">
        <is>
          <t>ROBERTSFORS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15294-2023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45019</v>
      </c>
      <c r="E138" s="1" t="n">
        <v>46280</v>
      </c>
      <c r="F138" t="inlineStr">
        <is>
          <t>VÄSTERBOTTENS LÄN</t>
        </is>
      </c>
      <c r="G138" t="inlineStr">
        <is>
          <t>ROBERTSFORS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46280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45405</v>
      </c>
      <c r="E140" s="1" t="n">
        <v>46280</v>
      </c>
      <c r="F140" t="inlineStr">
        <is>
          <t>VÄSTERBOTTENS LÄN</t>
        </is>
      </c>
      <c r="G140" t="inlineStr">
        <is>
          <t>ROBERTSFORS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45184</v>
      </c>
      <c r="E141" s="1" t="n">
        <v>46280</v>
      </c>
      <c r="F141" t="inlineStr">
        <is>
          <t>VÄSTERBOTTENS LÄN</t>
        </is>
      </c>
      <c r="G141" t="inlineStr">
        <is>
          <t>ROBERTSFORS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30722-2024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45496</v>
      </c>
      <c r="E142" s="1" t="n">
        <v>46280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54366-2024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45617</v>
      </c>
      <c r="E143" s="1" t="n">
        <v>46280</v>
      </c>
      <c r="F143" t="inlineStr">
        <is>
          <t>VÄSTERBOTTENS LÄN</t>
        </is>
      </c>
      <c r="G143" t="inlineStr">
        <is>
          <t>ROBERTSFORS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45484</v>
      </c>
      <c r="E144" s="1" t="n">
        <v>46280</v>
      </c>
      <c r="F144" t="inlineStr">
        <is>
          <t>VÄSTERBOTTENS LÄN</t>
        </is>
      </c>
      <c r="G144" t="inlineStr">
        <is>
          <t>ROBERTSFORS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46280</v>
      </c>
      <c r="F145" t="inlineStr">
        <is>
          <t>VÄSTERBOTTENS LÄN</t>
        </is>
      </c>
      <c r="G145" t="inlineStr">
        <is>
          <t>ROBERTSFORS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45572</v>
      </c>
      <c r="E146" s="1" t="n">
        <v>46280</v>
      </c>
      <c r="F146" t="inlineStr">
        <is>
          <t>VÄSTERBOTTENS LÄN</t>
        </is>
      </c>
      <c r="G146" t="inlineStr">
        <is>
          <t>ROBERTSFORS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46280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46280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45794</v>
      </c>
      <c r="E149" s="1" t="n">
        <v>46280</v>
      </c>
      <c r="F149" t="inlineStr">
        <is>
          <t>VÄSTERBOTTENS LÄN</t>
        </is>
      </c>
      <c r="G149" t="inlineStr">
        <is>
          <t>ROBERTSFORS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46280</v>
      </c>
      <c r="F150" t="inlineStr">
        <is>
          <t>VÄSTERBOTTENS LÄN</t>
        </is>
      </c>
      <c r="G150" t="inlineStr">
        <is>
          <t>ROBERTSFORS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46280</v>
      </c>
      <c r="F151" t="inlineStr">
        <is>
          <t>VÄSTERBOTTENS LÄN</t>
        </is>
      </c>
      <c r="G151" t="inlineStr">
        <is>
          <t>ROBERTSFORS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46280</v>
      </c>
      <c r="F152" t="inlineStr">
        <is>
          <t>VÄSTERBOTTENS LÄN</t>
        </is>
      </c>
      <c r="G152" t="inlineStr">
        <is>
          <t>ROBERTSFORS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25579-2025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46280</v>
      </c>
      <c r="F153" t="inlineStr">
        <is>
          <t>VÄSTERBOTTENS LÄN</t>
        </is>
      </c>
      <c r="G153" t="inlineStr">
        <is>
          <t>ROBERTSFORS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46280</v>
      </c>
      <c r="F154" t="inlineStr">
        <is>
          <t>VÄSTERBOTTENS LÄN</t>
        </is>
      </c>
      <c r="G154" t="inlineStr">
        <is>
          <t>ROBERTSFORS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46280</v>
      </c>
      <c r="F155" t="inlineStr">
        <is>
          <t>VÄSTERBOTTENS LÄN</t>
        </is>
      </c>
      <c r="G155" t="inlineStr">
        <is>
          <t>ROBERTSFORS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44894</v>
      </c>
      <c r="E156" s="1" t="n">
        <v>46280</v>
      </c>
      <c r="F156" t="inlineStr">
        <is>
          <t>VÄSTERBOTTENS LÄN</t>
        </is>
      </c>
      <c r="G156" t="inlineStr">
        <is>
          <t>ROBERTSFORS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46280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12.7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45636</v>
      </c>
      <c r="E158" s="1" t="n">
        <v>46280</v>
      </c>
      <c r="F158" t="inlineStr">
        <is>
          <t>VÄSTERBOTTENS LÄN</t>
        </is>
      </c>
      <c r="G158" t="inlineStr">
        <is>
          <t>ROBERTSFORS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46280</v>
      </c>
      <c r="F159" t="inlineStr">
        <is>
          <t>VÄSTERBOTTENS LÄN</t>
        </is>
      </c>
      <c r="G159" t="inlineStr">
        <is>
          <t>ROBERTSFORS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46280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46280</v>
      </c>
      <c r="F161" t="inlineStr">
        <is>
          <t>VÄSTERBOTTENS LÄN</t>
        </is>
      </c>
      <c r="G161" t="inlineStr">
        <is>
          <t>ROBERTSFORS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45659</v>
      </c>
      <c r="E162" s="1" t="n">
        <v>46280</v>
      </c>
      <c r="F162" t="inlineStr">
        <is>
          <t>VÄSTERBOTTENS LÄN</t>
        </is>
      </c>
      <c r="G162" t="inlineStr">
        <is>
          <t>ROBERTSFORS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46280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45461</v>
      </c>
      <c r="E164" s="1" t="n">
        <v>46280</v>
      </c>
      <c r="F164" t="inlineStr">
        <is>
          <t>VÄSTERBOTTENS LÄN</t>
        </is>
      </c>
      <c r="G164" t="inlineStr">
        <is>
          <t>ROBERTSFORS</t>
        </is>
      </c>
      <c r="I164" t="n">
        <v>14.3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46280</v>
      </c>
      <c r="F165" t="inlineStr">
        <is>
          <t>VÄSTERBOTTENS LÄN</t>
        </is>
      </c>
      <c r="G165" t="inlineStr">
        <is>
          <t>ROBERTSFORS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39982-2025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45893</v>
      </c>
      <c r="E166" s="1" t="n">
        <v>46280</v>
      </c>
      <c r="F166" t="inlineStr">
        <is>
          <t>VÄSTERBOTTENS LÄN</t>
        </is>
      </c>
      <c r="G166" t="inlineStr">
        <is>
          <t>ROBERTSFORS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28330-2025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45818</v>
      </c>
      <c r="E167" s="1" t="n">
        <v>46280</v>
      </c>
      <c r="F167" t="inlineStr">
        <is>
          <t>VÄSTERBOTTENS LÄN</t>
        </is>
      </c>
      <c r="G167" t="inlineStr">
        <is>
          <t>ROBERTSFORS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46280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46280</v>
      </c>
      <c r="F169" t="inlineStr">
        <is>
          <t>VÄSTERBOTTENS LÄN</t>
        </is>
      </c>
      <c r="G169" t="inlineStr">
        <is>
          <t>ROBERTSFORS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45468</v>
      </c>
      <c r="E170" s="1" t="n">
        <v>46280</v>
      </c>
      <c r="F170" t="inlineStr">
        <is>
          <t>VÄSTERBOTTENS LÄN</t>
        </is>
      </c>
      <c r="G170" t="inlineStr">
        <is>
          <t>ROBERTSFORS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46280</v>
      </c>
      <c r="F171" t="inlineStr">
        <is>
          <t>VÄSTERBOTTENS LÄN</t>
        </is>
      </c>
      <c r="G171" t="inlineStr">
        <is>
          <t>ROBERTSFORS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44904</v>
      </c>
      <c r="E172" s="1" t="n">
        <v>46280</v>
      </c>
      <c r="F172" t="inlineStr">
        <is>
          <t>VÄSTERBOTTENS LÄN</t>
        </is>
      </c>
      <c r="G172" t="inlineStr">
        <is>
          <t>ROBERTSFORS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46280</v>
      </c>
      <c r="F173" t="inlineStr">
        <is>
          <t>VÄSTERBOTTENS LÄN</t>
        </is>
      </c>
      <c r="G173" t="inlineStr">
        <is>
          <t>ROBERTSFORS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46280</v>
      </c>
      <c r="F174" t="inlineStr">
        <is>
          <t>VÄSTERBOTTENS LÄN</t>
        </is>
      </c>
      <c r="G174" t="inlineStr">
        <is>
          <t>ROBERTSFORS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46280</v>
      </c>
      <c r="F175" t="inlineStr">
        <is>
          <t>VÄSTERBOTTENS LÄN</t>
        </is>
      </c>
      <c r="G175" t="inlineStr">
        <is>
          <t>ROBERTSFORS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46280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46280</v>
      </c>
      <c r="F177" t="inlineStr">
        <is>
          <t>VÄSTERBOTTENS LÄN</t>
        </is>
      </c>
      <c r="G177" t="inlineStr">
        <is>
          <t>ROBERTSFORS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43048-2025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45909</v>
      </c>
      <c r="E178" s="1" t="n">
        <v>46280</v>
      </c>
      <c r="F178" t="inlineStr">
        <is>
          <t>VÄSTERBOTTENS LÄN</t>
        </is>
      </c>
      <c r="G178" t="inlineStr">
        <is>
          <t>ROBERTSFORS</t>
        </is>
      </c>
      <c r="I178" t="n">
        <v>12.7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37357-2024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46280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46280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46280</v>
      </c>
      <c r="F181" t="inlineStr">
        <is>
          <t>VÄSTERBOTTENS LÄN</t>
        </is>
      </c>
      <c r="G181" t="inlineStr">
        <is>
          <t>ROBERTSFORS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44960</v>
      </c>
      <c r="E182" s="1" t="n">
        <v>46280</v>
      </c>
      <c r="F182" t="inlineStr">
        <is>
          <t>VÄSTERBOTTENS LÄN</t>
        </is>
      </c>
      <c r="G182" t="inlineStr">
        <is>
          <t>ROBERTSFORS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44960</v>
      </c>
      <c r="E183" s="1" t="n">
        <v>46280</v>
      </c>
      <c r="F183" t="inlineStr">
        <is>
          <t>VÄSTERBOTTENS LÄN</t>
        </is>
      </c>
      <c r="G183" t="inlineStr">
        <is>
          <t>ROBERTSFORS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46280</v>
      </c>
      <c r="F184" t="inlineStr">
        <is>
          <t>VÄSTERBOTTENS LÄN</t>
        </is>
      </c>
      <c r="G184" t="inlineStr">
        <is>
          <t>ROBERTSFORS</t>
        </is>
      </c>
      <c r="I184" t="n">
        <v>9.9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44130-2025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45915</v>
      </c>
      <c r="E185" s="1" t="n">
        <v>46280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46050</v>
      </c>
      <c r="E186" s="1" t="n">
        <v>46280</v>
      </c>
      <c r="F186" t="inlineStr">
        <is>
          <t>VÄSTERBOTTENS LÄN</t>
        </is>
      </c>
      <c r="G186" t="inlineStr">
        <is>
          <t>ROBERTSFORS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46050</v>
      </c>
      <c r="E187" s="1" t="n">
        <v>46280</v>
      </c>
      <c r="F187" t="inlineStr">
        <is>
          <t>VÄSTERBOTTENS LÄN</t>
        </is>
      </c>
      <c r="G187" t="inlineStr">
        <is>
          <t>ROBERTSFORS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46280</v>
      </c>
      <c r="F188" t="inlineStr">
        <is>
          <t>VÄSTERBOTTENS LÄN</t>
        </is>
      </c>
      <c r="G188" t="inlineStr">
        <is>
          <t>ROBERTSFORS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46280</v>
      </c>
      <c r="F189" t="inlineStr">
        <is>
          <t>VÄSTERBOTTENS LÄN</t>
        </is>
      </c>
      <c r="G189" t="inlineStr">
        <is>
          <t>ROBERTSFORS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27557-2024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45474</v>
      </c>
      <c r="E190" s="1" t="n">
        <v>46280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46280</v>
      </c>
      <c r="F191" t="inlineStr">
        <is>
          <t>VÄSTERBOTTENS LÄN</t>
        </is>
      </c>
      <c r="G191" t="inlineStr">
        <is>
          <t>ROBERTSFORS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44913</v>
      </c>
      <c r="E192" s="1" t="n">
        <v>46280</v>
      </c>
      <c r="F192" t="inlineStr">
        <is>
          <t>VÄSTERBOTTENS LÄN</t>
        </is>
      </c>
      <c r="G192" t="inlineStr">
        <is>
          <t>ROBERTSFORS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46280</v>
      </c>
      <c r="F193" t="inlineStr">
        <is>
          <t>VÄSTERBOTTENS LÄN</t>
        </is>
      </c>
      <c r="G193" t="inlineStr">
        <is>
          <t>ROBERTSFORS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46280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46280</v>
      </c>
      <c r="F195" t="inlineStr">
        <is>
          <t>VÄSTERBOTTENS LÄN</t>
        </is>
      </c>
      <c r="G195" t="inlineStr">
        <is>
          <t>ROBERTSFORS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46280</v>
      </c>
      <c r="F196" t="inlineStr">
        <is>
          <t>VÄSTERBOTTENS LÄN</t>
        </is>
      </c>
      <c r="G196" t="inlineStr">
        <is>
          <t>ROBERTSFORS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46280</v>
      </c>
      <c r="F197" t="inlineStr">
        <is>
          <t>VÄSTERBOTTENS LÄN</t>
        </is>
      </c>
      <c r="G197" t="inlineStr">
        <is>
          <t>ROBERTSFORS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46280</v>
      </c>
      <c r="F198" t="inlineStr">
        <is>
          <t>VÄSTERBOTTENS LÄN</t>
        </is>
      </c>
      <c r="G198" t="inlineStr">
        <is>
          <t>ROBERTSFORS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46280</v>
      </c>
      <c r="F199" t="inlineStr">
        <is>
          <t>VÄSTERBOTTENS LÄN</t>
        </is>
      </c>
      <c r="G199" t="inlineStr">
        <is>
          <t>ROBERTSFORS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33368-2025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45841</v>
      </c>
      <c r="E200" s="1" t="n">
        <v>46280</v>
      </c>
      <c r="F200" t="inlineStr">
        <is>
          <t>VÄSTERBOTTENS LÄN</t>
        </is>
      </c>
      <c r="G200" t="inlineStr">
        <is>
          <t>ROBERTSFORS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33375-2025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45841</v>
      </c>
      <c r="E201" s="1" t="n">
        <v>46280</v>
      </c>
      <c r="F201" t="inlineStr">
        <is>
          <t>VÄSTERBOTTENS LÄN</t>
        </is>
      </c>
      <c r="G201" t="inlineStr">
        <is>
          <t>ROBERTSFORS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46168-2025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45924</v>
      </c>
      <c r="E202" s="1" t="n">
        <v>46280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45251</v>
      </c>
      <c r="E203" s="1" t="n">
        <v>46280</v>
      </c>
      <c r="F203" t="inlineStr">
        <is>
          <t>VÄSTERBOTTENS LÄN</t>
        </is>
      </c>
      <c r="G203" t="inlineStr">
        <is>
          <t>ROBERTSFORS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46280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44902</v>
      </c>
      <c r="E205" s="1" t="n">
        <v>46280</v>
      </c>
      <c r="F205" t="inlineStr">
        <is>
          <t>VÄSTERBOTTENS LÄN</t>
        </is>
      </c>
      <c r="G205" t="inlineStr">
        <is>
          <t>ROBERTSFORS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7499-2026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46280</v>
      </c>
      <c r="F206" t="inlineStr">
        <is>
          <t>VÄSTERBOTTENS LÄN</t>
        </is>
      </c>
      <c r="G206" t="inlineStr">
        <is>
          <t>ROBERTSFORS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46280</v>
      </c>
      <c r="F207" t="inlineStr">
        <is>
          <t>VÄSTERBOTTENS LÄN</t>
        </is>
      </c>
      <c r="G207" t="inlineStr">
        <is>
          <t>ROBERTSFORS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46331-2023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46280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46647-2025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46280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46280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45030</v>
      </c>
      <c r="E211" s="1" t="n">
        <v>46280</v>
      </c>
      <c r="F211" t="inlineStr">
        <is>
          <t>VÄSTERBOTTENS LÄN</t>
        </is>
      </c>
      <c r="G211" t="inlineStr">
        <is>
          <t>ROBERTSFORS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46280</v>
      </c>
      <c r="F212" t="inlineStr">
        <is>
          <t>VÄSTERBOTTENS LÄN</t>
        </is>
      </c>
      <c r="G212" t="inlineStr">
        <is>
          <t>ROBERTSFORS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44860</v>
      </c>
      <c r="E213" s="1" t="n">
        <v>46280</v>
      </c>
      <c r="F213" t="inlineStr">
        <is>
          <t>VÄSTERBOTTENS LÄN</t>
        </is>
      </c>
      <c r="G213" t="inlineStr">
        <is>
          <t>ROBERTSFORS</t>
        </is>
      </c>
      <c r="I213" t="n">
        <v>7.8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46280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8484-2026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46065</v>
      </c>
      <c r="E215" s="1" t="n">
        <v>46280</v>
      </c>
      <c r="F215" t="inlineStr">
        <is>
          <t>VÄSTERBOTTENS LÄN</t>
        </is>
      </c>
      <c r="G215" t="inlineStr">
        <is>
          <t>ROBERTSFORS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46065</v>
      </c>
      <c r="E216" s="1" t="n">
        <v>46280</v>
      </c>
      <c r="F216" t="inlineStr">
        <is>
          <t>VÄSTERBOTTENS LÄN</t>
        </is>
      </c>
      <c r="G216" t="inlineStr">
        <is>
          <t>ROBERTSFORS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35565-2025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45856</v>
      </c>
      <c r="E217" s="1" t="n">
        <v>46280</v>
      </c>
      <c r="F217" t="inlineStr">
        <is>
          <t>VÄSTERBOTTENS LÄN</t>
        </is>
      </c>
      <c r="G217" t="inlineStr">
        <is>
          <t>ROBERTSFORS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35543-2025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45856</v>
      </c>
      <c r="E218" s="1" t="n">
        <v>46280</v>
      </c>
      <c r="F218" t="inlineStr">
        <is>
          <t>VÄSTERBOTTENS LÄN</t>
        </is>
      </c>
      <c r="G218" t="inlineStr">
        <is>
          <t>ROBERTSFORS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45856</v>
      </c>
      <c r="E219" s="1" t="n">
        <v>46280</v>
      </c>
      <c r="F219" t="inlineStr">
        <is>
          <t>VÄSTERBOTTENS LÄN</t>
        </is>
      </c>
      <c r="G219" t="inlineStr">
        <is>
          <t>ROBERTSFORS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45789</v>
      </c>
      <c r="E220" s="1" t="n">
        <v>46280</v>
      </c>
      <c r="F220" t="inlineStr">
        <is>
          <t>VÄSTERBOTTENS LÄN</t>
        </is>
      </c>
      <c r="G220" t="inlineStr">
        <is>
          <t>ROBERTSFORS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46280</v>
      </c>
      <c r="F221" t="inlineStr">
        <is>
          <t>VÄSTERBOTTENS LÄN</t>
        </is>
      </c>
      <c r="G221" t="inlineStr">
        <is>
          <t>ROBERTSFORS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45033</v>
      </c>
      <c r="E222" s="1" t="n">
        <v>46280</v>
      </c>
      <c r="F222" t="inlineStr">
        <is>
          <t>VÄSTERBOTTENS LÄN</t>
        </is>
      </c>
      <c r="G222" t="inlineStr">
        <is>
          <t>ROBERTSFORS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36771-2022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44805</v>
      </c>
      <c r="E223" s="1" t="n">
        <v>46280</v>
      </c>
      <c r="F223" t="inlineStr">
        <is>
          <t>VÄSTERBOTTENS LÄN</t>
        </is>
      </c>
      <c r="G223" t="inlineStr">
        <is>
          <t>ROBERTSFORS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52834-2024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45610</v>
      </c>
      <c r="E224" s="1" t="n">
        <v>46280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SCA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46280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36594-2025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45870</v>
      </c>
      <c r="E226" s="1" t="n">
        <v>46280</v>
      </c>
      <c r="F226" t="inlineStr">
        <is>
          <t>VÄSTERBOTTENS LÄN</t>
        </is>
      </c>
      <c r="G226" t="inlineStr">
        <is>
          <t>ROBERTSFORS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46280</v>
      </c>
      <c r="F227" t="inlineStr">
        <is>
          <t>VÄSTERBOTTENS LÄN</t>
        </is>
      </c>
      <c r="G227" t="inlineStr">
        <is>
          <t>ROBERTSFORS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45687</v>
      </c>
      <c r="E228" s="1" t="n">
        <v>46280</v>
      </c>
      <c r="F228" t="inlineStr">
        <is>
          <t>VÄSTERBOTTENS LÄN</t>
        </is>
      </c>
      <c r="G228" t="inlineStr">
        <is>
          <t>ROBERTSFORS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10258-2026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46280</v>
      </c>
      <c r="F229" t="inlineStr">
        <is>
          <t>VÄSTERBOTTENS LÄN</t>
        </is>
      </c>
      <c r="G229" t="inlineStr">
        <is>
          <t>ROBERTSFORS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45873</v>
      </c>
      <c r="E230" s="1" t="n">
        <v>46280</v>
      </c>
      <c r="F230" t="inlineStr">
        <is>
          <t>VÄSTERBOTTENS LÄN</t>
        </is>
      </c>
      <c r="G230" t="inlineStr">
        <is>
          <t>ROBERTSFORS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46280</v>
      </c>
      <c r="F231" t="inlineStr">
        <is>
          <t>VÄSTERBOTTENS LÄN</t>
        </is>
      </c>
      <c r="G231" t="inlineStr">
        <is>
          <t>ROBERTSFORS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46280</v>
      </c>
      <c r="F232" t="inlineStr">
        <is>
          <t>VÄSTERBOTTENS LÄN</t>
        </is>
      </c>
      <c r="G232" t="inlineStr">
        <is>
          <t>ROBERTSFORS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44953</v>
      </c>
      <c r="E233" s="1" t="n">
        <v>46280</v>
      </c>
      <c r="F233" t="inlineStr">
        <is>
          <t>VÄSTERBOTTENS LÄN</t>
        </is>
      </c>
      <c r="G233" t="inlineStr">
        <is>
          <t>ROBERTSFORS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46083</v>
      </c>
      <c r="E234" s="1" t="n">
        <v>46280</v>
      </c>
      <c r="F234" t="inlineStr">
        <is>
          <t>VÄSTERBOTTENS LÄN</t>
        </is>
      </c>
      <c r="G234" t="inlineStr">
        <is>
          <t>ROBERTSFORS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46280</v>
      </c>
      <c r="F235" t="inlineStr">
        <is>
          <t>VÄSTERBOTTENS LÄN</t>
        </is>
      </c>
      <c r="G235" t="inlineStr">
        <is>
          <t>ROBERTSFORS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46280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45458</v>
      </c>
      <c r="E237" s="1" t="n">
        <v>46280</v>
      </c>
      <c r="F237" t="inlineStr">
        <is>
          <t>VÄSTERBOTTENS LÄN</t>
        </is>
      </c>
      <c r="G237" t="inlineStr">
        <is>
          <t>ROBERTSFORS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45205</v>
      </c>
      <c r="E238" s="1" t="n">
        <v>46280</v>
      </c>
      <c r="F238" t="inlineStr">
        <is>
          <t>VÄSTERBOTTENS LÄN</t>
        </is>
      </c>
      <c r="G238" t="inlineStr">
        <is>
          <t>ROBERTSFORS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46300-2024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46280</v>
      </c>
      <c r="F239" t="inlineStr">
        <is>
          <t>VÄSTERBOTTENS LÄN</t>
        </is>
      </c>
      <c r="G239" t="inlineStr">
        <is>
          <t>ROBERTSFORS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45617</v>
      </c>
      <c r="E240" s="1" t="n">
        <v>46280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46280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45458</v>
      </c>
      <c r="E242" s="1" t="n">
        <v>46280</v>
      </c>
      <c r="F242" t="inlineStr">
        <is>
          <t>VÄSTERBOTTENS LÄN</t>
        </is>
      </c>
      <c r="G242" t="inlineStr">
        <is>
          <t>ROBERTSFORS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45635</v>
      </c>
      <c r="E243" s="1" t="n">
        <v>46280</v>
      </c>
      <c r="F243" t="inlineStr">
        <is>
          <t>VÄSTERBOTTENS LÄN</t>
        </is>
      </c>
      <c r="G243" t="inlineStr">
        <is>
          <t>ROBERTSFORS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46280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14096-2026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46099</v>
      </c>
      <c r="E245" s="1" t="n">
        <v>46280</v>
      </c>
      <c r="F245" t="inlineStr">
        <is>
          <t>VÄSTERBOTTENS LÄN</t>
        </is>
      </c>
      <c r="G245" t="inlineStr">
        <is>
          <t>ROBERTSFORS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46280</v>
      </c>
      <c r="F246" t="inlineStr">
        <is>
          <t>VÄSTERBOTTENS LÄN</t>
        </is>
      </c>
      <c r="G246" t="inlineStr">
        <is>
          <t>ROBERTSFORS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46280</v>
      </c>
      <c r="F247" t="inlineStr">
        <is>
          <t>VÄSTERBOTTENS LÄN</t>
        </is>
      </c>
      <c r="G247" t="inlineStr">
        <is>
          <t>ROBERTSFORS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46280</v>
      </c>
      <c r="F248" t="inlineStr">
        <is>
          <t>VÄSTERBOTTENS LÄN</t>
        </is>
      </c>
      <c r="G248" t="inlineStr">
        <is>
          <t>ROBERTSFORS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46280</v>
      </c>
      <c r="F249" t="inlineStr">
        <is>
          <t>VÄSTERBOTTENS LÄN</t>
        </is>
      </c>
      <c r="G249" t="inlineStr">
        <is>
          <t>ROBERTSFORS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45958</v>
      </c>
      <c r="E250" s="1" t="n">
        <v>46280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53320-2025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45959</v>
      </c>
      <c r="E251" s="1" t="n">
        <v>46280</v>
      </c>
      <c r="F251" t="inlineStr">
        <is>
          <t>VÄSTERBOTTENS LÄN</t>
        </is>
      </c>
      <c r="G251" t="inlineStr">
        <is>
          <t>ROBERTSFORS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46280</v>
      </c>
      <c r="F252" t="inlineStr">
        <is>
          <t>VÄSTERBOTTENS LÄN</t>
        </is>
      </c>
      <c r="G252" t="inlineStr">
        <is>
          <t>ROBERTSFORS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45029</v>
      </c>
      <c r="E253" s="1" t="n">
        <v>46280</v>
      </c>
      <c r="F253" t="inlineStr">
        <is>
          <t>VÄSTERBOTTENS LÄN</t>
        </is>
      </c>
      <c r="G253" t="inlineStr">
        <is>
          <t>ROBERTSFORS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45959</v>
      </c>
      <c r="E254" s="1" t="n">
        <v>46280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46280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46112</v>
      </c>
      <c r="E256" s="1" t="n">
        <v>46280</v>
      </c>
      <c r="F256" t="inlineStr">
        <is>
          <t>VÄSTERBOTTENS LÄN</t>
        </is>
      </c>
      <c r="G256" t="inlineStr">
        <is>
          <t>ROBERTSFORS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46280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65771-2021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46280</v>
      </c>
      <c r="F258" t="inlineStr">
        <is>
          <t>VÄSTERBOTTENS LÄN</t>
        </is>
      </c>
      <c r="G258" t="inlineStr">
        <is>
          <t>ROBERTSFORS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46280</v>
      </c>
      <c r="F259" t="inlineStr">
        <is>
          <t>VÄSTERBOTTENS LÄN</t>
        </is>
      </c>
      <c r="G259" t="inlineStr">
        <is>
          <t>ROBERTSFORS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45480</v>
      </c>
      <c r="E260" s="1" t="n">
        <v>46280</v>
      </c>
      <c r="F260" t="inlineStr">
        <is>
          <t>VÄSTERBOTTENS LÄN</t>
        </is>
      </c>
      <c r="G260" t="inlineStr">
        <is>
          <t>ROBERTSFORS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46280</v>
      </c>
      <c r="F261" t="inlineStr">
        <is>
          <t>VÄSTERBOTTENS LÄN</t>
        </is>
      </c>
      <c r="G261" t="inlineStr">
        <is>
          <t>ROBERTSFORS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46280</v>
      </c>
      <c r="F262" t="inlineStr">
        <is>
          <t>VÄSTERBOTTENS LÄN</t>
        </is>
      </c>
      <c r="G262" t="inlineStr">
        <is>
          <t>ROBERTSFORS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46280</v>
      </c>
      <c r="F263" t="inlineStr">
        <is>
          <t>VÄSTERBOTTENS LÄN</t>
        </is>
      </c>
      <c r="G263" t="inlineStr">
        <is>
          <t>ROBERTSFORS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46122</v>
      </c>
      <c r="E264" s="1" t="n">
        <v>46280</v>
      </c>
      <c r="F264" t="inlineStr">
        <is>
          <t>VÄSTERBOTTENS LÄN</t>
        </is>
      </c>
      <c r="G264" t="inlineStr">
        <is>
          <t>ROBERTSFORS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45661</v>
      </c>
      <c r="E265" s="1" t="n">
        <v>46280</v>
      </c>
      <c r="F265" t="inlineStr">
        <is>
          <t>VÄSTERBOTTENS LÄN</t>
        </is>
      </c>
      <c r="G265" t="inlineStr">
        <is>
          <t>ROBERTSFORS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45664</v>
      </c>
      <c r="E266" s="1" t="n">
        <v>46280</v>
      </c>
      <c r="F266" t="inlineStr">
        <is>
          <t>VÄSTERBOTTENS LÄN</t>
        </is>
      </c>
      <c r="G266" t="inlineStr">
        <is>
          <t>ROBERTSFORS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65772-2021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44516</v>
      </c>
      <c r="E267" s="1" t="n">
        <v>46280</v>
      </c>
      <c r="F267" t="inlineStr">
        <is>
          <t>VÄSTERBOTTENS LÄN</t>
        </is>
      </c>
      <c r="G267" t="inlineStr">
        <is>
          <t>ROBERTSFORS</t>
        </is>
      </c>
      <c r="I267" t="n">
        <v>18.2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46280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46280</v>
      </c>
      <c r="F269" t="inlineStr">
        <is>
          <t>VÄSTERBOTTENS LÄN</t>
        </is>
      </c>
      <c r="G269" t="inlineStr">
        <is>
          <t>ROBERTSFORS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46126</v>
      </c>
      <c r="E270" s="1" t="n">
        <v>46280</v>
      </c>
      <c r="F270" t="inlineStr">
        <is>
          <t>VÄSTERBOTTENS LÄN</t>
        </is>
      </c>
      <c r="G270" t="inlineStr">
        <is>
          <t>ROBERTSFORS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64625-2023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46280</v>
      </c>
      <c r="F271" t="inlineStr">
        <is>
          <t>VÄSTERBOTTENS LÄN</t>
        </is>
      </c>
      <c r="G271" t="inlineStr">
        <is>
          <t>ROBERTSFORS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18289-2026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46280</v>
      </c>
      <c r="F272" t="inlineStr">
        <is>
          <t>VÄSTERBOTTENS LÄN</t>
        </is>
      </c>
      <c r="G272" t="inlineStr">
        <is>
          <t>ROBERTSFORS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46280</v>
      </c>
      <c r="F273" t="inlineStr">
        <is>
          <t>VÄSTERBOTTENS LÄN</t>
        </is>
      </c>
      <c r="G273" t="inlineStr">
        <is>
          <t>ROBERTSFORS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45157-2023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45191</v>
      </c>
      <c r="E274" s="1" t="n">
        <v>46280</v>
      </c>
      <c r="F274" t="inlineStr">
        <is>
          <t>VÄSTERBOTTENS LÄN</t>
        </is>
      </c>
      <c r="G274" t="inlineStr">
        <is>
          <t>ROBERTSFORS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32434-2024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45512</v>
      </c>
      <c r="E275" s="1" t="n">
        <v>46280</v>
      </c>
      <c r="F275" t="inlineStr">
        <is>
          <t>VÄSTERBOTTENS LÄN</t>
        </is>
      </c>
      <c r="G275" t="inlineStr">
        <is>
          <t>ROBERTSFORS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32581-2022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44783</v>
      </c>
      <c r="E276" s="1" t="n">
        <v>46280</v>
      </c>
      <c r="F276" t="inlineStr">
        <is>
          <t>VÄSTERBOTTENS LÄN</t>
        </is>
      </c>
      <c r="G276" t="inlineStr">
        <is>
          <t>ROBERTSFORS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44026-2022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44838</v>
      </c>
      <c r="E277" s="1" t="n">
        <v>46280</v>
      </c>
      <c r="F277" t="inlineStr">
        <is>
          <t>VÄSTERBOTTENS LÄN</t>
        </is>
      </c>
      <c r="G277" t="inlineStr">
        <is>
          <t>ROBERTSFORS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46280</v>
      </c>
      <c r="F278" t="inlineStr">
        <is>
          <t>VÄSTERBOTTENS LÄN</t>
        </is>
      </c>
      <c r="G278" t="inlineStr">
        <is>
          <t>ROBERTSFORS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45653</v>
      </c>
      <c r="E279" s="1" t="n">
        <v>46280</v>
      </c>
      <c r="F279" t="inlineStr">
        <is>
          <t>VÄSTERBOTTENS LÄN</t>
        </is>
      </c>
      <c r="G279" t="inlineStr">
        <is>
          <t>ROBERTSFORS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19294-2026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46280</v>
      </c>
      <c r="F280" t="inlineStr">
        <is>
          <t>VÄSTERBOTTENS LÄN</t>
        </is>
      </c>
      <c r="G280" t="inlineStr">
        <is>
          <t>ROBERTSFORS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46280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44938</v>
      </c>
      <c r="E282" s="1" t="n">
        <v>46280</v>
      </c>
      <c r="F282" t="inlineStr">
        <is>
          <t>VÄSTERBOTTENS LÄN</t>
        </is>
      </c>
      <c r="G282" t="inlineStr">
        <is>
          <t>ROBERTSFORS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46280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46280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46280</v>
      </c>
      <c r="F285" t="inlineStr">
        <is>
          <t>VÄSTERBOTTENS LÄN</t>
        </is>
      </c>
      <c r="G285" t="inlineStr">
        <is>
          <t>ROBERTSFORS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19828-2026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46280</v>
      </c>
      <c r="F286" t="inlineStr">
        <is>
          <t>VÄSTERBOTTENS LÄN</t>
        </is>
      </c>
      <c r="G286" t="inlineStr">
        <is>
          <t>ROBERTSFORS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44945</v>
      </c>
      <c r="E287" s="1" t="n">
        <v>46280</v>
      </c>
      <c r="F287" t="inlineStr">
        <is>
          <t>VÄSTERBOTTENS LÄN</t>
        </is>
      </c>
      <c r="G287" t="inlineStr">
        <is>
          <t>ROBERTSFORS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46280</v>
      </c>
      <c r="F288" t="inlineStr">
        <is>
          <t>VÄSTERBOTTENS LÄN</t>
        </is>
      </c>
      <c r="G288" t="inlineStr">
        <is>
          <t>ROBERTSFORS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57979-2021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44487</v>
      </c>
      <c r="E289" s="1" t="n">
        <v>46280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46280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46135</v>
      </c>
      <c r="E291" s="1" t="n">
        <v>46280</v>
      </c>
      <c r="F291" t="inlineStr">
        <is>
          <t>VÄSTERBOTTENS LÄN</t>
        </is>
      </c>
      <c r="G291" t="inlineStr">
        <is>
          <t>ROBERTSFORS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46280</v>
      </c>
      <c r="F292" t="inlineStr">
        <is>
          <t>VÄSTERBOTTENS LÄN</t>
        </is>
      </c>
      <c r="G292" t="inlineStr">
        <is>
          <t>ROBERTSFORS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46280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45145</v>
      </c>
      <c r="E294" s="1" t="n">
        <v>46280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46280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46280</v>
      </c>
      <c r="F296" t="inlineStr">
        <is>
          <t>VÄSTERBOTTENS LÄN</t>
        </is>
      </c>
      <c r="G296" t="inlineStr">
        <is>
          <t>ROBERTSFORS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45987</v>
      </c>
      <c r="E297" s="1" t="n">
        <v>46280</v>
      </c>
      <c r="F297" t="inlineStr">
        <is>
          <t>VÄSTERBOTTENS LÄN</t>
        </is>
      </c>
      <c r="G297" t="inlineStr">
        <is>
          <t>ROBERTSFORS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38026-2024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45544</v>
      </c>
      <c r="E298" s="1" t="n">
        <v>46280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SCA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45701</v>
      </c>
      <c r="E299" s="1" t="n">
        <v>46280</v>
      </c>
      <c r="F299" t="inlineStr">
        <is>
          <t>VÄSTERBOTTENS LÄN</t>
        </is>
      </c>
      <c r="G299" t="inlineStr">
        <is>
          <t>ROBERTSFORS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46280</v>
      </c>
      <c r="F300" t="inlineStr">
        <is>
          <t>VÄSTERBOTTENS LÄN</t>
        </is>
      </c>
      <c r="G300" t="inlineStr">
        <is>
          <t>ROBERTSFORS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59877-2022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44901</v>
      </c>
      <c r="E301" s="1" t="n">
        <v>46280</v>
      </c>
      <c r="F301" t="inlineStr">
        <is>
          <t>VÄSTERBOTTENS LÄN</t>
        </is>
      </c>
      <c r="G301" t="inlineStr">
        <is>
          <t>ROBERTSFORS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46280</v>
      </c>
      <c r="F302" t="inlineStr">
        <is>
          <t>VÄSTERBOTTENS LÄN</t>
        </is>
      </c>
      <c r="G302" t="inlineStr">
        <is>
          <t>ROBERTSFORS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45335</v>
      </c>
      <c r="E303" s="1" t="n">
        <v>46280</v>
      </c>
      <c r="F303" t="inlineStr">
        <is>
          <t>VÄSTERBOTTENS LÄN</t>
        </is>
      </c>
      <c r="G303" t="inlineStr">
        <is>
          <t>ROBERTSFORS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45996</v>
      </c>
      <c r="E304" s="1" t="n">
        <v>46280</v>
      </c>
      <c r="F304" t="inlineStr">
        <is>
          <t>VÄSTERBOTTENS LÄN</t>
        </is>
      </c>
      <c r="G304" t="inlineStr">
        <is>
          <t>ROBERTSFORS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45671</v>
      </c>
      <c r="E305" s="1" t="n">
        <v>46280</v>
      </c>
      <c r="F305" t="inlineStr">
        <is>
          <t>VÄSTERBOTTENS LÄN</t>
        </is>
      </c>
      <c r="G305" t="inlineStr">
        <is>
          <t>ROBERTSFORS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46139</v>
      </c>
      <c r="E306" s="1" t="n">
        <v>46280</v>
      </c>
      <c r="F306" t="inlineStr">
        <is>
          <t>VÄSTERBOTTENS LÄN</t>
        </is>
      </c>
      <c r="G306" t="inlineStr">
        <is>
          <t>ROBERTSFORS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46280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46969-2025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45929</v>
      </c>
      <c r="E308" s="1" t="n">
        <v>46280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46280</v>
      </c>
      <c r="F309" t="inlineStr">
        <is>
          <t>VÄSTERBOTTENS LÄN</t>
        </is>
      </c>
      <c r="G309" t="inlineStr">
        <is>
          <t>ROBERTSFORS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46280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Sveaskog</t>
        </is>
      </c>
      <c r="I310" t="n">
        <v>9.199999999999999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45734</v>
      </c>
      <c r="E311" s="1" t="n">
        <v>46280</v>
      </c>
      <c r="F311" t="inlineStr">
        <is>
          <t>VÄSTERBOTTENS LÄN</t>
        </is>
      </c>
      <c r="G311" t="inlineStr">
        <is>
          <t>ROBERTSFORS</t>
        </is>
      </c>
      <c r="I311" t="n">
        <v>24.4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46280</v>
      </c>
      <c r="F312" t="inlineStr">
        <is>
          <t>VÄSTERBOTTENS LÄN</t>
        </is>
      </c>
      <c r="G312" t="inlineStr">
        <is>
          <t>ROBERTSFORS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46280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45405</v>
      </c>
      <c r="E314" s="1" t="n">
        <v>46280</v>
      </c>
      <c r="F314" t="inlineStr">
        <is>
          <t>VÄSTERBOTTENS LÄN</t>
        </is>
      </c>
      <c r="G314" t="inlineStr">
        <is>
          <t>ROBERTSFORS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46280</v>
      </c>
      <c r="F315" t="inlineStr">
        <is>
          <t>VÄSTERBOTTENS LÄN</t>
        </is>
      </c>
      <c r="G315" t="inlineStr">
        <is>
          <t>ROBERTSFORS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46280</v>
      </c>
      <c r="F316" t="inlineStr">
        <is>
          <t>VÄSTERBOTTENS LÄN</t>
        </is>
      </c>
      <c r="G316" t="inlineStr">
        <is>
          <t>ROBERTSFORS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46141</v>
      </c>
      <c r="E317" s="1" t="n">
        <v>46280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45005</v>
      </c>
      <c r="E318" s="1" t="n">
        <v>46280</v>
      </c>
      <c r="F318" t="inlineStr">
        <is>
          <t>VÄSTERBOTTENS LÄN</t>
        </is>
      </c>
      <c r="G318" t="inlineStr">
        <is>
          <t>ROBERTSFORS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46280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44580</v>
      </c>
      <c r="E320" s="1" t="n">
        <v>46280</v>
      </c>
      <c r="F320" t="inlineStr">
        <is>
          <t>VÄSTERBOTTENS LÄN</t>
        </is>
      </c>
      <c r="G320" t="inlineStr">
        <is>
          <t>ROBERTSFORS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45020</v>
      </c>
      <c r="E321" s="1" t="n">
        <v>46280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62187-2021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44502</v>
      </c>
      <c r="E322" s="1" t="n">
        <v>46280</v>
      </c>
      <c r="F322" t="inlineStr">
        <is>
          <t>VÄSTERBOTTENS LÄN</t>
        </is>
      </c>
      <c r="G322" t="inlineStr">
        <is>
          <t>ROBERTSFORS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46280</v>
      </c>
      <c r="F323" t="inlineStr">
        <is>
          <t>VÄSTERBOTTENS LÄN</t>
        </is>
      </c>
      <c r="G323" t="inlineStr">
        <is>
          <t>ROBERTSFORS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45146</v>
      </c>
      <c r="E324" s="1" t="n">
        <v>46280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46146</v>
      </c>
      <c r="E325" s="1" t="n">
        <v>46280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46146</v>
      </c>
      <c r="E326" s="1" t="n">
        <v>46280</v>
      </c>
      <c r="F326" t="inlineStr">
        <is>
          <t>VÄSTERBOTTENS LÄN</t>
        </is>
      </c>
      <c r="G326" t="inlineStr">
        <is>
          <t>ROBERTSFORS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46148</v>
      </c>
      <c r="E327" s="1" t="n">
        <v>46280</v>
      </c>
      <c r="F327" t="inlineStr">
        <is>
          <t>VÄSTERBOTTENS LÄN</t>
        </is>
      </c>
      <c r="G327" t="inlineStr">
        <is>
          <t>ROBERTSFORS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58526-2023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45251</v>
      </c>
      <c r="E328" s="1" t="n">
        <v>46280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13.9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46280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45510</v>
      </c>
      <c r="E330" s="1" t="n">
        <v>46280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46280</v>
      </c>
      <c r="F331" t="inlineStr">
        <is>
          <t>VÄSTERBOTTENS LÄN</t>
        </is>
      </c>
      <c r="G331" t="inlineStr">
        <is>
          <t>ROBERTSFORS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46150</v>
      </c>
      <c r="E332" s="1" t="n">
        <v>46280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21971-2026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46280</v>
      </c>
      <c r="F333" t="inlineStr">
        <is>
          <t>VÄSTERBOTTENS LÄN</t>
        </is>
      </c>
      <c r="G333" t="inlineStr">
        <is>
          <t>ROBERTSFORS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46280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46280</v>
      </c>
      <c r="F335" t="inlineStr">
        <is>
          <t>VÄSTERBOTTENS LÄN</t>
        </is>
      </c>
      <c r="G335" t="inlineStr">
        <is>
          <t>ROBERTSFORS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22011-2026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46280</v>
      </c>
      <c r="F336" t="inlineStr">
        <is>
          <t>VÄSTERBOTTENS LÄN</t>
        </is>
      </c>
      <c r="G336" t="inlineStr">
        <is>
          <t>ROBERTSFORS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38480-2023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45162</v>
      </c>
      <c r="E337" s="1" t="n">
        <v>46280</v>
      </c>
      <c r="F337" t="inlineStr">
        <is>
          <t>VÄSTERBOTTENS LÄN</t>
        </is>
      </c>
      <c r="G337" t="inlineStr">
        <is>
          <t>ROBERTSFORS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9135-2024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45357</v>
      </c>
      <c r="E338" s="1" t="n">
        <v>46280</v>
      </c>
      <c r="F338" t="inlineStr">
        <is>
          <t>VÄSTERBOTTENS LÄN</t>
        </is>
      </c>
      <c r="G338" t="inlineStr">
        <is>
          <t>ROBERTSFORS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45712</v>
      </c>
      <c r="E339" s="1" t="n">
        <v>46280</v>
      </c>
      <c r="F339" t="inlineStr">
        <is>
          <t>VÄSTERBOTTENS LÄN</t>
        </is>
      </c>
      <c r="G339" t="inlineStr">
        <is>
          <t>ROBERTSFORS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22436-2026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46280</v>
      </c>
      <c r="F340" t="inlineStr">
        <is>
          <t>VÄSTERBOTTENS LÄN</t>
        </is>
      </c>
      <c r="G340" t="inlineStr">
        <is>
          <t>ROBERTSFORS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45628</v>
      </c>
      <c r="E341" s="1" t="n">
        <v>46280</v>
      </c>
      <c r="F341" t="inlineStr">
        <is>
          <t>VÄSTERBOTTENS LÄN</t>
        </is>
      </c>
      <c r="G341" t="inlineStr">
        <is>
          <t>ROBERTSFORS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45502</v>
      </c>
      <c r="E342" s="1" t="n">
        <v>46280</v>
      </c>
      <c r="F342" t="inlineStr">
        <is>
          <t>VÄSTERBOTTENS LÄN</t>
        </is>
      </c>
      <c r="G342" t="inlineStr">
        <is>
          <t>ROBERTSFORS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22880-2026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46160</v>
      </c>
      <c r="E343" s="1" t="n">
        <v>46280</v>
      </c>
      <c r="F343" t="inlineStr">
        <is>
          <t>VÄSTERBOTTENS LÄN</t>
        </is>
      </c>
      <c r="G343" t="inlineStr">
        <is>
          <t>ROBERTSFORS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46280</v>
      </c>
      <c r="F344" t="inlineStr">
        <is>
          <t>VÄSTERBOTTENS LÄN</t>
        </is>
      </c>
      <c r="G344" t="inlineStr">
        <is>
          <t>ROBERTSFORS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46160</v>
      </c>
      <c r="E345" s="1" t="n">
        <v>46280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47420-2024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46280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SCA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45846-2024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45580</v>
      </c>
      <c r="E347" s="1" t="n">
        <v>46280</v>
      </c>
      <c r="F347" t="inlineStr">
        <is>
          <t>VÄSTERBOTTENS LÄN</t>
        </is>
      </c>
      <c r="G347" t="inlineStr">
        <is>
          <t>ROBERTSFORS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24365-2026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46169</v>
      </c>
      <c r="E348" s="1" t="n">
        <v>46280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15.9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24647-2026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46171</v>
      </c>
      <c r="E349" s="1" t="n">
        <v>46280</v>
      </c>
      <c r="F349" t="inlineStr">
        <is>
          <t>VÄSTERBOTTENS LÄN</t>
        </is>
      </c>
      <c r="G349" t="inlineStr">
        <is>
          <t>ROBERTSFORS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24484-2026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46280</v>
      </c>
      <c r="F350" t="inlineStr">
        <is>
          <t>VÄSTERBOTTENS LÄN</t>
        </is>
      </c>
      <c r="G350" t="inlineStr">
        <is>
          <t>ROBERTSFORS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13164-2024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45386</v>
      </c>
      <c r="E351" s="1" t="n">
        <v>46280</v>
      </c>
      <c r="F351" t="inlineStr">
        <is>
          <t>VÄSTERBOTTENS LÄN</t>
        </is>
      </c>
      <c r="G351" t="inlineStr">
        <is>
          <t>ROBERTSFORS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24705-2026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46171</v>
      </c>
      <c r="E352" s="1" t="n">
        <v>46280</v>
      </c>
      <c r="F352" t="inlineStr">
        <is>
          <t>VÄSTERBOTTENS LÄN</t>
        </is>
      </c>
      <c r="G352" t="inlineStr">
        <is>
          <t>ROBERTSFORS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46280</v>
      </c>
      <c r="F353" t="inlineStr">
        <is>
          <t>VÄSTERBOTTENS LÄN</t>
        </is>
      </c>
      <c r="G353" t="inlineStr">
        <is>
          <t>ROBERTSFORS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46176</v>
      </c>
      <c r="E354" s="1" t="n">
        <v>46280</v>
      </c>
      <c r="F354" t="inlineStr">
        <is>
          <t>VÄSTERBOTTENS LÄN</t>
        </is>
      </c>
      <c r="G354" t="inlineStr">
        <is>
          <t>ROBERTSFORS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16872-2026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46113</v>
      </c>
      <c r="E355" s="1" t="n">
        <v>46280</v>
      </c>
      <c r="F355" t="inlineStr">
        <is>
          <t>VÄSTERBOTTENS LÄN</t>
        </is>
      </c>
      <c r="G355" t="inlineStr">
        <is>
          <t>ROBERTSFORS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45454</v>
      </c>
      <c r="E356" s="1" t="n">
        <v>46280</v>
      </c>
      <c r="F356" t="inlineStr">
        <is>
          <t>VÄSTERBOTTENS LÄN</t>
        </is>
      </c>
      <c r="G356" t="inlineStr">
        <is>
          <t>ROBERTSFORS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25588-2026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46280</v>
      </c>
      <c r="F357" t="inlineStr">
        <is>
          <t>VÄSTERBOTTENS LÄN</t>
        </is>
      </c>
      <c r="G357" t="inlineStr">
        <is>
          <t>ROBERTSFORS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46280</v>
      </c>
      <c r="F358" t="inlineStr">
        <is>
          <t>VÄSTERBOTTENS LÄN</t>
        </is>
      </c>
      <c r="G358" t="inlineStr">
        <is>
          <t>ROBERTSFORS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46183</v>
      </c>
      <c r="E359" s="1" t="n">
        <v>46280</v>
      </c>
      <c r="F359" t="inlineStr">
        <is>
          <t>VÄSTERBOTTENS LÄN</t>
        </is>
      </c>
      <c r="G359" t="inlineStr">
        <is>
          <t>ROBERTSFORS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26949-2026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46185</v>
      </c>
      <c r="E360" s="1" t="n">
        <v>46280</v>
      </c>
      <c r="F360" t="inlineStr">
        <is>
          <t>VÄSTERBOTTENS LÄN</t>
        </is>
      </c>
      <c r="G360" t="inlineStr">
        <is>
          <t>ROBERTSFORS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46185</v>
      </c>
      <c r="E361" s="1" t="n">
        <v>46280</v>
      </c>
      <c r="F361" t="inlineStr">
        <is>
          <t>VÄSTERBOTTENS LÄN</t>
        </is>
      </c>
      <c r="G361" t="inlineStr">
        <is>
          <t>ROBERTSFORS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46280</v>
      </c>
      <c r="F362" t="inlineStr">
        <is>
          <t>VÄSTERBOTTENS LÄN</t>
        </is>
      </c>
      <c r="G362" t="inlineStr">
        <is>
          <t>ROBERTSFORS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46280</v>
      </c>
      <c r="F363" t="inlineStr">
        <is>
          <t>VÄSTERBOTTENS LÄN</t>
        </is>
      </c>
      <c r="G363" t="inlineStr">
        <is>
          <t>ROBERTSFORS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46280</v>
      </c>
      <c r="F364" t="inlineStr">
        <is>
          <t>VÄSTERBOTTENS LÄN</t>
        </is>
      </c>
      <c r="G364" t="inlineStr">
        <is>
          <t>ROBERTSFORS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46280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26833-2026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46185</v>
      </c>
      <c r="E366" s="1" t="n">
        <v>46280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46280</v>
      </c>
      <c r="F367" t="inlineStr">
        <is>
          <t>VÄSTERBOTTENS LÄN</t>
        </is>
      </c>
      <c r="G367" t="inlineStr">
        <is>
          <t>ROBERTSFORS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45013</v>
      </c>
      <c r="E368" s="1" t="n">
        <v>46280</v>
      </c>
      <c r="F368" t="inlineStr">
        <is>
          <t>VÄSTERBOTTENS LÄN</t>
        </is>
      </c>
      <c r="G368" t="inlineStr">
        <is>
          <t>ROBERTSFORS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46280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45620</v>
      </c>
      <c r="E370" s="1" t="n">
        <v>46280</v>
      </c>
      <c r="F370" t="inlineStr">
        <is>
          <t>VÄSTERBOTTENS LÄN</t>
        </is>
      </c>
      <c r="G370" t="inlineStr">
        <is>
          <t>ROBERTSFORS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32512-2026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46239</v>
      </c>
      <c r="E371" s="1" t="n">
        <v>46280</v>
      </c>
      <c r="F371" t="inlineStr">
        <is>
          <t>VÄSTERBOTTENS LÄN</t>
        </is>
      </c>
      <c r="G371" t="inlineStr">
        <is>
          <t>ROBERTSFORS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32513-2026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46239</v>
      </c>
      <c r="E372" s="1" t="n">
        <v>46280</v>
      </c>
      <c r="F372" t="inlineStr">
        <is>
          <t>VÄSTERBOTTENS LÄN</t>
        </is>
      </c>
      <c r="G372" t="inlineStr">
        <is>
          <t>ROBERTSFORS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32447-2026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46239</v>
      </c>
      <c r="E373" s="1" t="n">
        <v>46280</v>
      </c>
      <c r="F373" t="inlineStr">
        <is>
          <t>VÄSTERBOTTENS LÄN</t>
        </is>
      </c>
      <c r="G373" t="inlineStr">
        <is>
          <t>ROBERTSFORS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44973</v>
      </c>
      <c r="E374" s="1" t="n">
        <v>46280</v>
      </c>
      <c r="F374" t="inlineStr">
        <is>
          <t>VÄSTERBOTTENS LÄN</t>
        </is>
      </c>
      <c r="G374" t="inlineStr">
        <is>
          <t>ROBERTSFORS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32476-2026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46239</v>
      </c>
      <c r="E375" s="1" t="n">
        <v>46280</v>
      </c>
      <c r="F375" t="inlineStr">
        <is>
          <t>VÄSTERBOTTENS LÄN</t>
        </is>
      </c>
      <c r="G375" t="inlineStr">
        <is>
          <t>ROBERTSFORS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46196</v>
      </c>
      <c r="E376" s="1" t="n">
        <v>46280</v>
      </c>
      <c r="F376" t="inlineStr">
        <is>
          <t>VÄSTERBOTTENS LÄN</t>
        </is>
      </c>
      <c r="G376" t="inlineStr">
        <is>
          <t>ROBERTSFORS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32638-2026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46240</v>
      </c>
      <c r="E377" s="1" t="n">
        <v>46280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32646-2026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46240</v>
      </c>
      <c r="E378" s="1" t="n">
        <v>46280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46280</v>
      </c>
      <c r="F379" t="inlineStr">
        <is>
          <t>VÄSTERBOTTENS LÄN</t>
        </is>
      </c>
      <c r="G379" t="inlineStr">
        <is>
          <t>ROBERTSFORS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46240</v>
      </c>
      <c r="E380" s="1" t="n">
        <v>46280</v>
      </c>
      <c r="F380" t="inlineStr">
        <is>
          <t>VÄSTERBOTTENS LÄN</t>
        </is>
      </c>
      <c r="G380" t="inlineStr">
        <is>
          <t>ROBERTSFORS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46240</v>
      </c>
      <c r="E381" s="1" t="n">
        <v>46280</v>
      </c>
      <c r="F381" t="inlineStr">
        <is>
          <t>VÄSTERBOTTENS LÄN</t>
        </is>
      </c>
      <c r="G381" t="inlineStr">
        <is>
          <t>ROBERTSFORS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46240</v>
      </c>
      <c r="E382" s="1" t="n">
        <v>46280</v>
      </c>
      <c r="F382" t="inlineStr">
        <is>
          <t>VÄSTERBOTTENS LÄN</t>
        </is>
      </c>
      <c r="G382" t="inlineStr">
        <is>
          <t>ROBERTSFORS</t>
        </is>
      </c>
      <c r="I382" t="n">
        <v>11.3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45042</v>
      </c>
      <c r="E383" s="1" t="n">
        <v>46280</v>
      </c>
      <c r="F383" t="inlineStr">
        <is>
          <t>VÄSTERBOTTENS LÄN</t>
        </is>
      </c>
      <c r="G383" t="inlineStr">
        <is>
          <t>ROBERTSFORS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46240</v>
      </c>
      <c r="E384" s="1" t="n">
        <v>46280</v>
      </c>
      <c r="F384" t="inlineStr">
        <is>
          <t>VÄSTERBOTTENS LÄN</t>
        </is>
      </c>
      <c r="G384" t="inlineStr">
        <is>
          <t>ROBERTSFORS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45679</v>
      </c>
      <c r="E385" s="1" t="n">
        <v>46280</v>
      </c>
      <c r="F385" t="inlineStr">
        <is>
          <t>VÄSTERBOTTENS LÄN</t>
        </is>
      </c>
      <c r="G385" t="inlineStr">
        <is>
          <t>ROBERTSFORS</t>
        </is>
      </c>
      <c r="I385" t="n">
        <v>6.9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46240</v>
      </c>
      <c r="E386" s="1" t="n">
        <v>46280</v>
      </c>
      <c r="F386" t="inlineStr">
        <is>
          <t>VÄSTERBOTTENS LÄN</t>
        </is>
      </c>
      <c r="G386" t="inlineStr">
        <is>
          <t>ROBERTSFORS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32681-2026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46240</v>
      </c>
      <c r="E387" s="1" t="n">
        <v>46280</v>
      </c>
      <c r="F387" t="inlineStr">
        <is>
          <t>VÄSTERBOTTENS LÄN</t>
        </is>
      </c>
      <c r="G387" t="inlineStr">
        <is>
          <t>ROBERTSFORS</t>
        </is>
      </c>
      <c r="I387" t="n">
        <v>7.9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53271-2021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44467</v>
      </c>
      <c r="E388" s="1" t="n">
        <v>46280</v>
      </c>
      <c r="F388" t="inlineStr">
        <is>
          <t>VÄSTERBOTTENS LÄN</t>
        </is>
      </c>
      <c r="G388" t="inlineStr">
        <is>
          <t>ROBERTSFORS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34844-2023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45141</v>
      </c>
      <c r="E389" s="1" t="n">
        <v>46280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45664</v>
      </c>
      <c r="E390" s="1" t="n">
        <v>46280</v>
      </c>
      <c r="F390" t="inlineStr">
        <is>
          <t>VÄSTERBOTTENS LÄN</t>
        </is>
      </c>
      <c r="G390" t="inlineStr">
        <is>
          <t>ROBERTSFORS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46244</v>
      </c>
      <c r="E391" s="1" t="n">
        <v>46280</v>
      </c>
      <c r="F391" t="inlineStr">
        <is>
          <t>VÄSTERBOTTENS LÄN</t>
        </is>
      </c>
      <c r="G391" t="inlineStr">
        <is>
          <t>ROBERTSFORS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46280</v>
      </c>
      <c r="F392" t="inlineStr">
        <is>
          <t>VÄSTERBOTTENS LÄN</t>
        </is>
      </c>
      <c r="G392" t="inlineStr">
        <is>
          <t>ROBERTSFORS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46280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SCA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46280</v>
      </c>
      <c r="F394" t="inlineStr">
        <is>
          <t>VÄSTERBOTTENS LÄN</t>
        </is>
      </c>
      <c r="G394" t="inlineStr">
        <is>
          <t>ROBERTSFORS</t>
        </is>
      </c>
      <c r="I394" t="n">
        <v>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46280</v>
      </c>
      <c r="F395" t="inlineStr">
        <is>
          <t>VÄSTERBOTTENS LÄN</t>
        </is>
      </c>
      <c r="G395" t="inlineStr">
        <is>
          <t>ROBERTSFORS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29958-2026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46280</v>
      </c>
      <c r="F396" t="inlineStr">
        <is>
          <t>VÄSTERBOTTENS LÄN</t>
        </is>
      </c>
      <c r="G396" t="inlineStr">
        <is>
          <t>ROBERTSFORS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29964-2026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46280</v>
      </c>
      <c r="F397" t="inlineStr">
        <is>
          <t>VÄSTERBOTTENS LÄN</t>
        </is>
      </c>
      <c r="G397" t="inlineStr">
        <is>
          <t>ROBERTSFORS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46280</v>
      </c>
      <c r="F398" t="inlineStr">
        <is>
          <t>VÄSTERBOTTENS LÄN</t>
        </is>
      </c>
      <c r="G398" t="inlineStr">
        <is>
          <t>ROBERTSFORS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26038-2022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44734</v>
      </c>
      <c r="E399" s="1" t="n">
        <v>46280</v>
      </c>
      <c r="F399" t="inlineStr">
        <is>
          <t>VÄSTERBOTTENS LÄN</t>
        </is>
      </c>
      <c r="G399" t="inlineStr">
        <is>
          <t>ROBERTSFORS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48259-2023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45205</v>
      </c>
      <c r="E400" s="1" t="n">
        <v>46280</v>
      </c>
      <c r="F400" t="inlineStr">
        <is>
          <t>VÄSTERBOTTENS LÄN</t>
        </is>
      </c>
      <c r="G400" t="inlineStr">
        <is>
          <t>ROBERTSFORS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46254</v>
      </c>
      <c r="E401" s="1" t="n">
        <v>46280</v>
      </c>
      <c r="F401" t="inlineStr">
        <is>
          <t>VÄSTERBOTTENS LÄN</t>
        </is>
      </c>
      <c r="G401" t="inlineStr">
        <is>
          <t>ROBERTSFORS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46280</v>
      </c>
      <c r="F402" t="inlineStr">
        <is>
          <t>VÄSTERBOTTENS LÄN</t>
        </is>
      </c>
      <c r="G402" t="inlineStr">
        <is>
          <t>ROBERTSFORS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46255</v>
      </c>
      <c r="E403" s="1" t="n">
        <v>46280</v>
      </c>
      <c r="F403" t="inlineStr">
        <is>
          <t>VÄSTERBOTTENS LÄN</t>
        </is>
      </c>
      <c r="G403" t="inlineStr">
        <is>
          <t>ROBERTSFORS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46259</v>
      </c>
      <c r="E404" s="1" t="n">
        <v>46280</v>
      </c>
      <c r="F404" t="inlineStr">
        <is>
          <t>VÄSTERBOTTENS LÄN</t>
        </is>
      </c>
      <c r="G404" t="inlineStr">
        <is>
          <t>ROBERTSFORS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34700-2026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46258</v>
      </c>
      <c r="E405" s="1" t="n">
        <v>46280</v>
      </c>
      <c r="F405" t="inlineStr">
        <is>
          <t>VÄSTERBOTTENS LÄN</t>
        </is>
      </c>
      <c r="G405" t="inlineStr">
        <is>
          <t>ROBERTSFORS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34808-2026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46258</v>
      </c>
      <c r="E406" s="1" t="n">
        <v>46280</v>
      </c>
      <c r="F406" t="inlineStr">
        <is>
          <t>VÄSTERBOTTENS LÄN</t>
        </is>
      </c>
      <c r="G406" t="inlineStr">
        <is>
          <t>ROBERTSFORS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46280</v>
      </c>
      <c r="F407" t="inlineStr">
        <is>
          <t>VÄSTERBOTTENS LÄN</t>
        </is>
      </c>
      <c r="G407" t="inlineStr">
        <is>
          <t>ROBERTSFORS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45020</v>
      </c>
      <c r="E408" s="1" t="n">
        <v>46280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Sveaskog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35276-2026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46261</v>
      </c>
      <c r="E409" s="1" t="n">
        <v>46280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21.2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46261</v>
      </c>
      <c r="E410" s="1" t="n">
        <v>46280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55469-2021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44475</v>
      </c>
      <c r="E411" s="1" t="n">
        <v>46280</v>
      </c>
      <c r="F411" t="inlineStr">
        <is>
          <t>VÄSTERBOTTENS LÄN</t>
        </is>
      </c>
      <c r="G411" t="inlineStr">
        <is>
          <t>ROBERTSFORS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28142-2026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46280</v>
      </c>
      <c r="F412" t="inlineStr">
        <is>
          <t>VÄSTERBOTTENS LÄN</t>
        </is>
      </c>
      <c r="G412" t="inlineStr">
        <is>
          <t>ROBERTSFORS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46262</v>
      </c>
      <c r="E413" s="1" t="n">
        <v>46280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46266</v>
      </c>
      <c r="E414" s="1" t="n">
        <v>46280</v>
      </c>
      <c r="F414" t="inlineStr">
        <is>
          <t>VÄSTERBOTTENS LÄN</t>
        </is>
      </c>
      <c r="G414" t="inlineStr">
        <is>
          <t>ROBERTSFORS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44980</v>
      </c>
      <c r="E415" s="1" t="n">
        <v>46280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31665-2026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46225</v>
      </c>
      <c r="E416" s="1" t="n">
        <v>46280</v>
      </c>
      <c r="F416" t="inlineStr">
        <is>
          <t>VÄSTERBOTTENS LÄN</t>
        </is>
      </c>
      <c r="G416" t="inlineStr">
        <is>
          <t>ROBERTSFORS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13187-2023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45002</v>
      </c>
      <c r="E417" s="1" t="n">
        <v>46280</v>
      </c>
      <c r="F417" t="inlineStr">
        <is>
          <t>VÄSTERBOTTENS LÄN</t>
        </is>
      </c>
      <c r="G417" t="inlineStr">
        <is>
          <t>ROBERTSFORS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31666-2026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46225</v>
      </c>
      <c r="E418" s="1" t="n">
        <v>46280</v>
      </c>
      <c r="F418" t="inlineStr">
        <is>
          <t>VÄSTERBOTTENS LÄN</t>
        </is>
      </c>
      <c r="G418" t="inlineStr">
        <is>
          <t>ROBERTSFORS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46225</v>
      </c>
      <c r="E419" s="1" t="n">
        <v>46280</v>
      </c>
      <c r="F419" t="inlineStr">
        <is>
          <t>VÄSTERBOTTENS LÄN</t>
        </is>
      </c>
      <c r="G419" t="inlineStr">
        <is>
          <t>ROBERTSFORS</t>
        </is>
      </c>
      <c r="I419" t="n">
        <v>10.4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35859-2026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46266</v>
      </c>
      <c r="E420" s="1" t="n">
        <v>46280</v>
      </c>
      <c r="F420" t="inlineStr">
        <is>
          <t>VÄSTERBOTTENS LÄN</t>
        </is>
      </c>
      <c r="G420" t="inlineStr">
        <is>
          <t>ROBERTSFORS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46269</v>
      </c>
      <c r="E421" s="1" t="n">
        <v>46280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46280</v>
      </c>
      <c r="F422" t="inlineStr">
        <is>
          <t>VÄSTERBOTTENS LÄN</t>
        </is>
      </c>
      <c r="G422" t="inlineStr">
        <is>
          <t>ROBERTSFORS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36523-2026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46269</v>
      </c>
      <c r="E423" s="1" t="n">
        <v>46280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33438-2023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45129</v>
      </c>
      <c r="E424" s="1" t="n">
        <v>46280</v>
      </c>
      <c r="F424" t="inlineStr">
        <is>
          <t>VÄSTERBOTTENS LÄN</t>
        </is>
      </c>
      <c r="G424" t="inlineStr">
        <is>
          <t>ROBERTSFORS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43027-2023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45182</v>
      </c>
      <c r="E425" s="1" t="n">
        <v>46280</v>
      </c>
      <c r="F425" t="inlineStr">
        <is>
          <t>VÄSTERBOTTENS LÄN</t>
        </is>
      </c>
      <c r="G425" t="inlineStr">
        <is>
          <t>ROBERTSFORS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26788-2023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45090</v>
      </c>
      <c r="E426" s="1" t="n">
        <v>46280</v>
      </c>
      <c r="F426" t="inlineStr">
        <is>
          <t>VÄSTERBOTTENS LÄN</t>
        </is>
      </c>
      <c r="G426" t="inlineStr">
        <is>
          <t>ROBERTSFORS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46269</v>
      </c>
      <c r="E427" s="1" t="n">
        <v>46280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46273</v>
      </c>
      <c r="E428" s="1" t="n">
        <v>46280</v>
      </c>
      <c r="F428" t="inlineStr">
        <is>
          <t>VÄSTERBOTTENS LÄN</t>
        </is>
      </c>
      <c r="G428" t="inlineStr">
        <is>
          <t>ROBERTSFORS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36381-2026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46268</v>
      </c>
      <c r="E429" s="1" t="n">
        <v>46280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Sveaskog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31806-2026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46230</v>
      </c>
      <c r="E430" s="1" t="n">
        <v>46280</v>
      </c>
      <c r="F430" t="inlineStr">
        <is>
          <t>VÄSTERBOTTENS LÄN</t>
        </is>
      </c>
      <c r="G430" t="inlineStr">
        <is>
          <t>ROBERTSFORS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15799-2024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45404</v>
      </c>
      <c r="E431" s="1" t="n">
        <v>46280</v>
      </c>
      <c r="F431" t="inlineStr">
        <is>
          <t>VÄSTERBOTTENS LÄN</t>
        </is>
      </c>
      <c r="G431" t="inlineStr">
        <is>
          <t>ROBERTSFORS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46280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Sveaskog</t>
        </is>
      </c>
      <c r="I432" t="n">
        <v>13.5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46269</v>
      </c>
      <c r="E433" s="1" t="n">
        <v>46280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Sveaskog</t>
        </is>
      </c>
      <c r="I433" t="n">
        <v>12.7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52835-2024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45610</v>
      </c>
      <c r="E434" s="1" t="n">
        <v>46280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SCA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46273</v>
      </c>
      <c r="E435" s="1" t="n">
        <v>46280</v>
      </c>
      <c r="F435" t="inlineStr">
        <is>
          <t>VÄSTERBOTTENS LÄN</t>
        </is>
      </c>
      <c r="G435" t="inlineStr">
        <is>
          <t>ROBERTSFORS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1117-2024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45302</v>
      </c>
      <c r="E436" s="1" t="n">
        <v>46280</v>
      </c>
      <c r="F436" t="inlineStr">
        <is>
          <t>VÄSTERBOTTENS LÄN</t>
        </is>
      </c>
      <c r="G436" t="inlineStr">
        <is>
          <t>ROBERTSFORS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53564-2024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46280</v>
      </c>
      <c r="F437" t="inlineStr">
        <is>
          <t>VÄSTERBOTTENS LÄN</t>
        </is>
      </c>
      <c r="G437" t="inlineStr">
        <is>
          <t>ROBERTSFORS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27852-2024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45475</v>
      </c>
      <c r="E438" s="1" t="n">
        <v>46280</v>
      </c>
      <c r="F438" t="inlineStr">
        <is>
          <t>VÄSTERBOTTENS LÄN</t>
        </is>
      </c>
      <c r="G438" t="inlineStr">
        <is>
          <t>ROBERTSFORS</t>
        </is>
      </c>
      <c r="I438" t="n">
        <v>10.5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37901-2023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45160</v>
      </c>
      <c r="E439" s="1" t="n">
        <v>46280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46279</v>
      </c>
      <c r="E440" s="1" t="n">
        <v>46280</v>
      </c>
      <c r="F440" t="inlineStr">
        <is>
          <t>VÄSTERBOTTENS LÄN</t>
        </is>
      </c>
      <c r="G440" t="inlineStr">
        <is>
          <t>ROBERTSFORS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46279</v>
      </c>
      <c r="E441" s="1" t="n">
        <v>46280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58712-2024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45635</v>
      </c>
      <c r="E442" s="1" t="n">
        <v>46280</v>
      </c>
      <c r="F442" t="inlineStr">
        <is>
          <t>VÄSTERBOTTENS LÄN</t>
        </is>
      </c>
      <c r="G442" t="inlineStr">
        <is>
          <t>ROBERTSFORS</t>
        </is>
      </c>
      <c r="I442" t="n">
        <v>6.8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46276</v>
      </c>
      <c r="E443" s="1" t="n">
        <v>46280</v>
      </c>
      <c r="F443" t="inlineStr">
        <is>
          <t>VÄSTERBOTTENS LÄN</t>
        </is>
      </c>
      <c r="G443" t="inlineStr">
        <is>
          <t>ROBERTSFORS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24467-2024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45458</v>
      </c>
      <c r="E444" s="1" t="n">
        <v>46280</v>
      </c>
      <c r="F444" t="inlineStr">
        <is>
          <t>VÄSTERBOTTENS LÄN</t>
        </is>
      </c>
      <c r="G444" t="inlineStr">
        <is>
          <t>ROBERTSFORS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18533-2023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45041</v>
      </c>
      <c r="E445" s="1" t="n">
        <v>46280</v>
      </c>
      <c r="F445" t="inlineStr">
        <is>
          <t>VÄSTERBOTTENS LÄN</t>
        </is>
      </c>
      <c r="G445" t="inlineStr">
        <is>
          <t>ROBERTSFORS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46279</v>
      </c>
      <c r="E446" s="1" t="n">
        <v>46280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37844-2026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46279</v>
      </c>
      <c r="E447" s="1" t="n">
        <v>46280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37609-2026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46276</v>
      </c>
      <c r="E448" s="1" t="n">
        <v>46280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45133</v>
      </c>
      <c r="E449" s="1" t="n">
        <v>46280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17210-2025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45756</v>
      </c>
      <c r="E450" s="1" t="n">
        <v>46280</v>
      </c>
      <c r="F450" t="inlineStr">
        <is>
          <t>VÄSTERBOTTENS LÄN</t>
        </is>
      </c>
      <c r="G450" t="inlineStr">
        <is>
          <t>ROBERTSFORS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45678</v>
      </c>
      <c r="E451" s="1" t="n">
        <v>46280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9.4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39437-2024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45551</v>
      </c>
      <c r="E452" s="1" t="n">
        <v>46280</v>
      </c>
      <c r="F452" t="inlineStr">
        <is>
          <t>VÄSTERBOTTENS LÄN</t>
        </is>
      </c>
      <c r="G452" t="inlineStr">
        <is>
          <t>ROBERTSFORS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62506-2023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45268</v>
      </c>
      <c r="E453" s="1" t="n">
        <v>46280</v>
      </c>
      <c r="F453" t="inlineStr">
        <is>
          <t>VÄSTERBOTTENS LÄN</t>
        </is>
      </c>
      <c r="G453" t="inlineStr">
        <is>
          <t>ROBERTSFORS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1713-2024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45307</v>
      </c>
      <c r="E454" s="1" t="n">
        <v>46280</v>
      </c>
      <c r="F454" t="inlineStr">
        <is>
          <t>VÄSTERBOTTENS LÄN</t>
        </is>
      </c>
      <c r="G454" t="inlineStr">
        <is>
          <t>ROBERTSFORS</t>
        </is>
      </c>
      <c r="I454" t="n">
        <v>12.1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51966-2024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45607</v>
      </c>
      <c r="E455" s="1" t="n">
        <v>46280</v>
      </c>
      <c r="F455" t="inlineStr">
        <is>
          <t>VÄSTERBOTTENS LÄN</t>
        </is>
      </c>
      <c r="G455" t="inlineStr">
        <is>
          <t>ROBERTSFORS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26894-2024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45470</v>
      </c>
      <c r="E456" s="1" t="n">
        <v>46280</v>
      </c>
      <c r="F456" t="inlineStr">
        <is>
          <t>VÄSTERBOTTENS LÄN</t>
        </is>
      </c>
      <c r="G456" t="inlineStr">
        <is>
          <t>ROBERTSFORS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991-2024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45301</v>
      </c>
      <c r="E457" s="1" t="n">
        <v>46280</v>
      </c>
      <c r="F457" t="inlineStr">
        <is>
          <t>VÄSTERBOTTENS LÄN</t>
        </is>
      </c>
      <c r="G457" t="inlineStr">
        <is>
          <t>ROBERTSFORS</t>
        </is>
      </c>
      <c r="I457" t="n">
        <v>8.800000000000001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8686-2025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45712</v>
      </c>
      <c r="E458" s="1" t="n">
        <v>46280</v>
      </c>
      <c r="F458" t="inlineStr">
        <is>
          <t>VÄSTERBOTTENS LÄN</t>
        </is>
      </c>
      <c r="G458" t="inlineStr">
        <is>
          <t>ROBERTSFORS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61553-2023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45261</v>
      </c>
      <c r="E459" s="1" t="n">
        <v>46280</v>
      </c>
      <c r="F459" t="inlineStr">
        <is>
          <t>VÄSTERBOTTENS LÄN</t>
        </is>
      </c>
      <c r="G459" t="inlineStr">
        <is>
          <t>ROBERTSFORS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54344-2024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45617</v>
      </c>
      <c r="E460" s="1" t="n">
        <v>46280</v>
      </c>
      <c r="F460" t="inlineStr">
        <is>
          <t>VÄSTERBOTTENS LÄN</t>
        </is>
      </c>
      <c r="G460" t="inlineStr">
        <is>
          <t>ROBERTSFORS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38270-2023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45160</v>
      </c>
      <c r="E461" s="1" t="n">
        <v>46280</v>
      </c>
      <c r="F461" t="inlineStr">
        <is>
          <t>VÄSTERBOTTENS LÄN</t>
        </is>
      </c>
      <c r="G461" t="inlineStr">
        <is>
          <t>ROBERTSFORS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41850-2023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45176</v>
      </c>
      <c r="E462" s="1" t="n">
        <v>46280</v>
      </c>
      <c r="F462" t="inlineStr">
        <is>
          <t>VÄSTERBOTTENS LÄN</t>
        </is>
      </c>
      <c r="G462" t="inlineStr">
        <is>
          <t>ROBERTSFORS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10330-2024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45365</v>
      </c>
      <c r="E463" s="1" t="n">
        <v>46280</v>
      </c>
      <c r="F463" t="inlineStr">
        <is>
          <t>VÄSTERBOTTENS LÄN</t>
        </is>
      </c>
      <c r="G463" t="inlineStr">
        <is>
          <t>ROBERTSFORS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38949-2024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45548</v>
      </c>
      <c r="E464" s="1" t="n">
        <v>46280</v>
      </c>
      <c r="F464" t="inlineStr">
        <is>
          <t>VÄSTERBOTTENS LÄN</t>
        </is>
      </c>
      <c r="G464" t="inlineStr">
        <is>
          <t>ROBERTSFORS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43424-2024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45568</v>
      </c>
      <c r="E465" s="1" t="n">
        <v>46280</v>
      </c>
      <c r="F465" t="inlineStr">
        <is>
          <t>VÄSTERBOTTENS LÄN</t>
        </is>
      </c>
      <c r="G465" t="inlineStr">
        <is>
          <t>ROBERTSFORS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45667</v>
      </c>
      <c r="E466" s="1" t="n">
        <v>46280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52832-2024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46280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SCA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44580</v>
      </c>
      <c r="E468" s="1" t="n">
        <v>46280</v>
      </c>
      <c r="F468" t="inlineStr">
        <is>
          <t>VÄSTERBOTTENS LÄN</t>
        </is>
      </c>
      <c r="G468" t="inlineStr">
        <is>
          <t>ROBERTSFORS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34771-2024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45526</v>
      </c>
      <c r="E469" s="1" t="n">
        <v>46280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45432</v>
      </c>
      <c r="E470" s="1" t="n">
        <v>46280</v>
      </c>
      <c r="F470" t="inlineStr">
        <is>
          <t>VÄSTERBOTTENS LÄN</t>
        </is>
      </c>
      <c r="G470" t="inlineStr">
        <is>
          <t>ROBERTSFORS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59032-2024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45636</v>
      </c>
      <c r="E471" s="1" t="n">
        <v>46280</v>
      </c>
      <c r="F471" t="inlineStr">
        <is>
          <t>VÄSTERBOTTENS LÄN</t>
        </is>
      </c>
      <c r="G471" t="inlineStr">
        <is>
          <t>ROBERTSFORS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60882-2024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45644</v>
      </c>
      <c r="E472" s="1" t="n">
        <v>46280</v>
      </c>
      <c r="F472" t="inlineStr">
        <is>
          <t>VÄSTERBOTTENS LÄN</t>
        </is>
      </c>
      <c r="G472" t="inlineStr">
        <is>
          <t>ROBERTSFORS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50448-2024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45601</v>
      </c>
      <c r="E473" s="1" t="n">
        <v>46280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53984-2022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44876</v>
      </c>
      <c r="E474" s="1" t="n">
        <v>46280</v>
      </c>
      <c r="F474" t="inlineStr">
        <is>
          <t>VÄSTERBOTTENS LÄN</t>
        </is>
      </c>
      <c r="G474" t="inlineStr">
        <is>
          <t>ROBERTSFORS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45463</v>
      </c>
      <c r="E475" s="1" t="n">
        <v>46280</v>
      </c>
      <c r="F475" t="inlineStr">
        <is>
          <t>VÄSTERBOTTENS LÄN</t>
        </is>
      </c>
      <c r="G475" t="inlineStr">
        <is>
          <t>ROBERTSFORS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16865-2023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45029</v>
      </c>
      <c r="E476" s="1" t="n">
        <v>46280</v>
      </c>
      <c r="F476" t="inlineStr">
        <is>
          <t>VÄSTERBOTTENS LÄN</t>
        </is>
      </c>
      <c r="G476" t="inlineStr">
        <is>
          <t>ROBERTSFORS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45565</v>
      </c>
      <c r="E477" s="1" t="n">
        <v>46280</v>
      </c>
      <c r="F477" t="inlineStr">
        <is>
          <t>VÄSTERBOTTENS LÄN</t>
        </is>
      </c>
      <c r="G477" t="inlineStr">
        <is>
          <t>ROBERTSFORS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56703-2024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45627</v>
      </c>
      <c r="E478" s="1" t="n">
        <v>46280</v>
      </c>
      <c r="F478" t="inlineStr">
        <is>
          <t>VÄSTERBOTTENS LÄN</t>
        </is>
      </c>
      <c r="G478" t="inlineStr">
        <is>
          <t>ROBERTSFORS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45215</v>
      </c>
      <c r="E479" s="1" t="n">
        <v>46280</v>
      </c>
      <c r="F479" t="inlineStr">
        <is>
          <t>VÄSTERBOTTENS LÄN</t>
        </is>
      </c>
      <c r="G479" t="inlineStr">
        <is>
          <t>ROBERTSFORS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46280</v>
      </c>
      <c r="F480" t="inlineStr">
        <is>
          <t>VÄSTERBOTTENS LÄN</t>
        </is>
      </c>
      <c r="G480" t="inlineStr">
        <is>
          <t>ROBERTSFORS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58426-2022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44901</v>
      </c>
      <c r="E481" s="1" t="n">
        <v>46280</v>
      </c>
      <c r="F481" t="inlineStr">
        <is>
          <t>VÄSTERBOTTENS LÄN</t>
        </is>
      </c>
      <c r="G481" t="inlineStr">
        <is>
          <t>ROBERTSFORS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34821-2023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45140</v>
      </c>
      <c r="E482" s="1" t="n">
        <v>46280</v>
      </c>
      <c r="F482" t="inlineStr">
        <is>
          <t>VÄSTERBOTTENS LÄN</t>
        </is>
      </c>
      <c r="G482" t="inlineStr">
        <is>
          <t>ROBERTSFORS</t>
        </is>
      </c>
      <c r="I482" t="n">
        <v>15.3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50046-2024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45600</v>
      </c>
      <c r="E483" s="1" t="n">
        <v>46280</v>
      </c>
      <c r="F483" t="inlineStr">
        <is>
          <t>VÄSTERBOTTENS LÄN</t>
        </is>
      </c>
      <c r="G483" t="inlineStr">
        <is>
          <t>ROBERTSFORS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58240-2023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45250</v>
      </c>
      <c r="E484" s="1" t="n">
        <v>46280</v>
      </c>
      <c r="F484" t="inlineStr">
        <is>
          <t>VÄSTERBOTTENS LÄN</t>
        </is>
      </c>
      <c r="G484" t="inlineStr">
        <is>
          <t>ROBERTSFORS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52833-2024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46280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SCA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46663-2024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45583</v>
      </c>
      <c r="E486" s="1" t="n">
        <v>46280</v>
      </c>
      <c r="F486" t="inlineStr">
        <is>
          <t>VÄSTERBOTTENS LÄN</t>
        </is>
      </c>
      <c r="G486" t="inlineStr">
        <is>
          <t>ROBERTSFORS</t>
        </is>
      </c>
      <c r="I486" t="n">
        <v>9.6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44571</v>
      </c>
      <c r="E487" s="1" t="n">
        <v>46280</v>
      </c>
      <c r="F487" t="inlineStr">
        <is>
          <t>VÄSTERBOTTENS LÄN</t>
        </is>
      </c>
      <c r="G487" t="inlineStr">
        <is>
          <t>ROBERTSFORS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58790-2022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44895</v>
      </c>
      <c r="E488" s="1" t="n">
        <v>46280</v>
      </c>
      <c r="F488" t="inlineStr">
        <is>
          <t>VÄSTERBOTTENS LÄN</t>
        </is>
      </c>
      <c r="G488" t="inlineStr">
        <is>
          <t>ROBERTSFORS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26368-2024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45468</v>
      </c>
      <c r="E489" s="1" t="n">
        <v>46280</v>
      </c>
      <c r="F489" t="inlineStr">
        <is>
          <t>VÄSTERBOTTENS LÄN</t>
        </is>
      </c>
      <c r="G489" t="inlineStr">
        <is>
          <t>ROBERTSFORS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38120-2024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46280</v>
      </c>
      <c r="F490" t="inlineStr">
        <is>
          <t>VÄSTERBOTTENS LÄN</t>
        </is>
      </c>
      <c r="G490" t="inlineStr">
        <is>
          <t>ROBERTSFORS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45664</v>
      </c>
      <c r="E491" s="1" t="n">
        <v>46280</v>
      </c>
      <c r="F491" t="inlineStr">
        <is>
          <t>VÄSTERBOTTENS LÄN</t>
        </is>
      </c>
      <c r="G491" t="inlineStr">
        <is>
          <t>ROBERTSFORS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45708</v>
      </c>
      <c r="E492" s="1" t="n">
        <v>46280</v>
      </c>
      <c r="F492" t="inlineStr">
        <is>
          <t>VÄSTERBOTTENS LÄN</t>
        </is>
      </c>
      <c r="G492" t="inlineStr">
        <is>
          <t>ROBERTSFORS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30733-2024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45496</v>
      </c>
      <c r="E493" s="1" t="n">
        <v>46280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8.6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10173-2022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44622</v>
      </c>
      <c r="E494" s="1" t="n">
        <v>46280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25572-2023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45082</v>
      </c>
      <c r="E495" s="1" t="n">
        <v>46280</v>
      </c>
      <c r="F495" t="inlineStr">
        <is>
          <t>VÄSTERBOTTENS LÄN</t>
        </is>
      </c>
      <c r="G495" t="inlineStr">
        <is>
          <t>ROBERTSFORS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45644</v>
      </c>
      <c r="E496" s="1" t="n">
        <v>46280</v>
      </c>
      <c r="F496" t="inlineStr">
        <is>
          <t>VÄSTERBOTTENS LÄN</t>
        </is>
      </c>
      <c r="G496" t="inlineStr">
        <is>
          <t>ROBERTSFORS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44952</v>
      </c>
      <c r="E497" s="1" t="n">
        <v>46280</v>
      </c>
      <c r="F497" t="inlineStr">
        <is>
          <t>VÄSTERBOTTENS LÄN</t>
        </is>
      </c>
      <c r="G497" t="inlineStr">
        <is>
          <t>ROBERTSFORS</t>
        </is>
      </c>
      <c r="I497" t="n">
        <v>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10334-2023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44980</v>
      </c>
      <c r="E498" s="1" t="n">
        <v>46280</v>
      </c>
      <c r="F498" t="inlineStr">
        <is>
          <t>VÄSTERBOTTENS LÄN</t>
        </is>
      </c>
      <c r="G498" t="inlineStr">
        <is>
          <t>ROBERTSFORS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8256-2025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45708</v>
      </c>
      <c r="E499" s="1" t="n">
        <v>46280</v>
      </c>
      <c r="F499" t="inlineStr">
        <is>
          <t>VÄSTERBOTTENS LÄN</t>
        </is>
      </c>
      <c r="G499" t="inlineStr">
        <is>
          <t>ROBERTSFORS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43547-2023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45184</v>
      </c>
      <c r="E500" s="1" t="n">
        <v>46280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44952</v>
      </c>
      <c r="E501" s="1" t="n">
        <v>46280</v>
      </c>
      <c r="F501" t="inlineStr">
        <is>
          <t>VÄSTERBOTTENS LÄN</t>
        </is>
      </c>
      <c r="G501" t="inlineStr">
        <is>
          <t>ROBERTSFORS</t>
        </is>
      </c>
      <c r="I501" t="n">
        <v>16.1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51873-2024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45607</v>
      </c>
      <c r="E502" s="1" t="n">
        <v>46280</v>
      </c>
      <c r="F502" t="inlineStr">
        <is>
          <t>VÄSTERBOTTENS LÄN</t>
        </is>
      </c>
      <c r="G502" t="inlineStr">
        <is>
          <t>ROBERTSFORS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45659</v>
      </c>
      <c r="E503" s="1" t="n">
        <v>46280</v>
      </c>
      <c r="F503" t="inlineStr">
        <is>
          <t>VÄSTERBOTTENS LÄN</t>
        </is>
      </c>
      <c r="G503" t="inlineStr">
        <is>
          <t>ROBERTSFORS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46280</v>
      </c>
      <c r="F504" t="inlineStr">
        <is>
          <t>VÄSTERBOTTENS LÄN</t>
        </is>
      </c>
      <c r="G504" t="inlineStr">
        <is>
          <t>ROBERTSFORS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43095-2023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45182</v>
      </c>
      <c r="E505" s="1" t="n">
        <v>46280</v>
      </c>
      <c r="F505" t="inlineStr">
        <is>
          <t>VÄSTERBOTTENS LÄN</t>
        </is>
      </c>
      <c r="G505" t="inlineStr">
        <is>
          <t>ROBERTSFORS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58030-2024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45631</v>
      </c>
      <c r="E506" s="1" t="n">
        <v>46280</v>
      </c>
      <c r="F506" t="inlineStr">
        <is>
          <t>VÄSTERBOTTENS LÄN</t>
        </is>
      </c>
      <c r="G506" t="inlineStr">
        <is>
          <t>ROBERTSFORS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45135</v>
      </c>
      <c r="E507" s="1" t="n">
        <v>46280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59051-2024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45636</v>
      </c>
      <c r="E508" s="1" t="n">
        <v>46280</v>
      </c>
      <c r="F508" t="inlineStr">
        <is>
          <t>VÄSTERBOTTENS LÄN</t>
        </is>
      </c>
      <c r="G508" t="inlineStr">
        <is>
          <t>ROBERTSFORS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18143-2023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45040</v>
      </c>
      <c r="E509" s="1" t="n">
        <v>46280</v>
      </c>
      <c r="F509" t="inlineStr">
        <is>
          <t>VÄSTERBOTTENS LÄN</t>
        </is>
      </c>
      <c r="G509" t="inlineStr">
        <is>
          <t>ROBERTSFORS</t>
        </is>
      </c>
      <c r="I509" t="n">
        <v>11.5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17848-2022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44683</v>
      </c>
      <c r="E510" s="1" t="n">
        <v>46280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35222-2024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45530</v>
      </c>
      <c r="E511" s="1" t="n">
        <v>46280</v>
      </c>
      <c r="F511" t="inlineStr">
        <is>
          <t>VÄSTERBOTTENS LÄN</t>
        </is>
      </c>
      <c r="G511" t="inlineStr">
        <is>
          <t>ROBERTSFORS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5689-2023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44960</v>
      </c>
      <c r="E512" s="1" t="n">
        <v>46280</v>
      </c>
      <c r="F512" t="inlineStr">
        <is>
          <t>VÄSTERBOTTENS LÄN</t>
        </is>
      </c>
      <c r="G512" t="inlineStr">
        <is>
          <t>ROBERTSFORS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4376-2022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44588</v>
      </c>
      <c r="E513" s="1" t="n">
        <v>46280</v>
      </c>
      <c r="F513" t="inlineStr">
        <is>
          <t>VÄSTERBOTTENS LÄN</t>
        </is>
      </c>
      <c r="G513" t="inlineStr">
        <is>
          <t>ROBERTSFORS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45659</v>
      </c>
      <c r="E514" s="1" t="n">
        <v>46280</v>
      </c>
      <c r="F514" t="inlineStr">
        <is>
          <t>VÄSTERBOTTENS LÄN</t>
        </is>
      </c>
      <c r="G514" t="inlineStr">
        <is>
          <t>ROBERTSFORS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45525</v>
      </c>
      <c r="E515" s="1" t="n">
        <v>46280</v>
      </c>
      <c r="F515" t="inlineStr">
        <is>
          <t>VÄSTERBOTTENS LÄN</t>
        </is>
      </c>
      <c r="G515" t="inlineStr">
        <is>
          <t>ROBERTSFORS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5251-2025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45692</v>
      </c>
      <c r="E516" s="1" t="n">
        <v>46280</v>
      </c>
      <c r="F516" t="inlineStr">
        <is>
          <t>VÄSTERBOTTENS LÄN</t>
        </is>
      </c>
      <c r="G516" t="inlineStr">
        <is>
          <t>ROBERTSFORS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45671</v>
      </c>
      <c r="E517" s="1" t="n">
        <v>46280</v>
      </c>
      <c r="F517" t="inlineStr">
        <is>
          <t>VÄSTERBOTTENS LÄN</t>
        </is>
      </c>
      <c r="G517" t="inlineStr">
        <is>
          <t>ROBERTSFORS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73557-2021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44551</v>
      </c>
      <c r="E518" s="1" t="n">
        <v>46280</v>
      </c>
      <c r="F518" t="inlineStr">
        <is>
          <t>VÄSTERBOTTENS LÄN</t>
        </is>
      </c>
      <c r="G518" t="inlineStr">
        <is>
          <t>ROBERTSFORS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25575-2022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44732</v>
      </c>
      <c r="E519" s="1" t="n">
        <v>46280</v>
      </c>
      <c r="F519" t="inlineStr">
        <is>
          <t>VÄSTERBOTTENS LÄN</t>
        </is>
      </c>
      <c r="G519" t="inlineStr">
        <is>
          <t>ROBERTSFORS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38092-2022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44811</v>
      </c>
      <c r="E520" s="1" t="n">
        <v>46280</v>
      </c>
      <c r="F520" t="inlineStr">
        <is>
          <t>VÄSTERBOTTENS LÄN</t>
        </is>
      </c>
      <c r="G520" t="inlineStr">
        <is>
          <t>ROBERTSFORS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20519-2022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44699</v>
      </c>
      <c r="E521" s="1" t="n">
        <v>46280</v>
      </c>
      <c r="F521" t="inlineStr">
        <is>
          <t>VÄSTERBOTTENS LÄN</t>
        </is>
      </c>
      <c r="G521" t="inlineStr">
        <is>
          <t>ROBERTSFORS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59833-2022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44901</v>
      </c>
      <c r="E522" s="1" t="n">
        <v>46280</v>
      </c>
      <c r="F522" t="inlineStr">
        <is>
          <t>VÄSTERBOTTENS LÄN</t>
        </is>
      </c>
      <c r="G522" t="inlineStr">
        <is>
          <t>ROBERTSFORS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13533-2023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45005</v>
      </c>
      <c r="E523" s="1" t="n">
        <v>46280</v>
      </c>
      <c r="F523" t="inlineStr">
        <is>
          <t>VÄSTERBOTTENS LÄN</t>
        </is>
      </c>
      <c r="G523" t="inlineStr">
        <is>
          <t>ROBERTSFORS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45148</v>
      </c>
      <c r="E524" s="1" t="n">
        <v>46280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45670</v>
      </c>
      <c r="E525" s="1" t="n">
        <v>46280</v>
      </c>
      <c r="F525" t="inlineStr">
        <is>
          <t>VÄSTERBOTTENS LÄN</t>
        </is>
      </c>
      <c r="G525" t="inlineStr">
        <is>
          <t>ROBERTSFORS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45687</v>
      </c>
      <c r="E526" s="1" t="n">
        <v>46280</v>
      </c>
      <c r="F526" t="inlineStr">
        <is>
          <t>VÄSTERBOTTENS LÄN</t>
        </is>
      </c>
      <c r="G526" t="inlineStr">
        <is>
          <t>ROBERTSFORS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7076-2025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45701</v>
      </c>
      <c r="E527" s="1" t="n">
        <v>46280</v>
      </c>
      <c r="F527" t="inlineStr">
        <is>
          <t>VÄSTERBOTTENS LÄN</t>
        </is>
      </c>
      <c r="G527" t="inlineStr">
        <is>
          <t>ROBERTSFORS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38352-2023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45161</v>
      </c>
      <c r="E528" s="1" t="n">
        <v>46280</v>
      </c>
      <c r="F528" t="inlineStr">
        <is>
          <t>VÄSTERBOTTENS LÄN</t>
        </is>
      </c>
      <c r="G528" t="inlineStr">
        <is>
          <t>ROBERTSFORS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45246</v>
      </c>
      <c r="E529" s="1" t="n">
        <v>46280</v>
      </c>
      <c r="F529" t="inlineStr">
        <is>
          <t>VÄSTERBOTTENS LÄN</t>
        </is>
      </c>
      <c r="G529" t="inlineStr">
        <is>
          <t>ROBERTSFORS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58579-2023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45246</v>
      </c>
      <c r="E530" s="1" t="n">
        <v>46280</v>
      </c>
      <c r="F530" t="inlineStr">
        <is>
          <t>VÄSTERBOTTENS LÄN</t>
        </is>
      </c>
      <c r="G530" t="inlineStr">
        <is>
          <t>ROBERTSFORS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38083-2023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45160</v>
      </c>
      <c r="E531" s="1" t="n">
        <v>46280</v>
      </c>
      <c r="F531" t="inlineStr">
        <is>
          <t>VÄSTERBOTTENS LÄN</t>
        </is>
      </c>
      <c r="G531" t="inlineStr">
        <is>
          <t>ROBERTSFORS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60570-2024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45644</v>
      </c>
      <c r="E532" s="1" t="n">
        <v>46280</v>
      </c>
      <c r="F532" t="inlineStr">
        <is>
          <t>VÄSTERBOTTENS LÄN</t>
        </is>
      </c>
      <c r="G532" t="inlineStr">
        <is>
          <t>ROBERTSFORS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57008-2024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45628</v>
      </c>
      <c r="E533" s="1" t="n">
        <v>46280</v>
      </c>
      <c r="F533" t="inlineStr">
        <is>
          <t>VÄSTERBOTTENS LÄN</t>
        </is>
      </c>
      <c r="G533" t="inlineStr">
        <is>
          <t>ROBERTSFORS</t>
        </is>
      </c>
      <c r="I533" t="n">
        <v>12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45495</v>
      </c>
      <c r="E534" s="1" t="n">
        <v>46280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Holmen skog AB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60225-2024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45642</v>
      </c>
      <c r="E535" s="1" t="n">
        <v>46280</v>
      </c>
      <c r="F535" t="inlineStr">
        <is>
          <t>VÄSTERBOTTENS LÄN</t>
        </is>
      </c>
      <c r="G535" t="inlineStr">
        <is>
          <t>ROBERTSFORS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44372-2023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45188</v>
      </c>
      <c r="E536" s="1" t="n">
        <v>46280</v>
      </c>
      <c r="F536" t="inlineStr">
        <is>
          <t>VÄSTERBOTTENS LÄN</t>
        </is>
      </c>
      <c r="G536" t="inlineStr">
        <is>
          <t>ROBERTSFORS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2849-2022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44707</v>
      </c>
      <c r="E537" s="1" t="n">
        <v>46280</v>
      </c>
      <c r="F537" t="inlineStr">
        <is>
          <t>VÄSTERBOTTENS LÄN</t>
        </is>
      </c>
      <c r="G537" t="inlineStr">
        <is>
          <t>ROBERTSFORS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8592-2021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44501</v>
      </c>
      <c r="E538" s="1" t="n">
        <v>46280</v>
      </c>
      <c r="F538" t="inlineStr">
        <is>
          <t>VÄSTERBOTTENS LÄN</t>
        </is>
      </c>
      <c r="G538" t="inlineStr">
        <is>
          <t>ROBERTSFORS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1034-2025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45747</v>
      </c>
      <c r="E539" s="1" t="n">
        <v>46280</v>
      </c>
      <c r="F539" t="inlineStr">
        <is>
          <t>VÄSTERBOTTENS LÄN</t>
        </is>
      </c>
      <c r="G539" t="inlineStr">
        <is>
          <t>ROBERTSFORS</t>
        </is>
      </c>
      <c r="H539" t="inlineStr">
        <is>
          <t>Sveaskog</t>
        </is>
      </c>
      <c r="I539" t="n">
        <v>14.9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1249-2025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45762</v>
      </c>
      <c r="E540" s="1" t="n">
        <v>46280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Holmen skog AB</t>
        </is>
      </c>
      <c r="I540" t="n">
        <v>175.8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702-2026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46092</v>
      </c>
      <c r="E541" s="1" t="n">
        <v>46280</v>
      </c>
      <c r="F541" t="inlineStr">
        <is>
          <t>VÄSTERBOTTENS LÄN</t>
        </is>
      </c>
      <c r="G541" t="inlineStr">
        <is>
          <t>ROBERTSFORS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1273-2026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46147</v>
      </c>
      <c r="E542" s="1" t="n">
        <v>46280</v>
      </c>
      <c r="F542" t="inlineStr">
        <is>
          <t>VÄSTERBOTTENS LÄN</t>
        </is>
      </c>
      <c r="G542" t="inlineStr">
        <is>
          <t>ROBERTSFORS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1322-2026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46149</v>
      </c>
      <c r="E543" s="1" t="n">
        <v>46280</v>
      </c>
      <c r="F543" t="inlineStr">
        <is>
          <t>VÄSTERBOTTENS LÄN</t>
        </is>
      </c>
      <c r="G543" t="inlineStr">
        <is>
          <t>ROBERTSFORS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>
      <c r="A544" t="inlineStr">
        <is>
          <t>S 1416-2026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46155</v>
      </c>
      <c r="E544" s="1" t="n">
        <v>46280</v>
      </c>
      <c r="F544" t="inlineStr">
        <is>
          <t>VÄSTERBOTTENS LÄN</t>
        </is>
      </c>
      <c r="G544" t="inlineStr">
        <is>
          <t>ROBERTSFORS</t>
        </is>
      </c>
      <c r="I544" t="n">
        <v>32.7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2026-09-15T08:13:51Z</dcterms:created>
  <dcterms:modified xmlns:dcterms="http://purl.org/dc/terms/" xmlns:xsi="http://www.w3.org/2001/XMLSchema-instance" xsi:type="dcterms:W3CDTF">2026-09-15T08:13:51Z</dcterms:modified>
</cp:coreProperties>
</file>