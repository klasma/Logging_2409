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46321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46321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46321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46321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46321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46321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46321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46321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46321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46321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46321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46321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46321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46321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46321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46321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46321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46321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46321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46321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46321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46321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46321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46321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46321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46321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46321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46307</v>
      </c>
      <c r="E30" s="1" t="n">
        <v>46321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14.3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13</v>
      </c>
      <c r="U30" t="n">
        <v>0</v>
      </c>
      <c r="V30" s="2" t="inlineStr">
        <is>
          <t>Tjäder
Orre</t>
        </is>
      </c>
      <c r="W30">
        <f>HYPERLINK("https://klasma.github.io/Logging_2409/artfynd/A 42296-2026 artfynd.xlsx", "A 42296-2026")</f>
        <v/>
      </c>
      <c r="X30">
        <f>HYPERLINK("https://klasma.github.io/Logging_2409/kartor/A 42296-2026 karta.png", "A 42296-2026")</f>
        <v/>
      </c>
      <c r="Y30">
        <f>HYPERLINK("https://klasma.github.io/Logging_2409/kartor_geotiff/A 42296-2026 georefererad karta.tif", "A 42296-2026")</f>
        <v/>
      </c>
      <c r="AA30">
        <f>HYPERLINK("https://klasma.github.io/Logging_2409/klagomål/A 42296-2026 FSC-klagomål.docx", "A 42296-2026")</f>
        <v/>
      </c>
      <c r="AB30">
        <f>HYPERLINK("https://klasma.github.io/Logging_2409/klagomålsmail/A 42296-2026 FSC-klagomål mail.docx", "A 42296-2026")</f>
        <v/>
      </c>
      <c r="AC30">
        <f>HYPERLINK("https://klasma.github.io/Logging_2409/tillsyn/A 42296-2026 tillsynsbegäran.docx", "A 42296-2026")</f>
        <v/>
      </c>
      <c r="AD30">
        <f>HYPERLINK("https://klasma.github.io/Logging_2409/tillsynsmail/A 42296-2026 tillsynsbegäran mail.docx", "A 42296-2026")</f>
        <v/>
      </c>
      <c r="AE30">
        <f>HYPERLINK("https://klasma.github.io/Logging_2409/fåglar/A 42296-2026 prioriterade fågelarter.docx", "A 42296-2026")</f>
        <v/>
      </c>
    </row>
    <row r="31" ht="15" customHeight="1">
      <c r="A31" t="inlineStr">
        <is>
          <t>A 35660-2026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46265</v>
      </c>
      <c r="E31" s="1" t="n">
        <v>46321</v>
      </c>
      <c r="F31" t="inlineStr">
        <is>
          <t>VÄSTERBOTTENS LÄN</t>
        </is>
      </c>
      <c r="G31" t="inlineStr">
        <is>
          <t>ROBERTSFORS</t>
        </is>
      </c>
      <c r="I31" t="n">
        <v>18.3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0</v>
      </c>
      <c r="V31" s="2" t="inlineStr">
        <is>
          <t>Tjäder
Orre</t>
        </is>
      </c>
      <c r="W31">
        <f>HYPERLINK("https://klasma.github.io/Logging_2409/artfynd/A 35660-2026 artfynd.xlsx", "A 35660-2026")</f>
        <v/>
      </c>
      <c r="X31">
        <f>HYPERLINK("https://klasma.github.io/Logging_2409/kartor/A 35660-2026 karta.png", "A 35660-2026")</f>
        <v/>
      </c>
      <c r="Y31">
        <f>HYPERLINK("https://klasma.github.io/Logging_2409/kartor_geotiff/A 35660-2026 georefererad karta.tif", "A 35660-2026")</f>
        <v/>
      </c>
      <c r="AA31">
        <f>HYPERLINK("https://klasma.github.io/Logging_2409/klagomål/A 35660-2026 FSC-klagomål.docx", "A 35660-2026")</f>
        <v/>
      </c>
      <c r="AB31">
        <f>HYPERLINK("https://klasma.github.io/Logging_2409/klagomålsmail/A 35660-2026 FSC-klagomål mail.docx", "A 35660-2026")</f>
        <v/>
      </c>
      <c r="AC31">
        <f>HYPERLINK("https://klasma.github.io/Logging_2409/tillsyn/A 35660-2026 tillsynsbegäran.docx", "A 35660-2026")</f>
        <v/>
      </c>
      <c r="AD31">
        <f>HYPERLINK("https://klasma.github.io/Logging_2409/tillsynsmail/A 35660-2026 tillsynsbegäran mail.docx", "A 35660-2026")</f>
        <v/>
      </c>
      <c r="AE31">
        <f>HYPERLINK("https://klasma.github.io/Logging_2409/fåglar/A 35660-2026 prioriterade fågelarter.docx", "A 35660-2026")</f>
        <v/>
      </c>
    </row>
    <row r="32" ht="15" customHeight="1">
      <c r="A32" t="inlineStr">
        <is>
          <t>A 19724-2023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46321</v>
      </c>
      <c r="F32" t="inlineStr">
        <is>
          <t>VÄSTERBOTTENS LÄN</t>
        </is>
      </c>
      <c r="G32" t="inlineStr">
        <is>
          <t>ROBERTSFORS</t>
        </is>
      </c>
      <c r="I32" t="n">
        <v>6.1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Skarp dropptaggsvamp</t>
        </is>
      </c>
      <c r="W32">
        <f>HYPERLINK("https://klasma.github.io/Logging_2409/artfynd/A 19724-2023 artfynd.xlsx", "A 19724-2023")</f>
        <v/>
      </c>
      <c r="X32">
        <f>HYPERLINK("https://klasma.github.io/Logging_2409/kartor/A 19724-2023 karta.png", "A 19724-2023")</f>
        <v/>
      </c>
      <c r="Y32">
        <f>HYPERLINK("https://klasma.github.io/Logging_2409/kartor_geotiff/A 19724-2023 georefererad karta.tif", "A 19724-2023")</f>
        <v/>
      </c>
      <c r="AA32">
        <f>HYPERLINK("https://klasma.github.io/Logging_2409/klagomål/A 19724-2023 FSC-klagomål.docx", "A 19724-2023")</f>
        <v/>
      </c>
      <c r="AB32">
        <f>HYPERLINK("https://klasma.github.io/Logging_2409/klagomålsmail/A 19724-2023 FSC-klagomål mail.docx", "A 19724-2023")</f>
        <v/>
      </c>
      <c r="AC32">
        <f>HYPERLINK("https://klasma.github.io/Logging_2409/tillsyn/A 19724-2023 tillsynsbegäran.docx", "A 19724-2023")</f>
        <v/>
      </c>
      <c r="AD32">
        <f>HYPERLINK("https://klasma.github.io/Logging_2409/tillsynsmail/A 19724-2023 tillsynsbegäran mail.docx", "A 19724-2023")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46321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31320-2024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46321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4.9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Kolflarnlav
Vedflamlav</t>
        </is>
      </c>
      <c r="W34">
        <f>HYPERLINK("https://klasma.github.io/Logging_2409/artfynd/A 31320-2024 artfynd.xlsx", "A 31320-2024")</f>
        <v/>
      </c>
      <c r="X34">
        <f>HYPERLINK("https://klasma.github.io/Logging_2409/kartor/A 31320-2024 karta.png", "A 31320-2024")</f>
        <v/>
      </c>
      <c r="Y34">
        <f>HYPERLINK("https://klasma.github.io/Logging_2409/kartor_geotiff/A 31320-2024 georefererad karta.tif", "A 31320-2024")</f>
        <v/>
      </c>
      <c r="AA34">
        <f>HYPERLINK("https://klasma.github.io/Logging_2409/klagomål/A 31320-2024 FSC-klagomål.docx", "A 31320-2024")</f>
        <v/>
      </c>
      <c r="AB34">
        <f>HYPERLINK("https://klasma.github.io/Logging_2409/klagomålsmail/A 31320-2024 FSC-klagomål mail.docx", "A 31320-2024")</f>
        <v/>
      </c>
      <c r="AC34">
        <f>HYPERLINK("https://klasma.github.io/Logging_2409/tillsyn/A 31320-2024 tillsynsbegäran.docx", "A 31320-2024")</f>
        <v/>
      </c>
      <c r="AD34">
        <f>HYPERLINK("https://klasma.github.io/Logging_2409/tillsynsmail/A 31320-2024 tillsynsbegäran mail.docx", "A 31320-2024")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46321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46321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46321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46321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46321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46321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5969-2025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45695</v>
      </c>
      <c r="E42" s="1" t="n">
        <v>46321</v>
      </c>
      <c r="F42" t="inlineStr">
        <is>
          <t>VÄSTERBOTTENS LÄN</t>
        </is>
      </c>
      <c r="G42" t="inlineStr">
        <is>
          <t>ROBERTSFORS</t>
        </is>
      </c>
      <c r="I42" t="n">
        <v>18.1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HYPERLINK("https://klasma.github.io/Logging_2409/artfynd/A 5969-2025 artfynd.xlsx", "A 5969-2025")</f>
        <v/>
      </c>
      <c r="X42">
        <f>HYPERLINK("https://klasma.github.io/Logging_2409/kartor/A 5969-2025 karta.png", "A 5969-2025")</f>
        <v/>
      </c>
      <c r="Y42">
        <f>HYPERLINK("https://klasma.github.io/Logging_2409/kartor_geotiff/A 5969-2025 georefererad karta.tif", "A 5969-2025")</f>
        <v/>
      </c>
      <c r="AA42">
        <f>HYPERLINK("https://klasma.github.io/Logging_2409/klagomål/A 5969-2025 FSC-klagomål.docx", "A 5969-2025")</f>
        <v/>
      </c>
      <c r="AB42">
        <f>HYPERLINK("https://klasma.github.io/Logging_2409/klagomålsmail/A 5969-2025 FSC-klagomål mail.docx", "A 5969-2025")</f>
        <v/>
      </c>
      <c r="AC42">
        <f>HYPERLINK("https://klasma.github.io/Logging_2409/tillsyn/A 5969-2025 tillsynsbegäran.docx", "A 5969-2025")</f>
        <v/>
      </c>
      <c r="AD42">
        <f>HYPERLINK("https://klasma.github.io/Logging_2409/tillsynsmail/A 5969-2025 tillsynsbegäran mail.docx", "A 5969-2025")</f>
        <v/>
      </c>
      <c r="AE42">
        <f>HYPERLINK("https://klasma.github.io/Logging_2409/fåglar/A 5969-2025 prioriterade fågelarter.docx", "A 5969-2025")</f>
        <v/>
      </c>
    </row>
    <row r="43" ht="15" customHeight="1">
      <c r="A43" t="inlineStr">
        <is>
          <t>A 52723-2025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45957</v>
      </c>
      <c r="E43" s="1" t="n">
        <v>46321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Orre</t>
        </is>
      </c>
      <c r="W43">
        <f>HYPERLINK("https://klasma.github.io/Logging_2409/artfynd/A 52723-2025 artfynd.xlsx", "A 52723-2025")</f>
        <v/>
      </c>
      <c r="X43">
        <f>HYPERLINK("https://klasma.github.io/Logging_2409/kartor/A 52723-2025 karta.png", "A 52723-2025")</f>
        <v/>
      </c>
      <c r="Y43">
        <f>HYPERLINK("https://klasma.github.io/Logging_2409/kartor_geotiff/A 52723-2025 georefererad karta.tif", "A 52723-2025")</f>
        <v/>
      </c>
      <c r="AA43">
        <f>HYPERLINK("https://klasma.github.io/Logging_2409/klagomål/A 52723-2025 FSC-klagomål.docx", "A 52723-2025")</f>
        <v/>
      </c>
      <c r="AB43">
        <f>HYPERLINK("https://klasma.github.io/Logging_2409/klagomålsmail/A 52723-2025 FSC-klagomål mail.docx", "A 52723-2025")</f>
        <v/>
      </c>
      <c r="AC43">
        <f>HYPERLINK("https://klasma.github.io/Logging_2409/tillsyn/A 52723-2025 tillsynsbegäran.docx", "A 52723-2025")</f>
        <v/>
      </c>
      <c r="AD43">
        <f>HYPERLINK("https://klasma.github.io/Logging_2409/tillsynsmail/A 52723-2025 tillsynsbegäran mail.docx", "A 52723-2025")</f>
        <v/>
      </c>
      <c r="AE43">
        <f>HYPERLINK("https://klasma.github.io/Logging_2409/fåglar/A 52723-2025 prioriterade fågelarter.docx", "A 52723-2025")</f>
        <v/>
      </c>
    </row>
    <row r="44" ht="15" customHeight="1">
      <c r="A44" t="inlineStr">
        <is>
          <t>A 32023-2024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46321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Dropptaggsvamp</t>
        </is>
      </c>
      <c r="W44">
        <f>HYPERLINK("https://klasma.github.io/Logging_2409/artfynd/A 32023-2024 artfynd.xlsx", "A 32023-2024")</f>
        <v/>
      </c>
      <c r="X44">
        <f>HYPERLINK("https://klasma.github.io/Logging_2409/kartor/A 32023-2024 karta.png", "A 32023-2024")</f>
        <v/>
      </c>
      <c r="Y44">
        <f>HYPERLINK("https://klasma.github.io/Logging_2409/kartor_geotiff/A 32023-2024 georefererad karta.tif", "A 32023-2024")</f>
        <v/>
      </c>
      <c r="AA44">
        <f>HYPERLINK("https://klasma.github.io/Logging_2409/klagomål/A 32023-2024 FSC-klagomål.docx", "A 32023-2024")</f>
        <v/>
      </c>
      <c r="AB44">
        <f>HYPERLINK("https://klasma.github.io/Logging_2409/klagomålsmail/A 32023-2024 FSC-klagomål mail.docx", "A 32023-2024")</f>
        <v/>
      </c>
      <c r="AC44">
        <f>HYPERLINK("https://klasma.github.io/Logging_2409/tillsyn/A 32023-2024 tillsynsbegäran.docx", "A 32023-2024")</f>
        <v/>
      </c>
      <c r="AD44">
        <f>HYPERLINK("https://klasma.github.io/Logging_2409/tillsynsmail/A 32023-2024 tillsynsbegäran mail.docx", "A 32023-2024")</f>
        <v/>
      </c>
    </row>
    <row r="45" ht="15" customHeight="1">
      <c r="A45" t="inlineStr">
        <is>
          <t>A 40600-2022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46321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HYPERLINK("https://klasma.github.io/Logging_2409/artfynd/A 40600-2022 artfynd.xlsx", "A 40600-2022")</f>
        <v/>
      </c>
      <c r="X45">
        <f>HYPERLINK("https://klasma.github.io/Logging_2409/kartor/A 40600-2022 karta.png", "A 40600-2022")</f>
        <v/>
      </c>
      <c r="Y45">
        <f>HYPERLINK("https://klasma.github.io/Logging_2409/kartor_geotiff/A 40600-2022 georefererad karta.tif", "A 40600-2022")</f>
        <v/>
      </c>
      <c r="AA45">
        <f>HYPERLINK("https://klasma.github.io/Logging_2409/klagomål/A 40600-2022 FSC-klagomål.docx", "A 40600-2022")</f>
        <v/>
      </c>
      <c r="AB45">
        <f>HYPERLINK("https://klasma.github.io/Logging_2409/klagomålsmail/A 40600-2022 FSC-klagomål mail.docx", "A 40600-2022")</f>
        <v/>
      </c>
      <c r="AC45">
        <f>HYPERLINK("https://klasma.github.io/Logging_2409/tillsyn/A 40600-2022 tillsynsbegäran.docx", "A 40600-2022")</f>
        <v/>
      </c>
      <c r="AD45">
        <f>HYPERLINK("https://klasma.github.io/Logging_2409/tillsynsmail/A 40600-2022 tillsynsbegäran mail.docx", "A 40600-2022")</f>
        <v/>
      </c>
      <c r="AE45">
        <f>HYPERLINK("https://klasma.github.io/Logging_2409/fåglar/A 40600-2022 prioriterade fågelarter.docx", "A 40600-2022")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46321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28750-2026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46321</v>
      </c>
      <c r="F47" t="inlineStr">
        <is>
          <t>VÄSTERBOTTENS LÄN</t>
        </is>
      </c>
      <c r="G47" t="inlineStr">
        <is>
          <t>ROBERTSFORS</t>
        </is>
      </c>
      <c r="I47" t="n">
        <v>0.7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HYPERLINK("https://klasma.github.io/Logging_2409/artfynd/A 28750-2026 artfynd.xlsx", "A 28750-2026")</f>
        <v/>
      </c>
      <c r="X47">
        <f>HYPERLINK("https://klasma.github.io/Logging_2409/kartor/A 28750-2026 karta.png", "A 28750-2026")</f>
        <v/>
      </c>
      <c r="Y47">
        <f>HYPERLINK("https://klasma.github.io/Logging_2409/kartor_geotiff/A 28750-2026 georefererad karta.tif", "A 28750-2026")</f>
        <v/>
      </c>
      <c r="AA47">
        <f>HYPERLINK("https://klasma.github.io/Logging_2409/klagomål/A 28750-2026 FSC-klagomål.docx", "A 28750-2026")</f>
        <v/>
      </c>
      <c r="AB47">
        <f>HYPERLINK("https://klasma.github.io/Logging_2409/klagomålsmail/A 28750-2026 FSC-klagomål mail.docx", "A 28750-2026")</f>
        <v/>
      </c>
      <c r="AC47">
        <f>HYPERLINK("https://klasma.github.io/Logging_2409/tillsyn/A 28750-2026 tillsynsbegäran.docx", "A 28750-2026")</f>
        <v/>
      </c>
      <c r="AD47">
        <f>HYPERLINK("https://klasma.github.io/Logging_2409/tillsynsmail/A 28750-2026 tillsynsbegäran mail.docx", "A 28750-2026")</f>
        <v/>
      </c>
    </row>
    <row r="48" ht="15" customHeight="1">
      <c r="A48" t="inlineStr">
        <is>
          <t>A 29583-2026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46204</v>
      </c>
      <c r="E48" s="1" t="n">
        <v>46321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SCA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Björksplintborre</t>
        </is>
      </c>
      <c r="W48">
        <f>HYPERLINK("https://klasma.github.io/Logging_2409/artfynd/A 29583-2026 artfynd.xlsx", "A 29583-2026")</f>
        <v/>
      </c>
      <c r="X48">
        <f>HYPERLINK("https://klasma.github.io/Logging_2409/kartor/A 29583-2026 karta.png", "A 29583-2026")</f>
        <v/>
      </c>
      <c r="Y48">
        <f>HYPERLINK("https://klasma.github.io/Logging_2409/kartor_geotiff/A 29583-2026 georefererad karta.tif", "A 29583-2026")</f>
        <v/>
      </c>
      <c r="AA48">
        <f>HYPERLINK("https://klasma.github.io/Logging_2409/klagomål/A 29583-2026 FSC-klagomål.docx", "A 29583-2026")</f>
        <v/>
      </c>
      <c r="AB48">
        <f>HYPERLINK("https://klasma.github.io/Logging_2409/klagomålsmail/A 29583-2026 FSC-klagomål mail.docx", "A 29583-2026")</f>
        <v/>
      </c>
      <c r="AC48">
        <f>HYPERLINK("https://klasma.github.io/Logging_2409/tillsyn/A 29583-2026 tillsynsbegäran.docx", "A 29583-2026")</f>
        <v/>
      </c>
      <c r="AD48">
        <f>HYPERLINK("https://klasma.github.io/Logging_2409/tillsynsmail/A 29583-2026 tillsynsbegäran mail.docx", "A 29583-2026")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46321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46321</v>
      </c>
      <c r="F50" t="inlineStr">
        <is>
          <t>VÄSTERBOTTENS LÄN</t>
        </is>
      </c>
      <c r="G50" t="inlineStr">
        <is>
          <t>ROBERTSFORS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HYPERLINK("https://klasma.github.io/Logging_2409/artfynd/A 5284-2026 artfynd.xlsx", "A 5284-2026")</f>
        <v/>
      </c>
      <c r="X50">
        <f>HYPERLINK("https://klasma.github.io/Logging_2409/kartor/A 5284-2026 karta.png", "A 5284-2026")</f>
        <v/>
      </c>
      <c r="Y50">
        <f>HYPERLINK("https://klasma.github.io/Logging_2409/kartor_geotiff/A 5284-2026 georefererad karta.tif", "A 5284-2026")</f>
        <v/>
      </c>
      <c r="AA50">
        <f>HYPERLINK("https://klasma.github.io/Logging_2409/klagomål/A 5284-2026 FSC-klagomål.docx", "A 5284-2026")</f>
        <v/>
      </c>
      <c r="AB50">
        <f>HYPERLINK("https://klasma.github.io/Logging_2409/klagomålsmail/A 5284-2026 FSC-klagomål mail.docx", "A 5284-2026")</f>
        <v/>
      </c>
      <c r="AC50">
        <f>HYPERLINK("https://klasma.github.io/Logging_2409/tillsyn/A 5284-2026 tillsynsbegäran.docx", "A 5284-2026")</f>
        <v/>
      </c>
      <c r="AD50">
        <f>HYPERLINK("https://klasma.github.io/Logging_2409/tillsynsmail/A 5284-2026 tillsynsbegäran mail.docx", "A 5284-2026")</f>
        <v/>
      </c>
      <c r="AE50">
        <f>HYPERLINK("https://klasma.github.io/Logging_2409/fåglar/A 5284-2026 prioriterade fågelarter.docx", "A 5284-2026")</f>
        <v/>
      </c>
    </row>
    <row r="51" ht="15" customHeight="1">
      <c r="A51" t="inlineStr">
        <is>
          <t>A 5289-2026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46321</v>
      </c>
      <c r="F51" t="inlineStr">
        <is>
          <t>VÄSTERBOTTENS LÄN</t>
        </is>
      </c>
      <c r="G51" t="inlineStr">
        <is>
          <t>ROBERTSFORS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Björktrast</t>
        </is>
      </c>
      <c r="W51">
        <f>HYPERLINK("https://klasma.github.io/Logging_2409/artfynd/A 5289-2026 artfynd.xlsx", "A 5289-2026")</f>
        <v/>
      </c>
      <c r="X51">
        <f>HYPERLINK("https://klasma.github.io/Logging_2409/kartor/A 5289-2026 karta.png", "A 5289-2026")</f>
        <v/>
      </c>
      <c r="Y51">
        <f>HYPERLINK("https://klasma.github.io/Logging_2409/kartor_geotiff/A 5289-2026 georefererad karta.tif", "A 5289-2026")</f>
        <v/>
      </c>
      <c r="AA51">
        <f>HYPERLINK("https://klasma.github.io/Logging_2409/klagomål/A 5289-2026 FSC-klagomål.docx", "A 5289-2026")</f>
        <v/>
      </c>
      <c r="AB51">
        <f>HYPERLINK("https://klasma.github.io/Logging_2409/klagomålsmail/A 5289-2026 FSC-klagomål mail.docx", "A 5289-2026")</f>
        <v/>
      </c>
      <c r="AC51">
        <f>HYPERLINK("https://klasma.github.io/Logging_2409/tillsyn/A 5289-2026 tillsynsbegäran.docx", "A 5289-2026")</f>
        <v/>
      </c>
      <c r="AD51">
        <f>HYPERLINK("https://klasma.github.io/Logging_2409/tillsynsmail/A 5289-2026 tillsynsbegäran mail.docx", "A 5289-2026")</f>
        <v/>
      </c>
      <c r="AE51">
        <f>HYPERLINK("https://klasma.github.io/Logging_2409/fåglar/A 5289-2026 prioriterade fågelarter.docx", "A 5289-2026")</f>
        <v/>
      </c>
    </row>
    <row r="52" ht="15" customHeight="1">
      <c r="A52" t="inlineStr">
        <is>
          <t>A 30344-2025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46321</v>
      </c>
      <c r="F52" t="inlineStr">
        <is>
          <t>VÄSTERBOTTENS LÄN</t>
        </is>
      </c>
      <c r="G52" t="inlineStr">
        <is>
          <t>ROBERTSFORS</t>
        </is>
      </c>
      <c r="I52" t="n">
        <v>22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HYPERLINK("https://klasma.github.io/Logging_2409/artfynd/A 30344-2025 artfynd.xlsx", "A 30344-2025")</f>
        <v/>
      </c>
      <c r="X52">
        <f>HYPERLINK("https://klasma.github.io/Logging_2409/kartor/A 30344-2025 karta.png", "A 30344-2025")</f>
        <v/>
      </c>
      <c r="Y52">
        <f>HYPERLINK("https://klasma.github.io/Logging_2409/kartor_geotiff/A 30344-2025 georefererad karta.tif", "A 30344-2025")</f>
        <v/>
      </c>
      <c r="AA52">
        <f>HYPERLINK("https://klasma.github.io/Logging_2409/klagomål/A 30344-2025 FSC-klagomål.docx", "A 30344-2025")</f>
        <v/>
      </c>
      <c r="AB52">
        <f>HYPERLINK("https://klasma.github.io/Logging_2409/klagomålsmail/A 30344-2025 FSC-klagomål mail.docx", "A 30344-2025")</f>
        <v/>
      </c>
      <c r="AC52">
        <f>HYPERLINK("https://klasma.github.io/Logging_2409/tillsyn/A 30344-2025 tillsynsbegäran.docx", "A 30344-2025")</f>
        <v/>
      </c>
      <c r="AD52">
        <f>HYPERLINK("https://klasma.github.io/Logging_2409/tillsynsmail/A 30344-2025 tillsynsbegäran mail.docx", "A 30344-2025")</f>
        <v/>
      </c>
      <c r="AE52">
        <f>HYPERLINK("https://klasma.github.io/Logging_2409/fåglar/A 30344-2025 prioriterade fågelarter.docx", "A 30344-2025")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46321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34007-2025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45844</v>
      </c>
      <c r="E54" s="1" t="n">
        <v>46321</v>
      </c>
      <c r="F54" t="inlineStr">
        <is>
          <t>VÄSTERBOTTENS LÄN</t>
        </is>
      </c>
      <c r="G54" t="inlineStr">
        <is>
          <t>ROBERTSFORS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Harticka</t>
        </is>
      </c>
      <c r="W54">
        <f>HYPERLINK("https://klasma.github.io/Logging_2409/artfynd/A 34007-2025 artfynd.xlsx", "A 34007-2025")</f>
        <v/>
      </c>
      <c r="X54">
        <f>HYPERLINK("https://klasma.github.io/Logging_2409/kartor/A 34007-2025 karta.png", "A 34007-2025")</f>
        <v/>
      </c>
      <c r="Y54">
        <f>HYPERLINK("https://klasma.github.io/Logging_2409/kartor_geotiff/A 34007-2025 georefererad karta.tif", "A 34007-2025")</f>
        <v/>
      </c>
      <c r="AA54">
        <f>HYPERLINK("https://klasma.github.io/Logging_2409/klagomål/A 34007-2025 FSC-klagomål.docx", "A 34007-2025")</f>
        <v/>
      </c>
      <c r="AB54">
        <f>HYPERLINK("https://klasma.github.io/Logging_2409/klagomålsmail/A 34007-2025 FSC-klagomål mail.docx", "A 34007-2025")</f>
        <v/>
      </c>
      <c r="AC54">
        <f>HYPERLINK("https://klasma.github.io/Logging_2409/tillsyn/A 34007-2025 tillsynsbegäran.docx", "A 34007-2025")</f>
        <v/>
      </c>
      <c r="AD54">
        <f>HYPERLINK("https://klasma.github.io/Logging_2409/tillsynsmail/A 34007-2025 tillsynsbegäran mail.docx", "A 34007-2025")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46321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46321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36504-2026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46269</v>
      </c>
      <c r="E57" s="1" t="n">
        <v>46321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Blanksvart spiklav</t>
        </is>
      </c>
      <c r="W57">
        <f>HYPERLINK("https://klasma.github.io/Logging_2409/artfynd/A 36504-2026 artfynd.xlsx", "A 36504-2026")</f>
        <v/>
      </c>
      <c r="X57">
        <f>HYPERLINK("https://klasma.github.io/Logging_2409/kartor/A 36504-2026 karta.png", "A 36504-2026")</f>
        <v/>
      </c>
      <c r="Y57">
        <f>HYPERLINK("https://klasma.github.io/Logging_2409/kartor_geotiff/A 36504-2026 georefererad karta.tif", "A 36504-2026")</f>
        <v/>
      </c>
      <c r="AA57">
        <f>HYPERLINK("https://klasma.github.io/Logging_2409/klagomål/A 36504-2026 FSC-klagomål.docx", "A 36504-2026")</f>
        <v/>
      </c>
      <c r="AB57">
        <f>HYPERLINK("https://klasma.github.io/Logging_2409/klagomålsmail/A 36504-2026 FSC-klagomål mail.docx", "A 36504-2026")</f>
        <v/>
      </c>
      <c r="AC57">
        <f>HYPERLINK("https://klasma.github.io/Logging_2409/tillsyn/A 36504-2026 tillsynsbegäran.docx", "A 36504-2026")</f>
        <v/>
      </c>
      <c r="AD57">
        <f>HYPERLINK("https://klasma.github.io/Logging_2409/tillsynsmail/A 36504-2026 tillsynsbegäran mail.docx", "A 36504-2026")</f>
        <v/>
      </c>
    </row>
    <row r="58" ht="15" customHeight="1">
      <c r="A58" t="inlineStr">
        <is>
          <t>A 35497-2023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46321</v>
      </c>
      <c r="F58" t="inlineStr">
        <is>
          <t>VÄSTERBOTTENS LÄN</t>
        </is>
      </c>
      <c r="G58" t="inlineStr">
        <is>
          <t>ROBERTSFORS</t>
        </is>
      </c>
      <c r="I58" t="n">
        <v>0.2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35497-2023 artfynd.xlsx", "A 35497-2023")</f>
        <v/>
      </c>
      <c r="X58">
        <f>HYPERLINK("https://klasma.github.io/Logging_2409/kartor/A 35497-2023 karta.png", "A 35497-2023")</f>
        <v/>
      </c>
      <c r="Y58">
        <f>HYPERLINK("https://klasma.github.io/Logging_2409/kartor_geotiff/A 35497-2023 georefererad karta.tif", "A 35497-2023")</f>
        <v/>
      </c>
      <c r="AA58">
        <f>HYPERLINK("https://klasma.github.io/Logging_2409/klagomål/A 35497-2023 FSC-klagomål.docx", "A 35497-2023")</f>
        <v/>
      </c>
      <c r="AB58">
        <f>HYPERLINK("https://klasma.github.io/Logging_2409/klagomålsmail/A 35497-2023 FSC-klagomål mail.docx", "A 35497-2023")</f>
        <v/>
      </c>
      <c r="AC58">
        <f>HYPERLINK("https://klasma.github.io/Logging_2409/tillsyn/A 35497-2023 tillsynsbegäran.docx", "A 35497-2023")</f>
        <v/>
      </c>
      <c r="AD58">
        <f>HYPERLINK("https://klasma.github.io/Logging_2409/tillsynsmail/A 35497-2023 tillsynsbegäran mail.docx", "A 35497-2023")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46321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46321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38777-2023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45163</v>
      </c>
      <c r="E61" s="1" t="n">
        <v>46321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5.9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HYPERLINK("https://klasma.github.io/Logging_2409/artfynd/A 38777-2023 artfynd.xlsx", "A 38777-2023")</f>
        <v/>
      </c>
      <c r="X61">
        <f>HYPERLINK("https://klasma.github.io/Logging_2409/kartor/A 38777-2023 karta.png", "A 38777-2023")</f>
        <v/>
      </c>
      <c r="Y61">
        <f>HYPERLINK("https://klasma.github.io/Logging_2409/kartor_geotiff/A 38777-2023 georefererad karta.tif", "A 38777-2023")</f>
        <v/>
      </c>
      <c r="AA61">
        <f>HYPERLINK("https://klasma.github.io/Logging_2409/klagomål/A 38777-2023 FSC-klagomål.docx", "A 38777-2023")</f>
        <v/>
      </c>
      <c r="AB61">
        <f>HYPERLINK("https://klasma.github.io/Logging_2409/klagomålsmail/A 38777-2023 FSC-klagomål mail.docx", "A 38777-2023")</f>
        <v/>
      </c>
      <c r="AC61">
        <f>HYPERLINK("https://klasma.github.io/Logging_2409/tillsyn/A 38777-2023 tillsynsbegäran.docx", "A 38777-2023")</f>
        <v/>
      </c>
      <c r="AD61">
        <f>HYPERLINK("https://klasma.github.io/Logging_2409/tillsynsmail/A 38777-2023 tillsynsbegäran mail.docx", "A 38777-2023")</f>
        <v/>
      </c>
      <c r="AE61">
        <f>HYPERLINK("https://klasma.github.io/Logging_2409/fåglar/A 38777-2023 prioriterade fågelarter.docx", "A 38777-2023")</f>
        <v/>
      </c>
    </row>
    <row r="62" ht="15" customHeight="1">
      <c r="A62" t="inlineStr">
        <is>
          <t>A 41767-2023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46321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0.8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41767-2023 artfynd.xlsx", "A 41767-2023")</f>
        <v/>
      </c>
      <c r="X62">
        <f>HYPERLINK("https://klasma.github.io/Logging_2409/kartor/A 41767-2023 karta.png", "A 41767-2023")</f>
        <v/>
      </c>
      <c r="Y62">
        <f>HYPERLINK("https://klasma.github.io/Logging_2409/kartor_geotiff/A 41767-2023 georefererad karta.tif", "A 41767-2023")</f>
        <v/>
      </c>
      <c r="AA62">
        <f>HYPERLINK("https://klasma.github.io/Logging_2409/klagomål/A 41767-2023 FSC-klagomål.docx", "A 41767-2023")</f>
        <v/>
      </c>
      <c r="AB62">
        <f>HYPERLINK("https://klasma.github.io/Logging_2409/klagomålsmail/A 41767-2023 FSC-klagomål mail.docx", "A 41767-2023")</f>
        <v/>
      </c>
      <c r="AC62">
        <f>HYPERLINK("https://klasma.github.io/Logging_2409/tillsyn/A 41767-2023 tillsynsbegäran.docx", "A 41767-2023")</f>
        <v/>
      </c>
      <c r="AD62">
        <f>HYPERLINK("https://klasma.github.io/Logging_2409/tillsynsmail/A 41767-2023 tillsynsbegäran mail.docx", "A 41767-2023")</f>
        <v/>
      </c>
    </row>
    <row r="63" ht="15" customHeight="1">
      <c r="A63" t="inlineStr">
        <is>
          <t>A 32876-2023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45124</v>
      </c>
      <c r="E63" s="1" t="n">
        <v>46321</v>
      </c>
      <c r="F63" t="inlineStr">
        <is>
          <t>VÄSTERBOTTENS LÄN</t>
        </is>
      </c>
      <c r="G63" t="inlineStr">
        <is>
          <t>ROBERTSFORS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HYPERLINK("https://klasma.github.io/Logging_2409/artfynd/A 32876-2023 artfynd.xlsx", "A 32876-2023")</f>
        <v/>
      </c>
      <c r="X63">
        <f>HYPERLINK("https://klasma.github.io/Logging_2409/kartor/A 32876-2023 karta.png", "A 32876-2023")</f>
        <v/>
      </c>
      <c r="Y63">
        <f>HYPERLINK("https://klasma.github.io/Logging_2409/kartor_geotiff/A 32876-2023 georefererad karta.tif", "A 32876-2023")</f>
        <v/>
      </c>
      <c r="AA63">
        <f>HYPERLINK("https://klasma.github.io/Logging_2409/klagomål/A 32876-2023 FSC-klagomål.docx", "A 32876-2023")</f>
        <v/>
      </c>
      <c r="AB63">
        <f>HYPERLINK("https://klasma.github.io/Logging_2409/klagomålsmail/A 32876-2023 FSC-klagomål mail.docx", "A 32876-2023")</f>
        <v/>
      </c>
      <c r="AC63">
        <f>HYPERLINK("https://klasma.github.io/Logging_2409/tillsyn/A 32876-2023 tillsynsbegäran.docx", "A 32876-2023")</f>
        <v/>
      </c>
      <c r="AD63">
        <f>HYPERLINK("https://klasma.github.io/Logging_2409/tillsynsmail/A 32876-2023 tillsynsbegäran mail.docx", "A 32876-2023")</f>
        <v/>
      </c>
    </row>
    <row r="64" ht="15" customHeight="1">
      <c r="A64" t="inlineStr">
        <is>
          <t>A 36703-2023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45153</v>
      </c>
      <c r="E64" s="1" t="n">
        <v>46321</v>
      </c>
      <c r="F64" t="inlineStr">
        <is>
          <t>VÄSTERBOTTENS LÄN</t>
        </is>
      </c>
      <c r="G64" t="inlineStr">
        <is>
          <t>ROBERTSFORS</t>
        </is>
      </c>
      <c r="I64" t="n">
        <v>3.3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Tallkötticka</t>
        </is>
      </c>
      <c r="W64">
        <f>HYPERLINK("https://klasma.github.io/Logging_2409/artfynd/A 36703-2023 artfynd.xlsx", "A 36703-2023")</f>
        <v/>
      </c>
      <c r="X64">
        <f>HYPERLINK("https://klasma.github.io/Logging_2409/kartor/A 36703-2023 karta.png", "A 36703-2023")</f>
        <v/>
      </c>
      <c r="Y64">
        <f>HYPERLINK("https://klasma.github.io/Logging_2409/kartor_geotiff/A 36703-2023 georefererad karta.tif", "A 36703-2023")</f>
        <v/>
      </c>
      <c r="AA64">
        <f>HYPERLINK("https://klasma.github.io/Logging_2409/klagomål/A 36703-2023 FSC-klagomål.docx", "A 36703-2023")</f>
        <v/>
      </c>
      <c r="AB64">
        <f>HYPERLINK("https://klasma.github.io/Logging_2409/klagomålsmail/A 36703-2023 FSC-klagomål mail.docx", "A 36703-2023")</f>
        <v/>
      </c>
      <c r="AC64">
        <f>HYPERLINK("https://klasma.github.io/Logging_2409/tillsyn/A 36703-2023 tillsynsbegäran.docx", "A 36703-2023")</f>
        <v/>
      </c>
      <c r="AD64">
        <f>HYPERLINK("https://klasma.github.io/Logging_2409/tillsynsmail/A 36703-2023 tillsynsbegäran mail.docx", "A 36703-2023")</f>
        <v/>
      </c>
    </row>
    <row r="65" ht="15" customHeight="1">
      <c r="A65" t="inlineStr">
        <is>
          <t>A 57653-2024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46321</v>
      </c>
      <c r="F65" t="inlineStr">
        <is>
          <t>VÄSTERBOTTENS LÄN</t>
        </is>
      </c>
      <c r="G65" t="inlineStr">
        <is>
          <t>ROBERTSFORS</t>
        </is>
      </c>
      <c r="I65" t="n">
        <v>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Blå kärrhök</t>
        </is>
      </c>
      <c r="W65">
        <f>HYPERLINK("https://klasma.github.io/Logging_2409/artfynd/A 57653-2024 artfynd.xlsx", "A 57653-2024")</f>
        <v/>
      </c>
      <c r="X65">
        <f>HYPERLINK("https://klasma.github.io/Logging_2409/kartor/A 57653-2024 karta.png", "A 57653-2024")</f>
        <v/>
      </c>
      <c r="Y65">
        <f>HYPERLINK("https://klasma.github.io/Logging_2409/kartor_geotiff/A 57653-2024 georefererad karta.tif", "A 57653-2024")</f>
        <v/>
      </c>
      <c r="AA65">
        <f>HYPERLINK("https://klasma.github.io/Logging_2409/klagomål/A 57653-2024 FSC-klagomål.docx", "A 57653-2024")</f>
        <v/>
      </c>
      <c r="AB65">
        <f>HYPERLINK("https://klasma.github.io/Logging_2409/klagomålsmail/A 57653-2024 FSC-klagomål mail.docx", "A 57653-2024")</f>
        <v/>
      </c>
      <c r="AC65">
        <f>HYPERLINK("https://klasma.github.io/Logging_2409/tillsyn/A 57653-2024 tillsynsbegäran.docx", "A 57653-2024")</f>
        <v/>
      </c>
      <c r="AD65">
        <f>HYPERLINK("https://klasma.github.io/Logging_2409/tillsynsmail/A 57653-2024 tillsynsbegäran mail.docx", "A 57653-2024")</f>
        <v/>
      </c>
      <c r="AE65">
        <f>HYPERLINK("https://klasma.github.io/Logging_2409/fåglar/A 57653-2024 prioriterade fågelarter.docx", "A 57653-2024")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46321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57284-2023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45245</v>
      </c>
      <c r="E67" s="1" t="n">
        <v>46321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6.8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HYPERLINK("https://klasma.github.io/Logging_2409/artfynd/A 57284-2023 artfynd.xlsx", "A 57284-2023")</f>
        <v/>
      </c>
      <c r="X67">
        <f>HYPERLINK("https://klasma.github.io/Logging_2409/kartor/A 57284-2023 karta.png", "A 57284-2023")</f>
        <v/>
      </c>
      <c r="Y67">
        <f>HYPERLINK("https://klasma.github.io/Logging_2409/kartor_geotiff/A 57284-2023 georefererad karta.tif", "A 57284-2023")</f>
        <v/>
      </c>
      <c r="AA67">
        <f>HYPERLINK("https://klasma.github.io/Logging_2409/klagomål/A 57284-2023 FSC-klagomål.docx", "A 57284-2023")</f>
        <v/>
      </c>
      <c r="AB67">
        <f>HYPERLINK("https://klasma.github.io/Logging_2409/klagomålsmail/A 57284-2023 FSC-klagomål mail.docx", "A 57284-2023")</f>
        <v/>
      </c>
      <c r="AC67">
        <f>HYPERLINK("https://klasma.github.io/Logging_2409/tillsyn/A 57284-2023 tillsynsbegäran.docx", "A 57284-2023")</f>
        <v/>
      </c>
      <c r="AD67">
        <f>HYPERLINK("https://klasma.github.io/Logging_2409/tillsynsmail/A 57284-2023 tillsynsbegäran mail.docx", "A 57284-2023")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46321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46321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46321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46321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46321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46321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46321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46321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46321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46321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46321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46321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46321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46321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46321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46321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46321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46321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46321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46321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46321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46321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46321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46321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46321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46321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46321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46321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46321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46321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46321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46321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46321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46321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46321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46321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46321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46321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46321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46321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46321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46321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46321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46321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46321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46321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46321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46321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46321</v>
      </c>
      <c r="F116" t="inlineStr">
        <is>
          <t>VÄSTERBOTTENS LÄN</t>
        </is>
      </c>
      <c r="G116" t="inlineStr">
        <is>
          <t>ROBERTSFORS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46321</v>
      </c>
      <c r="F117" t="inlineStr">
        <is>
          <t>VÄSTERBOTTENS LÄN</t>
        </is>
      </c>
      <c r="G117" t="inlineStr">
        <is>
          <t>ROBERTSFORS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46321</v>
      </c>
      <c r="F118" t="inlineStr">
        <is>
          <t>VÄSTERBOTTENS LÄN</t>
        </is>
      </c>
      <c r="G118" t="inlineStr">
        <is>
          <t>ROBERTSFORS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46321</v>
      </c>
      <c r="F119" t="inlineStr">
        <is>
          <t>VÄSTERBOTTENS LÄN</t>
        </is>
      </c>
      <c r="G119" t="inlineStr">
        <is>
          <t>ROBERTSFORS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46321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46321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39982-2025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45893</v>
      </c>
      <c r="E122" s="1" t="n">
        <v>46321</v>
      </c>
      <c r="F122" t="inlineStr">
        <is>
          <t>VÄSTERBOTTENS LÄN</t>
        </is>
      </c>
      <c r="G122" t="inlineStr">
        <is>
          <t>ROBERTSFORS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46321</v>
      </c>
      <c r="F123" t="inlineStr">
        <is>
          <t>VÄSTERBOTTENS LÄN</t>
        </is>
      </c>
      <c r="G123" t="inlineStr">
        <is>
          <t>ROBERTSFORS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46321</v>
      </c>
      <c r="F124" t="inlineStr">
        <is>
          <t>VÄSTERBOTTENS LÄN</t>
        </is>
      </c>
      <c r="G124" t="inlineStr">
        <is>
          <t>ROBERTSFORS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46321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44502</v>
      </c>
      <c r="E126" s="1" t="n">
        <v>46321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44580</v>
      </c>
      <c r="E127" s="1" t="n">
        <v>46321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46321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46321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46160</v>
      </c>
      <c r="E130" s="1" t="n">
        <v>46321</v>
      </c>
      <c r="F130" t="inlineStr">
        <is>
          <t>VÄSTERBOTTENS LÄN</t>
        </is>
      </c>
      <c r="G130" t="inlineStr">
        <is>
          <t>ROBERTSFORS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46321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46321</v>
      </c>
      <c r="F132" t="inlineStr">
        <is>
          <t>VÄSTERBOTTENS LÄN</t>
        </is>
      </c>
      <c r="G132" t="inlineStr">
        <is>
          <t>ROBERTSFORS</t>
        </is>
      </c>
      <c r="I132" t="n">
        <v>12.7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45502</v>
      </c>
      <c r="E133" s="1" t="n">
        <v>46321</v>
      </c>
      <c r="F133" t="inlineStr">
        <is>
          <t>VÄSTERBOTTENS LÄN</t>
        </is>
      </c>
      <c r="G133" t="inlineStr">
        <is>
          <t>ROBERTSFORS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46321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45915</v>
      </c>
      <c r="E135" s="1" t="n">
        <v>46321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46321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46321</v>
      </c>
      <c r="F137" t="inlineStr">
        <is>
          <t>VÄSTERBOTTENS LÄN</t>
        </is>
      </c>
      <c r="G137" t="inlineStr">
        <is>
          <t>ROBERTSFORS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46321</v>
      </c>
      <c r="F138" t="inlineStr">
        <is>
          <t>VÄSTERBOTTENS LÄN</t>
        </is>
      </c>
      <c r="G138" t="inlineStr">
        <is>
          <t>ROBERTSFORS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46321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45924</v>
      </c>
      <c r="E140" s="1" t="n">
        <v>46321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46321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46321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46321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46321</v>
      </c>
      <c r="F144" t="inlineStr">
        <is>
          <t>VÄSTERBOTTENS LÄN</t>
        </is>
      </c>
      <c r="G144" t="inlineStr">
        <is>
          <t>ROBERTSFORS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46321</v>
      </c>
      <c r="F145" t="inlineStr">
        <is>
          <t>VÄSTERBOTTENS LÄN</t>
        </is>
      </c>
      <c r="G145" t="inlineStr">
        <is>
          <t>ROBERTSFORS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46321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46321</v>
      </c>
      <c r="F147" t="inlineStr">
        <is>
          <t>VÄSTERBOTTENS LÄN</t>
        </is>
      </c>
      <c r="G147" t="inlineStr">
        <is>
          <t>ROBERTSFORS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24647-2026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46171</v>
      </c>
      <c r="E148" s="1" t="n">
        <v>46321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46321</v>
      </c>
      <c r="F149" t="inlineStr">
        <is>
          <t>VÄSTERBOTTENS LÄN</t>
        </is>
      </c>
      <c r="G149" t="inlineStr">
        <is>
          <t>ROBERTSFORS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45129</v>
      </c>
      <c r="E150" s="1" t="n">
        <v>46321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46321</v>
      </c>
      <c r="F151" t="inlineStr">
        <is>
          <t>VÄSTERBOTTENS LÄN</t>
        </is>
      </c>
      <c r="G151" t="inlineStr">
        <is>
          <t>ROBERTSFORS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46321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46321</v>
      </c>
      <c r="F153" t="inlineStr">
        <is>
          <t>VÄSTERBOTTENS LÄN</t>
        </is>
      </c>
      <c r="G153" t="inlineStr">
        <is>
          <t>ROBERTSFORS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46321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46321</v>
      </c>
      <c r="F155" t="inlineStr">
        <is>
          <t>VÄSTERBOTTENS LÄN</t>
        </is>
      </c>
      <c r="G155" t="inlineStr">
        <is>
          <t>ROBERTSFORS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46321</v>
      </c>
      <c r="F156" t="inlineStr">
        <is>
          <t>VÄSTERBOTTENS LÄN</t>
        </is>
      </c>
      <c r="G156" t="inlineStr">
        <is>
          <t>ROBERTSFORS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46321</v>
      </c>
      <c r="F157" t="inlineStr">
        <is>
          <t>VÄSTERBOTTENS LÄN</t>
        </is>
      </c>
      <c r="G157" t="inlineStr">
        <is>
          <t>ROBERTSFORS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46321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46321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46321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46321</v>
      </c>
      <c r="F161" t="inlineStr">
        <is>
          <t>VÄSTERBOTTENS LÄN</t>
        </is>
      </c>
      <c r="G161" t="inlineStr">
        <is>
          <t>ROBERTSFORS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46321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46321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46321</v>
      </c>
      <c r="F164" t="inlineStr">
        <is>
          <t>VÄSTERBOTTENS LÄN</t>
        </is>
      </c>
      <c r="G164" t="inlineStr">
        <is>
          <t>ROBERTSFORS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46321</v>
      </c>
      <c r="F165" t="inlineStr">
        <is>
          <t>VÄSTERBOTTENS LÄN</t>
        </is>
      </c>
      <c r="G165" t="inlineStr">
        <is>
          <t>ROBERTSFORS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46321</v>
      </c>
      <c r="F166" t="inlineStr">
        <is>
          <t>VÄSTERBOTTENS LÄN</t>
        </is>
      </c>
      <c r="G166" t="inlineStr">
        <is>
          <t>ROBERTSFORS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46321</v>
      </c>
      <c r="F167" t="inlineStr">
        <is>
          <t>VÄSTERBOTTENS LÄN</t>
        </is>
      </c>
      <c r="G167" t="inlineStr">
        <is>
          <t>ROBERTSFORS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46321</v>
      </c>
      <c r="F168" t="inlineStr">
        <is>
          <t>VÄSTERBOTTENS LÄN</t>
        </is>
      </c>
      <c r="G168" t="inlineStr">
        <is>
          <t>ROBERTSFORS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46321</v>
      </c>
      <c r="F169" t="inlineStr">
        <is>
          <t>VÄSTERBOTTENS LÄN</t>
        </is>
      </c>
      <c r="G169" t="inlineStr">
        <is>
          <t>ROBERTSFORS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46321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46321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46321</v>
      </c>
      <c r="F172" t="inlineStr">
        <is>
          <t>VÄSTERBOTTENS LÄN</t>
        </is>
      </c>
      <c r="G172" t="inlineStr">
        <is>
          <t>ROBERTSFORS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46321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46321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45959</v>
      </c>
      <c r="E175" s="1" t="n">
        <v>46321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46321</v>
      </c>
      <c r="F176" t="inlineStr">
        <is>
          <t>VÄSTERBOTTENS LÄN</t>
        </is>
      </c>
      <c r="G176" t="inlineStr">
        <is>
          <t>ROBERTSFORS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46321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46321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46321</v>
      </c>
      <c r="F179" t="inlineStr">
        <is>
          <t>VÄSTERBOTTENS LÄN</t>
        </is>
      </c>
      <c r="G179" t="inlineStr">
        <is>
          <t>ROBERTSFORS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46321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46321</v>
      </c>
      <c r="F181" t="inlineStr">
        <is>
          <t>VÄSTERBOTTENS LÄN</t>
        </is>
      </c>
      <c r="G181" t="inlineStr">
        <is>
          <t>ROBERTSFORS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46321</v>
      </c>
      <c r="F182" t="inlineStr">
        <is>
          <t>VÄSTERBOTTENS LÄN</t>
        </is>
      </c>
      <c r="G182" t="inlineStr">
        <is>
          <t>ROBERTSFORS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46321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46321</v>
      </c>
      <c r="F184" t="inlineStr">
        <is>
          <t>VÄSTERBOTTENS LÄN</t>
        </is>
      </c>
      <c r="G184" t="inlineStr">
        <is>
          <t>ROBERTSFORS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46321</v>
      </c>
      <c r="F185" t="inlineStr">
        <is>
          <t>VÄSTERBOTTENS LÄN</t>
        </is>
      </c>
      <c r="G185" t="inlineStr">
        <is>
          <t>ROBERTSFORS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46321</v>
      </c>
      <c r="F186" t="inlineStr">
        <is>
          <t>VÄSTERBOTTENS LÄN</t>
        </is>
      </c>
      <c r="G186" t="inlineStr">
        <is>
          <t>ROBERTSFORS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45620</v>
      </c>
      <c r="E187" s="1" t="n">
        <v>46321</v>
      </c>
      <c r="F187" t="inlineStr">
        <is>
          <t>VÄSTERBOTTENS LÄN</t>
        </is>
      </c>
      <c r="G187" t="inlineStr">
        <is>
          <t>ROBERTSFORS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45307</v>
      </c>
      <c r="E188" s="1" t="n">
        <v>46321</v>
      </c>
      <c r="F188" t="inlineStr">
        <is>
          <t>VÄSTERBOTTENS LÄN</t>
        </is>
      </c>
      <c r="G188" t="inlineStr">
        <is>
          <t>ROBERTSFORS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46321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46321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46321</v>
      </c>
      <c r="F191" t="inlineStr">
        <is>
          <t>VÄSTERBOTTENS LÄN</t>
        </is>
      </c>
      <c r="G191" t="inlineStr">
        <is>
          <t>ROBERTSFORS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46321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46321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46321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46321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46321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46321</v>
      </c>
      <c r="F197" t="inlineStr">
        <is>
          <t>VÄSTERBOTTENS LÄN</t>
        </is>
      </c>
      <c r="G197" t="inlineStr">
        <is>
          <t>ROBERTSFORS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46203</v>
      </c>
      <c r="E198" s="1" t="n">
        <v>46321</v>
      </c>
      <c r="F198" t="inlineStr">
        <is>
          <t>VÄSTERBOTTENS LÄN</t>
        </is>
      </c>
      <c r="G198" t="inlineStr">
        <is>
          <t>ROBERTSFORS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46321</v>
      </c>
      <c r="F199" t="inlineStr">
        <is>
          <t>VÄSTERBOTTENS LÄN</t>
        </is>
      </c>
      <c r="G199" t="inlineStr">
        <is>
          <t>ROBERTSFORS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57698-2025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46321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46321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46321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46321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45365</v>
      </c>
      <c r="E204" s="1" t="n">
        <v>46321</v>
      </c>
      <c r="F204" t="inlineStr">
        <is>
          <t>VÄSTERBOTTENS LÄN</t>
        </is>
      </c>
      <c r="G204" t="inlineStr">
        <is>
          <t>ROBERTSFORS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46205</v>
      </c>
      <c r="E205" s="1" t="n">
        <v>46321</v>
      </c>
      <c r="F205" t="inlineStr">
        <is>
          <t>VÄSTERBOTTENS LÄN</t>
        </is>
      </c>
      <c r="G205" t="inlineStr">
        <is>
          <t>ROBERTSFORS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46321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46321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46321</v>
      </c>
      <c r="F208" t="inlineStr">
        <is>
          <t>VÄSTERBOTTENS LÄN</t>
        </is>
      </c>
      <c r="G208" t="inlineStr">
        <is>
          <t>ROBERTSFORS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46321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46321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46321</v>
      </c>
      <c r="F211" t="inlineStr">
        <is>
          <t>VÄSTERBOTTENS LÄN</t>
        </is>
      </c>
      <c r="G211" t="inlineStr">
        <is>
          <t>ROBERTSFORS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46321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46321</v>
      </c>
      <c r="F213" t="inlineStr">
        <is>
          <t>VÄSTERBOTTENS LÄN</t>
        </is>
      </c>
      <c r="G213" t="inlineStr">
        <is>
          <t>ROBERTSFORS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46321</v>
      </c>
      <c r="F214" t="inlineStr">
        <is>
          <t>VÄSTERBOTTENS LÄN</t>
        </is>
      </c>
      <c r="G214" t="inlineStr">
        <is>
          <t>ROBERTSFORS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46321</v>
      </c>
      <c r="F215" t="inlineStr">
        <is>
          <t>VÄSTERBOTTENS LÄN</t>
        </is>
      </c>
      <c r="G215" t="inlineStr">
        <is>
          <t>ROBERTSFORS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44860</v>
      </c>
      <c r="E216" s="1" t="n">
        <v>46321</v>
      </c>
      <c r="F216" t="inlineStr">
        <is>
          <t>VÄSTERBOTTENS LÄN</t>
        </is>
      </c>
      <c r="G216" t="inlineStr">
        <is>
          <t>ROBERTSFORS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46321</v>
      </c>
      <c r="F217" t="inlineStr">
        <is>
          <t>VÄSTERBOTTENS LÄN</t>
        </is>
      </c>
      <c r="G217" t="inlineStr">
        <is>
          <t>ROBERTSFORS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46321</v>
      </c>
      <c r="F218" t="inlineStr">
        <is>
          <t>VÄSTERBOTTENS LÄN</t>
        </is>
      </c>
      <c r="G218" t="inlineStr">
        <is>
          <t>ROBERTSFORS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46321</v>
      </c>
      <c r="F219" t="inlineStr">
        <is>
          <t>VÄSTERBOTTENS LÄN</t>
        </is>
      </c>
      <c r="G219" t="inlineStr">
        <is>
          <t>ROBERTSFORS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46321</v>
      </c>
      <c r="F220" t="inlineStr">
        <is>
          <t>VÄSTERBOTTENS LÄN</t>
        </is>
      </c>
      <c r="G220" t="inlineStr">
        <is>
          <t>ROBERTSFORS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45996</v>
      </c>
      <c r="E221" s="1" t="n">
        <v>46321</v>
      </c>
      <c r="F221" t="inlineStr">
        <is>
          <t>VÄSTERBOTTENS LÄN</t>
        </is>
      </c>
      <c r="G221" t="inlineStr">
        <is>
          <t>ROBERTSFORS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46321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Sveaskog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45458</v>
      </c>
      <c r="E223" s="1" t="n">
        <v>46321</v>
      </c>
      <c r="F223" t="inlineStr">
        <is>
          <t>VÄSTERBOTTENS LÄN</t>
        </is>
      </c>
      <c r="G223" t="inlineStr">
        <is>
          <t>ROBERTSFORS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45644</v>
      </c>
      <c r="E224" s="1" t="n">
        <v>46321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57008-2024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46321</v>
      </c>
      <c r="F225" t="inlineStr">
        <is>
          <t>VÄSTERBOTTENS LÄN</t>
        </is>
      </c>
      <c r="G225" t="inlineStr">
        <is>
          <t>ROBERTSFORS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46321</v>
      </c>
      <c r="F226" t="inlineStr">
        <is>
          <t>VÄSTERBOTTENS LÄN</t>
        </is>
      </c>
      <c r="G226" t="inlineStr">
        <is>
          <t>ROBERTSFORS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46321</v>
      </c>
      <c r="F227" t="inlineStr">
        <is>
          <t>VÄSTERBOTTENS LÄN</t>
        </is>
      </c>
      <c r="G227" t="inlineStr">
        <is>
          <t>ROBERTSFORS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46321</v>
      </c>
      <c r="F228" t="inlineStr">
        <is>
          <t>VÄSTERBOTTENS LÄN</t>
        </is>
      </c>
      <c r="G228" t="inlineStr">
        <is>
          <t>ROBERTSFORS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46321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46321</v>
      </c>
      <c r="F230" t="inlineStr">
        <is>
          <t>VÄSTERBOTTENS LÄN</t>
        </is>
      </c>
      <c r="G230" t="inlineStr">
        <is>
          <t>ROBERTSFORS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46225</v>
      </c>
      <c r="E231" s="1" t="n">
        <v>46321</v>
      </c>
      <c r="F231" t="inlineStr">
        <is>
          <t>VÄSTERBOTTENS LÄN</t>
        </is>
      </c>
      <c r="G231" t="inlineStr">
        <is>
          <t>ROBERTSFORS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46321</v>
      </c>
      <c r="F232" t="inlineStr">
        <is>
          <t>VÄSTERBOTTENS LÄN</t>
        </is>
      </c>
      <c r="G232" t="inlineStr">
        <is>
          <t>ROBERTSFORS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46225</v>
      </c>
      <c r="E233" s="1" t="n">
        <v>46321</v>
      </c>
      <c r="F233" t="inlineStr">
        <is>
          <t>VÄSTERBOTTENS LÄN</t>
        </is>
      </c>
      <c r="G233" t="inlineStr">
        <is>
          <t>ROBERTSFORS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46225</v>
      </c>
      <c r="E234" s="1" t="n">
        <v>46321</v>
      </c>
      <c r="F234" t="inlineStr">
        <is>
          <t>VÄSTERBOTTENS LÄN</t>
        </is>
      </c>
      <c r="G234" t="inlineStr">
        <is>
          <t>ROBERTSFORS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46230</v>
      </c>
      <c r="E235" s="1" t="n">
        <v>46321</v>
      </c>
      <c r="F235" t="inlineStr">
        <is>
          <t>VÄSTERBOTTENS LÄN</t>
        </is>
      </c>
      <c r="G235" t="inlineStr">
        <is>
          <t>ROBERTSFORS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46321</v>
      </c>
      <c r="F236" t="inlineStr">
        <is>
          <t>VÄSTERBOTTENS LÄN</t>
        </is>
      </c>
      <c r="G236" t="inlineStr">
        <is>
          <t>ROBERTSFORS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46321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46280</v>
      </c>
      <c r="E238" s="1" t="n">
        <v>46321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46280</v>
      </c>
      <c r="E239" s="1" t="n">
        <v>46321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46321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46321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46321</v>
      </c>
      <c r="F242" t="inlineStr">
        <is>
          <t>VÄSTERBOTTENS LÄN</t>
        </is>
      </c>
      <c r="G242" t="inlineStr">
        <is>
          <t>ROBERTSFORS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45642</v>
      </c>
      <c r="E243" s="1" t="n">
        <v>46321</v>
      </c>
      <c r="F243" t="inlineStr">
        <is>
          <t>VÄSTERBOTTENS LÄN</t>
        </is>
      </c>
      <c r="G243" t="inlineStr">
        <is>
          <t>ROBERTSFORS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46321</v>
      </c>
      <c r="F244" t="inlineStr">
        <is>
          <t>VÄSTERBOTTENS LÄN</t>
        </is>
      </c>
      <c r="G244" t="inlineStr">
        <is>
          <t>ROBERTSFORS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46240</v>
      </c>
      <c r="E245" s="1" t="n">
        <v>46321</v>
      </c>
      <c r="F245" t="inlineStr">
        <is>
          <t>VÄSTERBOTTENS LÄN</t>
        </is>
      </c>
      <c r="G245" t="inlineStr">
        <is>
          <t>ROBERTSFORS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46321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46239</v>
      </c>
      <c r="E247" s="1" t="n">
        <v>46321</v>
      </c>
      <c r="F247" t="inlineStr">
        <is>
          <t>VÄSTERBOTTENS LÄN</t>
        </is>
      </c>
      <c r="G247" t="inlineStr">
        <is>
          <t>ROBERTSFORS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45495</v>
      </c>
      <c r="E248" s="1" t="n">
        <v>46321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46240</v>
      </c>
      <c r="E249" s="1" t="n">
        <v>46321</v>
      </c>
      <c r="F249" t="inlineStr">
        <is>
          <t>VÄSTERBOTTENS LÄN</t>
        </is>
      </c>
      <c r="G249" t="inlineStr">
        <is>
          <t>ROBERTSFORS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46321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SCA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46240</v>
      </c>
      <c r="E251" s="1" t="n">
        <v>46321</v>
      </c>
      <c r="F251" t="inlineStr">
        <is>
          <t>VÄSTERBOTTENS LÄN</t>
        </is>
      </c>
      <c r="G251" t="inlineStr">
        <is>
          <t>ROBERTSFORS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46240</v>
      </c>
      <c r="E252" s="1" t="n">
        <v>46321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46239</v>
      </c>
      <c r="E253" s="1" t="n">
        <v>46321</v>
      </c>
      <c r="F253" t="inlineStr">
        <is>
          <t>VÄSTERBOTTENS LÄN</t>
        </is>
      </c>
      <c r="G253" t="inlineStr">
        <is>
          <t>ROBERTSFORS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46283</v>
      </c>
      <c r="E254" s="1" t="n">
        <v>46321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46240</v>
      </c>
      <c r="E255" s="1" t="n">
        <v>46321</v>
      </c>
      <c r="F255" t="inlineStr">
        <is>
          <t>VÄSTERBOTTENS LÄN</t>
        </is>
      </c>
      <c r="G255" t="inlineStr">
        <is>
          <t>ROBERTSFORS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46321</v>
      </c>
      <c r="F256" t="inlineStr">
        <is>
          <t>VÄSTERBOTTENS LÄN</t>
        </is>
      </c>
      <c r="G256" t="inlineStr">
        <is>
          <t>ROBERTSFORS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44372-2023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45188</v>
      </c>
      <c r="E257" s="1" t="n">
        <v>46321</v>
      </c>
      <c r="F257" t="inlineStr">
        <is>
          <t>VÄSTERBOTTENS LÄN</t>
        </is>
      </c>
      <c r="G257" t="inlineStr">
        <is>
          <t>ROBERTSFORS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46240</v>
      </c>
      <c r="E258" s="1" t="n">
        <v>46321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46240</v>
      </c>
      <c r="E259" s="1" t="n">
        <v>46321</v>
      </c>
      <c r="F259" t="inlineStr">
        <is>
          <t>VÄSTERBOTTENS LÄN</t>
        </is>
      </c>
      <c r="G259" t="inlineStr">
        <is>
          <t>ROBERTSFORS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46321</v>
      </c>
      <c r="F260" t="inlineStr">
        <is>
          <t>VÄSTERBOTTENS LÄN</t>
        </is>
      </c>
      <c r="G260" t="inlineStr">
        <is>
          <t>ROBERTSFORS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46286</v>
      </c>
      <c r="E261" s="1" t="n">
        <v>46321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46286</v>
      </c>
      <c r="E262" s="1" t="n">
        <v>46321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46321</v>
      </c>
      <c r="F263" t="inlineStr">
        <is>
          <t>VÄSTERBOTTENS LÄN</t>
        </is>
      </c>
      <c r="G263" t="inlineStr">
        <is>
          <t>ROBERTSFORS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45794</v>
      </c>
      <c r="E264" s="1" t="n">
        <v>46321</v>
      </c>
      <c r="F264" t="inlineStr">
        <is>
          <t>VÄSTERBOTTENS LÄN</t>
        </is>
      </c>
      <c r="G264" t="inlineStr">
        <is>
          <t>ROBERTSFORS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46321</v>
      </c>
      <c r="F265" t="inlineStr">
        <is>
          <t>VÄSTERBOTTENS LÄN</t>
        </is>
      </c>
      <c r="G265" t="inlineStr">
        <is>
          <t>ROBERTSFORS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46288</v>
      </c>
      <c r="E266" s="1" t="n">
        <v>46321</v>
      </c>
      <c r="F266" t="inlineStr">
        <is>
          <t>VÄSTERBOTTENS LÄN</t>
        </is>
      </c>
      <c r="G266" t="inlineStr">
        <is>
          <t>ROBERTSFORS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46244</v>
      </c>
      <c r="E267" s="1" t="n">
        <v>46321</v>
      </c>
      <c r="F267" t="inlineStr">
        <is>
          <t>VÄSTERBOTTENS LÄN</t>
        </is>
      </c>
      <c r="G267" t="inlineStr">
        <is>
          <t>ROBERTSFORS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46321</v>
      </c>
      <c r="F268" t="inlineStr">
        <is>
          <t>VÄSTERBOTTENS LÄN</t>
        </is>
      </c>
      <c r="G268" t="inlineStr">
        <is>
          <t>ROBERTSFORS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46321</v>
      </c>
      <c r="F269" t="inlineStr">
        <is>
          <t>VÄSTERBOTTENS LÄN</t>
        </is>
      </c>
      <c r="G269" t="inlineStr">
        <is>
          <t>ROBERTSFORS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46321</v>
      </c>
      <c r="F270" t="inlineStr">
        <is>
          <t>VÄSTERBOTTENS LÄN</t>
        </is>
      </c>
      <c r="G270" t="inlineStr">
        <is>
          <t>ROBERTSFORS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46321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46321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46321</v>
      </c>
      <c r="F273" t="inlineStr">
        <is>
          <t>VÄSTERBOTTENS LÄN</t>
        </is>
      </c>
      <c r="G273" t="inlineStr">
        <is>
          <t>ROBERTSFORS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46321</v>
      </c>
      <c r="F274" t="inlineStr">
        <is>
          <t>VÄSTERBOTTENS LÄN</t>
        </is>
      </c>
      <c r="G274" t="inlineStr">
        <is>
          <t>ROBERTSFORS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46321</v>
      </c>
      <c r="F275" t="inlineStr">
        <is>
          <t>VÄSTERBOTTENS LÄN</t>
        </is>
      </c>
      <c r="G275" t="inlineStr">
        <is>
          <t>ROBERTSFORS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46321</v>
      </c>
      <c r="F276" t="inlineStr">
        <is>
          <t>VÄSTERBOTTENS LÄN</t>
        </is>
      </c>
      <c r="G276" t="inlineStr">
        <is>
          <t>ROBERTSFORS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46321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46321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46321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46321</v>
      </c>
      <c r="F280" t="inlineStr">
        <is>
          <t>VÄSTERBOTTENS LÄN</t>
        </is>
      </c>
      <c r="G280" t="inlineStr">
        <is>
          <t>ROBERTSFORS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46321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46321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46289</v>
      </c>
      <c r="E283" s="1" t="n">
        <v>46321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46321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45687</v>
      </c>
      <c r="E285" s="1" t="n">
        <v>46321</v>
      </c>
      <c r="F285" t="inlineStr">
        <is>
          <t>VÄSTERBOTTENS LÄN</t>
        </is>
      </c>
      <c r="G285" t="inlineStr">
        <is>
          <t>ROBERTSFORS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46321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46321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46321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46321</v>
      </c>
      <c r="F289" t="inlineStr">
        <is>
          <t>VÄSTERBOTTENS LÄN</t>
        </is>
      </c>
      <c r="G289" t="inlineStr">
        <is>
          <t>ROBERTSFORS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46321</v>
      </c>
      <c r="F290" t="inlineStr">
        <is>
          <t>VÄSTERBOTTENS LÄN</t>
        </is>
      </c>
      <c r="G290" t="inlineStr">
        <is>
          <t>ROBERTSFORS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46291</v>
      </c>
      <c r="E291" s="1" t="n">
        <v>46321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46321</v>
      </c>
      <c r="F292" t="inlineStr">
        <is>
          <t>VÄSTERBOTTENS LÄN</t>
        </is>
      </c>
      <c r="G292" t="inlineStr">
        <is>
          <t>ROBERTSFORS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46321</v>
      </c>
      <c r="F293" t="inlineStr">
        <is>
          <t>VÄSTERBOTTENS LÄN</t>
        </is>
      </c>
      <c r="G293" t="inlineStr">
        <is>
          <t>ROBERTSFORS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46321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28330-2025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45818</v>
      </c>
      <c r="E295" s="1" t="n">
        <v>46321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46321</v>
      </c>
      <c r="F296" t="inlineStr">
        <is>
          <t>VÄSTERBOTTENS LÄN</t>
        </is>
      </c>
      <c r="G296" t="inlineStr">
        <is>
          <t>ROBERTSFORS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46291</v>
      </c>
      <c r="E297" s="1" t="n">
        <v>46321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46321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46321</v>
      </c>
      <c r="F299" t="inlineStr">
        <is>
          <t>VÄSTERBOTTENS LÄN</t>
        </is>
      </c>
      <c r="G299" t="inlineStr">
        <is>
          <t>ROBERTSFORS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46321</v>
      </c>
      <c r="F300" t="inlineStr">
        <is>
          <t>VÄSTERBOTTENS LÄN</t>
        </is>
      </c>
      <c r="G300" t="inlineStr">
        <is>
          <t>ROBERTSFORS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46321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46321</v>
      </c>
      <c r="F302" t="inlineStr">
        <is>
          <t>VÄSTERBOTTENS LÄN</t>
        </is>
      </c>
      <c r="G302" t="inlineStr">
        <is>
          <t>ROBERTSFORS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46321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46321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46321</v>
      </c>
      <c r="F305" t="inlineStr">
        <is>
          <t>VÄSTERBOTTENS LÄN</t>
        </is>
      </c>
      <c r="G305" t="inlineStr">
        <is>
          <t>ROBERTSFORS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46321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45839</v>
      </c>
      <c r="E307" s="1" t="n">
        <v>46321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46321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46321</v>
      </c>
      <c r="F309" t="inlineStr">
        <is>
          <t>VÄSTERBOTTENS LÄN</t>
        </is>
      </c>
      <c r="G309" t="inlineStr">
        <is>
          <t>ROBERTSFORS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46321</v>
      </c>
      <c r="F310" t="inlineStr">
        <is>
          <t>VÄSTERBOTTENS LÄN</t>
        </is>
      </c>
      <c r="G310" t="inlineStr">
        <is>
          <t>ROBERTSFORS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46321</v>
      </c>
      <c r="F311" t="inlineStr">
        <is>
          <t>VÄSTERBOTTENS LÄN</t>
        </is>
      </c>
      <c r="G311" t="inlineStr">
        <is>
          <t>ROBERTSFORS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46297</v>
      </c>
      <c r="E312" s="1" t="n">
        <v>46321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46321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46321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33368-2025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45841</v>
      </c>
      <c r="E315" s="1" t="n">
        <v>46321</v>
      </c>
      <c r="F315" t="inlineStr">
        <is>
          <t>VÄSTERBOTTENS LÄN</t>
        </is>
      </c>
      <c r="G315" t="inlineStr">
        <is>
          <t>ROBERTSFORS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46321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13.2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33375-2025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46321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46321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46321</v>
      </c>
      <c r="F319" t="inlineStr">
        <is>
          <t>VÄSTERBOTTENS LÄN</t>
        </is>
      </c>
      <c r="G319" t="inlineStr">
        <is>
          <t>ROBERTSFORS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30722-2024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45496</v>
      </c>
      <c r="E320" s="1" t="n">
        <v>46321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46321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34556-2026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46255</v>
      </c>
      <c r="E322" s="1" t="n">
        <v>46321</v>
      </c>
      <c r="F322" t="inlineStr">
        <is>
          <t>VÄSTERBOTTENS LÄN</t>
        </is>
      </c>
      <c r="G322" t="inlineStr">
        <is>
          <t>ROBERTSFORS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46255</v>
      </c>
      <c r="E323" s="1" t="n">
        <v>46321</v>
      </c>
      <c r="F323" t="inlineStr">
        <is>
          <t>VÄSTERBOTTENS LÄN</t>
        </is>
      </c>
      <c r="G323" t="inlineStr">
        <is>
          <t>ROBERTSFORS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46321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46259</v>
      </c>
      <c r="E325" s="1" t="n">
        <v>46321</v>
      </c>
      <c r="F325" t="inlineStr">
        <is>
          <t>VÄSTERBOTTENS LÄN</t>
        </is>
      </c>
      <c r="G325" t="inlineStr">
        <is>
          <t>ROBERTSFORS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46321</v>
      </c>
      <c r="F326" t="inlineStr">
        <is>
          <t>VÄSTERBOTTENS LÄN</t>
        </is>
      </c>
      <c r="G326" t="inlineStr">
        <is>
          <t>ROBERTSFORS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46302</v>
      </c>
      <c r="E327" s="1" t="n">
        <v>46321</v>
      </c>
      <c r="F327" t="inlineStr">
        <is>
          <t>VÄSTERBOTTENS LÄN</t>
        </is>
      </c>
      <c r="G327" t="inlineStr">
        <is>
          <t>ROBERTSFORS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46321</v>
      </c>
      <c r="F328" t="inlineStr">
        <is>
          <t>VÄSTERBOTTENS LÄN</t>
        </is>
      </c>
      <c r="G328" t="inlineStr">
        <is>
          <t>ROBERTSFORS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46321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45856</v>
      </c>
      <c r="E330" s="1" t="n">
        <v>46321</v>
      </c>
      <c r="F330" t="inlineStr">
        <is>
          <t>VÄSTERBOTTENS LÄN</t>
        </is>
      </c>
      <c r="G330" t="inlineStr">
        <is>
          <t>ROBERTSFORS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46321</v>
      </c>
      <c r="F331" t="inlineStr">
        <is>
          <t>VÄSTERBOTTENS LÄN</t>
        </is>
      </c>
      <c r="G331" t="inlineStr">
        <is>
          <t>ROBERTSFORS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45856</v>
      </c>
      <c r="E332" s="1" t="n">
        <v>46321</v>
      </c>
      <c r="F332" t="inlineStr">
        <is>
          <t>VÄSTERBOTTENS LÄN</t>
        </is>
      </c>
      <c r="G332" t="inlineStr">
        <is>
          <t>ROBERTSFORS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46321</v>
      </c>
      <c r="F333" t="inlineStr">
        <is>
          <t>VÄSTERBOTTENS LÄN</t>
        </is>
      </c>
      <c r="G333" t="inlineStr">
        <is>
          <t>ROBERTSFORS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45789</v>
      </c>
      <c r="E334" s="1" t="n">
        <v>46321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46321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45870</v>
      </c>
      <c r="E336" s="1" t="n">
        <v>46321</v>
      </c>
      <c r="F336" t="inlineStr">
        <is>
          <t>VÄSTERBOTTENS LÄN</t>
        </is>
      </c>
      <c r="G336" t="inlineStr">
        <is>
          <t>ROBERTSFORS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46261</v>
      </c>
      <c r="E337" s="1" t="n">
        <v>46321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46321</v>
      </c>
      <c r="F338" t="inlineStr">
        <is>
          <t>VÄSTERBOTTENS LÄN</t>
        </is>
      </c>
      <c r="G338" t="inlineStr">
        <is>
          <t>ROBERTSFORS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46303</v>
      </c>
      <c r="E339" s="1" t="n">
        <v>46321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41852-2026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46303</v>
      </c>
      <c r="E340" s="1" t="n">
        <v>46321</v>
      </c>
      <c r="F340" t="inlineStr">
        <is>
          <t>VÄSTERBOTTENS LÄN</t>
        </is>
      </c>
      <c r="G340" t="inlineStr">
        <is>
          <t>ROBERTSFORS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46321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46321</v>
      </c>
      <c r="F342" t="inlineStr">
        <is>
          <t>VÄSTERBOTTENS LÄN</t>
        </is>
      </c>
      <c r="G342" t="inlineStr">
        <is>
          <t>ROBERTSFORS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46321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46321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46321</v>
      </c>
      <c r="F345" t="inlineStr">
        <is>
          <t>VÄSTERBOTTENS LÄN</t>
        </is>
      </c>
      <c r="G345" t="inlineStr">
        <is>
          <t>ROBERTSFORS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46321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46321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60738-2022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44913</v>
      </c>
      <c r="E348" s="1" t="n">
        <v>46321</v>
      </c>
      <c r="F348" t="inlineStr">
        <is>
          <t>VÄSTERBOTTENS LÄN</t>
        </is>
      </c>
      <c r="G348" t="inlineStr">
        <is>
          <t>ROBERTSFORS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46321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44876</v>
      </c>
      <c r="E350" s="1" t="n">
        <v>46321</v>
      </c>
      <c r="F350" t="inlineStr">
        <is>
          <t>VÄSTERBOTTENS LÄN</t>
        </is>
      </c>
      <c r="G350" t="inlineStr">
        <is>
          <t>ROBERTSFORS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46239</v>
      </c>
      <c r="E351" s="1" t="n">
        <v>46321</v>
      </c>
      <c r="F351" t="inlineStr">
        <is>
          <t>VÄSTERBOTTENS LÄN</t>
        </is>
      </c>
      <c r="G351" t="inlineStr">
        <is>
          <t>ROBERTSFORS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46321</v>
      </c>
      <c r="F352" t="inlineStr">
        <is>
          <t>VÄSTERBOTTENS LÄN</t>
        </is>
      </c>
      <c r="G352" t="inlineStr">
        <is>
          <t>ROBERTSFORS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46321</v>
      </c>
      <c r="F353" t="inlineStr">
        <is>
          <t>VÄSTERBOTTENS LÄN</t>
        </is>
      </c>
      <c r="G353" t="inlineStr">
        <is>
          <t>ROBERTSFORS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46321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46321</v>
      </c>
      <c r="F355" t="inlineStr">
        <is>
          <t>VÄSTERBOTTENS LÄN</t>
        </is>
      </c>
      <c r="G355" t="inlineStr">
        <is>
          <t>ROBERTSFORS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46321</v>
      </c>
      <c r="F356" t="inlineStr">
        <is>
          <t>VÄSTERBOTTENS LÄN</t>
        </is>
      </c>
      <c r="G356" t="inlineStr">
        <is>
          <t>ROBERTSFORS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44894</v>
      </c>
      <c r="E357" s="1" t="n">
        <v>46321</v>
      </c>
      <c r="F357" t="inlineStr">
        <is>
          <t>VÄSTERBOTTENS LÄN</t>
        </is>
      </c>
      <c r="G357" t="inlineStr">
        <is>
          <t>ROBERTSFORS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58426-2022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44901</v>
      </c>
      <c r="E358" s="1" t="n">
        <v>46321</v>
      </c>
      <c r="F358" t="inlineStr">
        <is>
          <t>VÄSTERBOTTENS LÄN</t>
        </is>
      </c>
      <c r="G358" t="inlineStr">
        <is>
          <t>ROBERTSFORS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45357</v>
      </c>
      <c r="E359" s="1" t="n">
        <v>46321</v>
      </c>
      <c r="F359" t="inlineStr">
        <is>
          <t>VÄSTERBOTTENS LÄN</t>
        </is>
      </c>
      <c r="G359" t="inlineStr">
        <is>
          <t>ROBERTSFORS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46321</v>
      </c>
      <c r="F360" t="inlineStr">
        <is>
          <t>VÄSTERBOTTENS LÄN</t>
        </is>
      </c>
      <c r="G360" t="inlineStr">
        <is>
          <t>ROBERTSFORS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42658-2026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46308</v>
      </c>
      <c r="E361" s="1" t="n">
        <v>46321</v>
      </c>
      <c r="F361" t="inlineStr">
        <is>
          <t>VÄSTERBOTTENS LÄN</t>
        </is>
      </c>
      <c r="G361" t="inlineStr">
        <is>
          <t>ROBERTSFORS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46321</v>
      </c>
      <c r="F362" t="inlineStr">
        <is>
          <t>VÄSTERBOTTENS LÄN</t>
        </is>
      </c>
      <c r="G362" t="inlineStr">
        <is>
          <t>ROBERTSFORS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46266</v>
      </c>
      <c r="E363" s="1" t="n">
        <v>46321</v>
      </c>
      <c r="F363" t="inlineStr">
        <is>
          <t>VÄSTERBOTTENS LÄN</t>
        </is>
      </c>
      <c r="G363" t="inlineStr">
        <is>
          <t>ROBERTSFORS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46321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45617</v>
      </c>
      <c r="E365" s="1" t="n">
        <v>46321</v>
      </c>
      <c r="F365" t="inlineStr">
        <is>
          <t>VÄSTERBOTTENS LÄN</t>
        </is>
      </c>
      <c r="G365" t="inlineStr">
        <is>
          <t>ROBERTSFORS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46321</v>
      </c>
      <c r="F366" t="inlineStr">
        <is>
          <t>VÄSTERBOTTENS LÄN</t>
        </is>
      </c>
      <c r="G366" t="inlineStr">
        <is>
          <t>ROBERTSFORS</t>
        </is>
      </c>
      <c r="I366" t="n">
        <v>24.4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46268</v>
      </c>
      <c r="E367" s="1" t="n">
        <v>46321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Sveaskog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46321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46321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46321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46314</v>
      </c>
      <c r="E371" s="1" t="n">
        <v>46321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46314</v>
      </c>
      <c r="E372" s="1" t="n">
        <v>46321</v>
      </c>
      <c r="F372" t="inlineStr">
        <is>
          <t>VÄSTERBOTTENS LÄN</t>
        </is>
      </c>
      <c r="G372" t="inlineStr">
        <is>
          <t>ROBERTSFORS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46321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46321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46314</v>
      </c>
      <c r="E375" s="1" t="n">
        <v>46321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46321</v>
      </c>
      <c r="F376" t="inlineStr">
        <is>
          <t>VÄSTERBOTTENS LÄN</t>
        </is>
      </c>
      <c r="G376" t="inlineStr">
        <is>
          <t>ROBERTSFORS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46314</v>
      </c>
      <c r="E377" s="1" t="n">
        <v>46321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45238</v>
      </c>
      <c r="E378" s="1" t="n">
        <v>46321</v>
      </c>
      <c r="F378" t="inlineStr">
        <is>
          <t>VÄSTERBOTTENS LÄN</t>
        </is>
      </c>
      <c r="G378" t="inlineStr">
        <is>
          <t>ROBERTSFORS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46321</v>
      </c>
      <c r="F379" t="inlineStr">
        <is>
          <t>VÄSTERBOTTENS LÄN</t>
        </is>
      </c>
      <c r="G379" t="inlineStr">
        <is>
          <t>ROBERTSFORS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46269</v>
      </c>
      <c r="E380" s="1" t="n">
        <v>46321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46269</v>
      </c>
      <c r="E381" s="1" t="n">
        <v>46321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Sveaskog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46321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46314</v>
      </c>
      <c r="E383" s="1" t="n">
        <v>46321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46269</v>
      </c>
      <c r="E384" s="1" t="n">
        <v>46321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Sveaskog</t>
        </is>
      </c>
      <c r="I384" t="n">
        <v>13.5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46321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45145</v>
      </c>
      <c r="E386" s="1" t="n">
        <v>46321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46321</v>
      </c>
      <c r="F387" t="inlineStr">
        <is>
          <t>VÄSTERBOTTENS LÄN</t>
        </is>
      </c>
      <c r="G387" t="inlineStr">
        <is>
          <t>ROBERTSFORS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45929</v>
      </c>
      <c r="E388" s="1" t="n">
        <v>46321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46321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46321</v>
      </c>
      <c r="F390" t="inlineStr">
        <is>
          <t>VÄSTERBOTTENS LÄN</t>
        </is>
      </c>
      <c r="G390" t="inlineStr">
        <is>
          <t>ROBERTSFORS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46321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46321</v>
      </c>
      <c r="F392" t="inlineStr">
        <is>
          <t>VÄSTERBOTTENS LÄN</t>
        </is>
      </c>
      <c r="G392" t="inlineStr">
        <is>
          <t>ROBERTSFORS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46321</v>
      </c>
      <c r="F393" t="inlineStr">
        <is>
          <t>VÄSTERBOTTENS LÄN</t>
        </is>
      </c>
      <c r="G393" t="inlineStr">
        <is>
          <t>ROBERTSFORS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46315</v>
      </c>
      <c r="E394" s="1" t="n">
        <v>46321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46315</v>
      </c>
      <c r="E395" s="1" t="n">
        <v>46321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45146</v>
      </c>
      <c r="E396" s="1" t="n">
        <v>46321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45496</v>
      </c>
      <c r="E397" s="1" t="n">
        <v>46321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46321</v>
      </c>
      <c r="F398" t="inlineStr">
        <is>
          <t>VÄSTERBOTTENS LÄN</t>
        </is>
      </c>
      <c r="G398" t="inlineStr">
        <is>
          <t>ROBERTSFORS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45404</v>
      </c>
      <c r="E399" s="1" t="n">
        <v>46321</v>
      </c>
      <c r="F399" t="inlineStr">
        <is>
          <t>VÄSTERBOTTENS LÄN</t>
        </is>
      </c>
      <c r="G399" t="inlineStr">
        <is>
          <t>ROBERTSFORS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46321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46321</v>
      </c>
      <c r="F401" t="inlineStr">
        <is>
          <t>VÄSTERBOTTENS LÄN</t>
        </is>
      </c>
      <c r="G401" t="inlineStr">
        <is>
          <t>ROBERTSFORS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46317</v>
      </c>
      <c r="E402" s="1" t="n">
        <v>46321</v>
      </c>
      <c r="F402" t="inlineStr">
        <is>
          <t>VÄSTERBOTTENS LÄN</t>
        </is>
      </c>
      <c r="G402" t="inlineStr">
        <is>
          <t>ROBERTSFORS</t>
        </is>
      </c>
      <c r="I402" t="n">
        <v>10.3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46321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45627</v>
      </c>
      <c r="E404" s="1" t="n">
        <v>46321</v>
      </c>
      <c r="F404" t="inlineStr">
        <is>
          <t>VÄSTERBOTTENS LÄN</t>
        </is>
      </c>
      <c r="G404" t="inlineStr">
        <is>
          <t>ROBERTSFORS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46321</v>
      </c>
      <c r="F405" t="inlineStr">
        <is>
          <t>VÄSTERBOTTENS LÄN</t>
        </is>
      </c>
      <c r="G405" t="inlineStr">
        <is>
          <t>ROBERTSFORS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46321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46321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46321</v>
      </c>
      <c r="F408" t="inlineStr">
        <is>
          <t>VÄSTERBOTTENS LÄN</t>
        </is>
      </c>
      <c r="G408" t="inlineStr">
        <is>
          <t>ROBERTSFORS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46321</v>
      </c>
      <c r="F409" t="inlineStr">
        <is>
          <t>VÄSTERBOTTENS LÄN</t>
        </is>
      </c>
      <c r="G409" t="inlineStr">
        <is>
          <t>ROBERTSFORS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46321</v>
      </c>
      <c r="F410" t="inlineStr">
        <is>
          <t>VÄSTERBOTTENS LÄN</t>
        </is>
      </c>
      <c r="G410" t="inlineStr">
        <is>
          <t>ROBERTSFORS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46321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46321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46321</v>
      </c>
      <c r="F413" t="inlineStr">
        <is>
          <t>VÄSTERBOTTENS LÄN</t>
        </is>
      </c>
      <c r="G413" t="inlineStr">
        <is>
          <t>ROBERTSFORS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46321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46321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45246</v>
      </c>
      <c r="E416" s="1" t="n">
        <v>46321</v>
      </c>
      <c r="F416" t="inlineStr">
        <is>
          <t>VÄSTERBOTTENS LÄN</t>
        </is>
      </c>
      <c r="G416" t="inlineStr">
        <is>
          <t>ROBERTSFORS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46321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46321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Sveaskog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46321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46155</v>
      </c>
      <c r="E420" s="1" t="n">
        <v>46321</v>
      </c>
      <c r="F420" t="inlineStr">
        <is>
          <t>VÄSTERBOTTENS LÄN</t>
        </is>
      </c>
      <c r="G420" t="inlineStr">
        <is>
          <t>ROBERTSFORS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46321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46321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46321</v>
      </c>
      <c r="F423" t="inlineStr">
        <is>
          <t>VÄSTERBOTTENS LÄN</t>
        </is>
      </c>
      <c r="G423" t="inlineStr">
        <is>
          <t>ROBERTSFORS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46321</v>
      </c>
      <c r="F424" t="inlineStr">
        <is>
          <t>VÄSTERBOTTENS LÄN</t>
        </is>
      </c>
      <c r="G424" t="inlineStr">
        <is>
          <t>ROBERTSFORS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46321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46321</v>
      </c>
      <c r="F426" t="inlineStr">
        <is>
          <t>VÄSTERBOTTENS LÄN</t>
        </is>
      </c>
      <c r="G426" t="inlineStr">
        <is>
          <t>ROBERTSFORS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46160</v>
      </c>
      <c r="E427" s="1" t="n">
        <v>46321</v>
      </c>
      <c r="F427" t="inlineStr">
        <is>
          <t>VÄSTERBOTTENS LÄN</t>
        </is>
      </c>
      <c r="G427" t="inlineStr">
        <is>
          <t>ROBERTSFORS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46321</v>
      </c>
      <c r="F428" t="inlineStr">
        <is>
          <t>VÄSTERBOTTENS LÄN</t>
        </is>
      </c>
      <c r="G428" t="inlineStr">
        <is>
          <t>ROBERTSFORS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46321</v>
      </c>
      <c r="F429" t="inlineStr">
        <is>
          <t>VÄSTERBOTTENS LÄN</t>
        </is>
      </c>
      <c r="G429" t="inlineStr">
        <is>
          <t>ROBERTSFORS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46321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46321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46321</v>
      </c>
      <c r="F432" t="inlineStr">
        <is>
          <t>VÄSTERBOTTENS LÄN</t>
        </is>
      </c>
      <c r="G432" t="inlineStr">
        <is>
          <t>ROBERTSFORS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45020</v>
      </c>
      <c r="E433" s="1" t="n">
        <v>46321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46321</v>
      </c>
      <c r="F434" t="inlineStr">
        <is>
          <t>VÄSTERBOTTENS LÄN</t>
        </is>
      </c>
      <c r="G434" t="inlineStr">
        <is>
          <t>ROBERTSFORS</t>
        </is>
      </c>
      <c r="I434" t="n">
        <v>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44516</v>
      </c>
      <c r="E435" s="1" t="n">
        <v>46321</v>
      </c>
      <c r="F435" t="inlineStr">
        <is>
          <t>VÄSTERBOTTENS LÄN</t>
        </is>
      </c>
      <c r="G435" t="inlineStr">
        <is>
          <t>ROBERTSFORS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46321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48259-2023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45205</v>
      </c>
      <c r="E437" s="1" t="n">
        <v>46321</v>
      </c>
      <c r="F437" t="inlineStr">
        <is>
          <t>VÄSTERBOTTENS LÄN</t>
        </is>
      </c>
      <c r="G437" t="inlineStr">
        <is>
          <t>ROBERTSFORS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46321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46321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46321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46321</v>
      </c>
      <c r="F441" t="inlineStr">
        <is>
          <t>VÄSTERBOTTENS LÄN</t>
        </is>
      </c>
      <c r="G441" t="inlineStr">
        <is>
          <t>ROBERTSFORS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45664</v>
      </c>
      <c r="E442" s="1" t="n">
        <v>46321</v>
      </c>
      <c r="F442" t="inlineStr">
        <is>
          <t>VÄSTERBOTTENS LÄN</t>
        </is>
      </c>
      <c r="G442" t="inlineStr">
        <is>
          <t>ROBERTSFORS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46321</v>
      </c>
      <c r="F443" t="inlineStr">
        <is>
          <t>VÄSTERBOTTENS LÄN</t>
        </is>
      </c>
      <c r="G443" t="inlineStr">
        <is>
          <t>ROBERTSFORS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46321</v>
      </c>
      <c r="F444" t="inlineStr">
        <is>
          <t>VÄSTERBOTTENS LÄN</t>
        </is>
      </c>
      <c r="G444" t="inlineStr">
        <is>
          <t>ROBERTSFORS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45033</v>
      </c>
      <c r="E445" s="1" t="n">
        <v>46321</v>
      </c>
      <c r="F445" t="inlineStr">
        <is>
          <t>VÄSTERBOTTENS LÄN</t>
        </is>
      </c>
      <c r="G445" t="inlineStr">
        <is>
          <t>ROBERTSFORS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46321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45458</v>
      </c>
      <c r="E447" s="1" t="n">
        <v>46321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45205</v>
      </c>
      <c r="E448" s="1" t="n">
        <v>46321</v>
      </c>
      <c r="F448" t="inlineStr">
        <is>
          <t>VÄSTERBOTTENS LÄN</t>
        </is>
      </c>
      <c r="G448" t="inlineStr">
        <is>
          <t>ROBERTSFORS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46321</v>
      </c>
      <c r="F449" t="inlineStr">
        <is>
          <t>VÄSTERBOTTENS LÄN</t>
        </is>
      </c>
      <c r="G449" t="inlineStr">
        <is>
          <t>ROBERTSFORS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46321</v>
      </c>
      <c r="F450" t="inlineStr">
        <is>
          <t>VÄSTERBOTTENS LÄN</t>
        </is>
      </c>
      <c r="G450" t="inlineStr">
        <is>
          <t>ROBERTSFORS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46321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46321</v>
      </c>
      <c r="F452" t="inlineStr">
        <is>
          <t>VÄSTERBOTTENS LÄN</t>
        </is>
      </c>
      <c r="G452" t="inlineStr">
        <is>
          <t>ROBERTSFORS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46321</v>
      </c>
      <c r="F453" t="inlineStr">
        <is>
          <t>VÄSTERBOTTENS LÄN</t>
        </is>
      </c>
      <c r="G453" t="inlineStr">
        <is>
          <t>ROBERTSFORS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46321</v>
      </c>
      <c r="F454" t="inlineStr">
        <is>
          <t>VÄSTERBOTTENS LÄN</t>
        </is>
      </c>
      <c r="G454" t="inlineStr">
        <is>
          <t>ROBERTSFORS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45687</v>
      </c>
      <c r="E455" s="1" t="n">
        <v>46321</v>
      </c>
      <c r="F455" t="inlineStr">
        <is>
          <t>VÄSTERBOTTENS LÄN</t>
        </is>
      </c>
      <c r="G455" t="inlineStr">
        <is>
          <t>ROBERTSFORS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45005</v>
      </c>
      <c r="E456" s="1" t="n">
        <v>46321</v>
      </c>
      <c r="F456" t="inlineStr">
        <is>
          <t>VÄSTERBOTTENS LÄN</t>
        </is>
      </c>
      <c r="G456" t="inlineStr">
        <is>
          <t>ROBERTSFORS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45636</v>
      </c>
      <c r="E457" s="1" t="n">
        <v>46321</v>
      </c>
      <c r="F457" t="inlineStr">
        <is>
          <t>VÄSTERBOTTENS LÄN</t>
        </is>
      </c>
      <c r="G457" t="inlineStr">
        <is>
          <t>ROBERTSFORS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46321</v>
      </c>
      <c r="F458" t="inlineStr">
        <is>
          <t>VÄSTERBOTTENS LÄN</t>
        </is>
      </c>
      <c r="G458" t="inlineStr">
        <is>
          <t>ROBERTSFORS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46321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45133</v>
      </c>
      <c r="E460" s="1" t="n">
        <v>46321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46321</v>
      </c>
      <c r="F461" t="inlineStr">
        <is>
          <t>VÄSTERBOTTENS LÄN</t>
        </is>
      </c>
      <c r="G461" t="inlineStr">
        <is>
          <t>ROBERTSFORS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45090</v>
      </c>
      <c r="E462" s="1" t="n">
        <v>46321</v>
      </c>
      <c r="F462" t="inlineStr">
        <is>
          <t>VÄSTERBOTTENS LÄN</t>
        </is>
      </c>
      <c r="G462" t="inlineStr">
        <is>
          <t>ROBERTSFORS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44901</v>
      </c>
      <c r="E463" s="1" t="n">
        <v>46321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58790-2022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44895</v>
      </c>
      <c r="E464" s="1" t="n">
        <v>46321</v>
      </c>
      <c r="F464" t="inlineStr">
        <is>
          <t>VÄSTERBOTTENS LÄN</t>
        </is>
      </c>
      <c r="G464" t="inlineStr">
        <is>
          <t>ROBERTSFORS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46321</v>
      </c>
      <c r="F465" t="inlineStr">
        <is>
          <t>VÄSTERBOTTENS LÄN</t>
        </is>
      </c>
      <c r="G465" t="inlineStr">
        <is>
          <t>ROBERTSFORS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44980</v>
      </c>
      <c r="E466" s="1" t="n">
        <v>46321</v>
      </c>
      <c r="F466" t="inlineStr">
        <is>
          <t>VÄSTERBOTTENS LÄN</t>
        </is>
      </c>
      <c r="G466" t="inlineStr">
        <is>
          <t>ROBERTSFORS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45135</v>
      </c>
      <c r="E467" s="1" t="n">
        <v>46321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45617</v>
      </c>
      <c r="E468" s="1" t="n">
        <v>46321</v>
      </c>
      <c r="F468" t="inlineStr">
        <is>
          <t>VÄSTERBOTTENS LÄN</t>
        </is>
      </c>
      <c r="G468" t="inlineStr">
        <is>
          <t>ROBERTSFORS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46321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46321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46321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45587</v>
      </c>
      <c r="E472" s="1" t="n">
        <v>46321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45405</v>
      </c>
      <c r="E473" s="1" t="n">
        <v>46321</v>
      </c>
      <c r="F473" t="inlineStr">
        <is>
          <t>VÄSTERBOTTENS LÄN</t>
        </is>
      </c>
      <c r="G473" t="inlineStr">
        <is>
          <t>ROBERTSFORS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44901</v>
      </c>
      <c r="E474" s="1" t="n">
        <v>46321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15294-2023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45019</v>
      </c>
      <c r="E475" s="1" t="n">
        <v>46321</v>
      </c>
      <c r="F475" t="inlineStr">
        <is>
          <t>VÄSTERBOTTENS LÄN</t>
        </is>
      </c>
      <c r="G475" t="inlineStr">
        <is>
          <t>ROBERTSFORS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46321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SCA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46321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45049</v>
      </c>
      <c r="E478" s="1" t="n">
        <v>46321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46321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45480</v>
      </c>
      <c r="E480" s="1" t="n">
        <v>46321</v>
      </c>
      <c r="F480" t="inlineStr">
        <is>
          <t>VÄSTERBOTTENS LÄN</t>
        </is>
      </c>
      <c r="G480" t="inlineStr">
        <is>
          <t>ROBERTSFORS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46321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64625-2023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46321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45468</v>
      </c>
      <c r="E483" s="1" t="n">
        <v>46321</v>
      </c>
      <c r="F483" t="inlineStr">
        <is>
          <t>VÄSTERBOTTENS LÄN</t>
        </is>
      </c>
      <c r="G483" t="inlineStr">
        <is>
          <t>ROBERTSFORS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45475</v>
      </c>
      <c r="E484" s="1" t="n">
        <v>46321</v>
      </c>
      <c r="F484" t="inlineStr">
        <is>
          <t>VÄSTERBOTTENS LÄN</t>
        </is>
      </c>
      <c r="G484" t="inlineStr">
        <is>
          <t>ROBERTSFORS</t>
        </is>
      </c>
      <c r="I484" t="n">
        <v>10.5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46321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SCA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46321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46321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46321</v>
      </c>
      <c r="F488" t="inlineStr">
        <is>
          <t>VÄSTERBOTTENS LÄN</t>
        </is>
      </c>
      <c r="G488" t="inlineStr">
        <is>
          <t>ROBERTSFORS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45458</v>
      </c>
      <c r="E489" s="1" t="n">
        <v>46321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73557-2021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44551</v>
      </c>
      <c r="E490" s="1" t="n">
        <v>46321</v>
      </c>
      <c r="F490" t="inlineStr">
        <is>
          <t>VÄSTERBOTTENS LÄN</t>
        </is>
      </c>
      <c r="G490" t="inlineStr">
        <is>
          <t>ROBERTSFORS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45484</v>
      </c>
      <c r="E491" s="1" t="n">
        <v>46321</v>
      </c>
      <c r="F491" t="inlineStr">
        <is>
          <t>VÄSTERBOTTENS LÄN</t>
        </is>
      </c>
      <c r="G491" t="inlineStr">
        <is>
          <t>ROBERTSFORS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45041</v>
      </c>
      <c r="E492" s="1" t="n">
        <v>46321</v>
      </c>
      <c r="F492" t="inlineStr">
        <is>
          <t>VÄSTERBOTTENS LÄN</t>
        </is>
      </c>
      <c r="G492" t="inlineStr">
        <is>
          <t>ROBERTSFORS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45302</v>
      </c>
      <c r="E493" s="1" t="n">
        <v>46321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46321</v>
      </c>
      <c r="F494" t="inlineStr">
        <is>
          <t>VÄSTERBOTTENS LÄN</t>
        </is>
      </c>
      <c r="G494" t="inlineStr">
        <is>
          <t>ROBERTSFORS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15888-2024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45405</v>
      </c>
      <c r="E495" s="1" t="n">
        <v>46321</v>
      </c>
      <c r="F495" t="inlineStr">
        <is>
          <t>VÄSTERBOTTENS LÄN</t>
        </is>
      </c>
      <c r="G495" t="inlineStr">
        <is>
          <t>ROBERTSFORS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46321</v>
      </c>
      <c r="F496" t="inlineStr">
        <is>
          <t>VÄSTERBOTTENS LÄN</t>
        </is>
      </c>
      <c r="G496" t="inlineStr">
        <is>
          <t>ROBERTSFORS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5902-2024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45335</v>
      </c>
      <c r="E497" s="1" t="n">
        <v>46321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25572-2023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45082</v>
      </c>
      <c r="E498" s="1" t="n">
        <v>46321</v>
      </c>
      <c r="F498" t="inlineStr">
        <is>
          <t>VÄSTERBOTTENS LÄN</t>
        </is>
      </c>
      <c r="G498" t="inlineStr">
        <is>
          <t>ROBERTSFORS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8681-2025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45712</v>
      </c>
      <c r="E499" s="1" t="n">
        <v>46321</v>
      </c>
      <c r="F499" t="inlineStr">
        <is>
          <t>VÄSTERBOTTENS LÄN</t>
        </is>
      </c>
      <c r="G499" t="inlineStr">
        <is>
          <t>ROBERTSFORS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45512</v>
      </c>
      <c r="E500" s="1" t="n">
        <v>46321</v>
      </c>
      <c r="F500" t="inlineStr">
        <is>
          <t>VÄSTERBOTTENS LÄN</t>
        </is>
      </c>
      <c r="G500" t="inlineStr">
        <is>
          <t>ROBERTSFORS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45678</v>
      </c>
      <c r="E501" s="1" t="n">
        <v>46321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46321</v>
      </c>
      <c r="F502" t="inlineStr">
        <is>
          <t>VÄSTERBOTTENS LÄN</t>
        </is>
      </c>
      <c r="G502" t="inlineStr">
        <is>
          <t>ROBERTSFORS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46321</v>
      </c>
      <c r="F503" t="inlineStr">
        <is>
          <t>VÄSTERBOTTENS LÄN</t>
        </is>
      </c>
      <c r="G503" t="inlineStr">
        <is>
          <t>ROBERTSFORS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45701</v>
      </c>
      <c r="E504" s="1" t="n">
        <v>46321</v>
      </c>
      <c r="F504" t="inlineStr">
        <is>
          <t>VÄSTERBOTTENS LÄN</t>
        </is>
      </c>
      <c r="G504" t="inlineStr">
        <is>
          <t>ROBERTSFORS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46321</v>
      </c>
      <c r="F505" t="inlineStr">
        <is>
          <t>VÄSTERBOTTENS LÄN</t>
        </is>
      </c>
      <c r="G505" t="inlineStr">
        <is>
          <t>ROBERTSFORS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46321</v>
      </c>
      <c r="F506" t="inlineStr">
        <is>
          <t>VÄSTERBOTTENS LÄN</t>
        </is>
      </c>
      <c r="G506" t="inlineStr">
        <is>
          <t>ROBERTSFORS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46321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SCA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44683</v>
      </c>
      <c r="E508" s="1" t="n">
        <v>46321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56502-2024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45625</v>
      </c>
      <c r="E509" s="1" t="n">
        <v>46321</v>
      </c>
      <c r="F509" t="inlineStr">
        <is>
          <t>VÄSTERBOTTENS LÄN</t>
        </is>
      </c>
      <c r="G509" t="inlineStr">
        <is>
          <t>ROBERTSFORS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50448-2024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46321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46321</v>
      </c>
      <c r="F511" t="inlineStr">
        <is>
          <t>VÄSTERBOTTENS LÄN</t>
        </is>
      </c>
      <c r="G511" t="inlineStr">
        <is>
          <t>ROBERTSFORS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46321</v>
      </c>
      <c r="F512" t="inlineStr">
        <is>
          <t>VÄSTERBOTTENS LÄN</t>
        </is>
      </c>
      <c r="G512" t="inlineStr">
        <is>
          <t>ROBERTSFORS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46321</v>
      </c>
      <c r="F513" t="inlineStr">
        <is>
          <t>VÄSTERBOTTENS LÄN</t>
        </is>
      </c>
      <c r="G513" t="inlineStr">
        <is>
          <t>ROBERTSFORS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44588</v>
      </c>
      <c r="E514" s="1" t="n">
        <v>46321</v>
      </c>
      <c r="F514" t="inlineStr">
        <is>
          <t>VÄSTERBOTTENS LÄN</t>
        </is>
      </c>
      <c r="G514" t="inlineStr">
        <is>
          <t>ROBERTSFORS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10173-2022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44622</v>
      </c>
      <c r="E515" s="1" t="n">
        <v>46321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45653</v>
      </c>
      <c r="E516" s="1" t="n">
        <v>46321</v>
      </c>
      <c r="F516" t="inlineStr">
        <is>
          <t>VÄSTERBOTTENS LÄN</t>
        </is>
      </c>
      <c r="G516" t="inlineStr">
        <is>
          <t>ROBERTSFORS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46321</v>
      </c>
      <c r="F517" t="inlineStr">
        <is>
          <t>VÄSTERBOTTENS LÄN</t>
        </is>
      </c>
      <c r="G517" t="inlineStr">
        <is>
          <t>ROBERTSFORS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44699</v>
      </c>
      <c r="E518" s="1" t="n">
        <v>46321</v>
      </c>
      <c r="F518" t="inlineStr">
        <is>
          <t>VÄSTERBOTTENS LÄN</t>
        </is>
      </c>
      <c r="G518" t="inlineStr">
        <is>
          <t>ROBERTSFORS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45659</v>
      </c>
      <c r="E519" s="1" t="n">
        <v>46321</v>
      </c>
      <c r="F519" t="inlineStr">
        <is>
          <t>VÄSTERBOTTENS LÄN</t>
        </is>
      </c>
      <c r="G519" t="inlineStr">
        <is>
          <t>ROBERTSFORS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53564-2024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46321</v>
      </c>
      <c r="F520" t="inlineStr">
        <is>
          <t>VÄSTERBOTTENS LÄN</t>
        </is>
      </c>
      <c r="G520" t="inlineStr">
        <is>
          <t>ROBERTSFORS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46321</v>
      </c>
      <c r="F521" t="inlineStr">
        <is>
          <t>VÄSTERBOTTENS LÄN</t>
        </is>
      </c>
      <c r="G521" t="inlineStr">
        <is>
          <t>ROBERTSFORS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44026-2022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44838</v>
      </c>
      <c r="E522" s="1" t="n">
        <v>46321</v>
      </c>
      <c r="F522" t="inlineStr">
        <is>
          <t>VÄSTERBOTTENS LÄN</t>
        </is>
      </c>
      <c r="G522" t="inlineStr">
        <is>
          <t>ROBERTSFORS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22339-2024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45446</v>
      </c>
      <c r="E523" s="1" t="n">
        <v>46321</v>
      </c>
      <c r="F523" t="inlineStr">
        <is>
          <t>VÄSTERBOTTENS LÄN</t>
        </is>
      </c>
      <c r="G523" t="inlineStr">
        <is>
          <t>ROBERTSFORS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46321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46321</v>
      </c>
      <c r="F525" t="inlineStr">
        <is>
          <t>VÄSTERBOTTENS LÄN</t>
        </is>
      </c>
      <c r="G525" t="inlineStr">
        <is>
          <t>ROBERTSFORS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8256-2025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45708</v>
      </c>
      <c r="E526" s="1" t="n">
        <v>46321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45756</v>
      </c>
      <c r="E527" s="1" t="n">
        <v>46321</v>
      </c>
      <c r="F527" t="inlineStr">
        <is>
          <t>VÄSTERBOTTENS LÄN</t>
        </is>
      </c>
      <c r="G527" t="inlineStr">
        <is>
          <t>ROBERTSFORS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44783</v>
      </c>
      <c r="E528" s="1" t="n">
        <v>46321</v>
      </c>
      <c r="F528" t="inlineStr">
        <is>
          <t>VÄSTERBOTTENS LÄN</t>
        </is>
      </c>
      <c r="G528" t="inlineStr">
        <is>
          <t>ROBERTSFORS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45463</v>
      </c>
      <c r="E529" s="1" t="n">
        <v>46321</v>
      </c>
      <c r="F529" t="inlineStr">
        <is>
          <t>VÄSTERBOTTENS LÄN</t>
        </is>
      </c>
      <c r="G529" t="inlineStr">
        <is>
          <t>ROBERTSFORS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46321</v>
      </c>
      <c r="F530" t="inlineStr">
        <is>
          <t>VÄSTERBOTTENS LÄN</t>
        </is>
      </c>
      <c r="G530" t="inlineStr">
        <is>
          <t>ROBERTSFORS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46321</v>
      </c>
      <c r="F531" t="inlineStr">
        <is>
          <t>VÄSTERBOTTENS LÄN</t>
        </is>
      </c>
      <c r="G531" t="inlineStr">
        <is>
          <t>ROBERTSFORS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45537</v>
      </c>
      <c r="E532" s="1" t="n">
        <v>46321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46321</v>
      </c>
      <c r="F533" t="inlineStr">
        <is>
          <t>VÄSTERBOTTENS LÄN</t>
        </is>
      </c>
      <c r="G533" t="inlineStr">
        <is>
          <t>ROBERTSFORS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46321</v>
      </c>
      <c r="F534" t="inlineStr">
        <is>
          <t>VÄSTERBOTTENS LÄN</t>
        </is>
      </c>
      <c r="G534" t="inlineStr">
        <is>
          <t>ROBERTSFORS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45468</v>
      </c>
      <c r="E535" s="1" t="n">
        <v>46321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60882-2024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45644</v>
      </c>
      <c r="E536" s="1" t="n">
        <v>46321</v>
      </c>
      <c r="F536" t="inlineStr">
        <is>
          <t>VÄSTERBOTTENS LÄN</t>
        </is>
      </c>
      <c r="G536" t="inlineStr">
        <is>
          <t>ROBERTSFORS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46321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55717-2024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46321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46321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44980</v>
      </c>
      <c r="E540" s="1" t="n">
        <v>46321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46321</v>
      </c>
      <c r="F541" t="inlineStr">
        <is>
          <t>VÄSTERBOTTENS LÄN</t>
        </is>
      </c>
      <c r="G541" t="inlineStr">
        <is>
          <t>ROBERTSFORS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45548</v>
      </c>
      <c r="E542" s="1" t="n">
        <v>46321</v>
      </c>
      <c r="F542" t="inlineStr">
        <is>
          <t>VÄSTERBOTTENS LÄN</t>
        </is>
      </c>
      <c r="G542" t="inlineStr">
        <is>
          <t>ROBERTSFORS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65772-2021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44516</v>
      </c>
      <c r="E543" s="1" t="n">
        <v>46321</v>
      </c>
      <c r="F543" t="inlineStr">
        <is>
          <t>VÄSTERBOTTENS LÄN</t>
        </is>
      </c>
      <c r="G543" t="inlineStr">
        <is>
          <t>ROBERTSFORS</t>
        </is>
      </c>
      <c r="I543" t="n">
        <v>18.2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45033</v>
      </c>
      <c r="E544" s="1" t="n">
        <v>46321</v>
      </c>
      <c r="F544" t="inlineStr">
        <is>
          <t>VÄSTERBOTTENS LÄN</t>
        </is>
      </c>
      <c r="G544" t="inlineStr">
        <is>
          <t>ROBERTSFORS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45048</v>
      </c>
      <c r="E545" s="1" t="n">
        <v>46321</v>
      </c>
      <c r="F545" t="inlineStr">
        <is>
          <t>VÄSTERBOTTENS LÄN</t>
        </is>
      </c>
      <c r="G545" t="inlineStr">
        <is>
          <t>ROBERTSFORS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44936</v>
      </c>
      <c r="E546" s="1" t="n">
        <v>46321</v>
      </c>
      <c r="F546" t="inlineStr">
        <is>
          <t>VÄSTERBOTTENS LÄN</t>
        </is>
      </c>
      <c r="G546" t="inlineStr">
        <is>
          <t>ROBERTSFORS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46321</v>
      </c>
      <c r="F547" t="inlineStr">
        <is>
          <t>VÄSTERBOTTENS LÄN</t>
        </is>
      </c>
      <c r="G547" t="inlineStr">
        <is>
          <t>ROBERTSFORS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44811</v>
      </c>
      <c r="E548" s="1" t="n">
        <v>46321</v>
      </c>
      <c r="F548" t="inlineStr">
        <is>
          <t>VÄSTERBOTTENS LÄN</t>
        </is>
      </c>
      <c r="G548" t="inlineStr">
        <is>
          <t>ROBERTSFORS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2849-2022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44707</v>
      </c>
      <c r="E549" s="1" t="n">
        <v>46321</v>
      </c>
      <c r="F549" t="inlineStr">
        <is>
          <t>VÄSTERBOTTENS LÄN</t>
        </is>
      </c>
      <c r="G549" t="inlineStr">
        <is>
          <t>ROBERTSFORS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8592-2021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44501</v>
      </c>
      <c r="E550" s="1" t="n">
        <v>46321</v>
      </c>
      <c r="F550" t="inlineStr">
        <is>
          <t>VÄSTERBOTTENS LÄN</t>
        </is>
      </c>
      <c r="G550" t="inlineStr">
        <is>
          <t>ROBERTSFORS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1034-2025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45747</v>
      </c>
      <c r="E551" s="1" t="n">
        <v>46321</v>
      </c>
      <c r="F551" t="inlineStr">
        <is>
          <t>VÄSTERBOTTENS LÄN</t>
        </is>
      </c>
      <c r="G551" t="inlineStr">
        <is>
          <t>ROBERTSFORS</t>
        </is>
      </c>
      <c r="H551" t="inlineStr">
        <is>
          <t>Sveaskog</t>
        </is>
      </c>
      <c r="I551" t="n">
        <v>14.9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1249-2025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45762</v>
      </c>
      <c r="E552" s="1" t="n">
        <v>46321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Holmen skog AB</t>
        </is>
      </c>
      <c r="I552" t="n">
        <v>175.8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702-2026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46092</v>
      </c>
      <c r="E553" s="1" t="n">
        <v>46321</v>
      </c>
      <c r="F553" t="inlineStr">
        <is>
          <t>VÄSTERBOTTENS LÄN</t>
        </is>
      </c>
      <c r="G553" t="inlineStr">
        <is>
          <t>ROBERTSFORS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1273-2026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46147</v>
      </c>
      <c r="E554" s="1" t="n">
        <v>46321</v>
      </c>
      <c r="F554" t="inlineStr">
        <is>
          <t>VÄSTERBOTTENS LÄN</t>
        </is>
      </c>
      <c r="G554" t="inlineStr">
        <is>
          <t>ROBERTSFORS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1322-2026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46149</v>
      </c>
      <c r="E555" s="1" t="n">
        <v>46321</v>
      </c>
      <c r="F555" t="inlineStr">
        <is>
          <t>VÄSTERBOTTENS LÄN</t>
        </is>
      </c>
      <c r="G555" t="inlineStr">
        <is>
          <t>ROBERTSFORS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1416-2026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46155</v>
      </c>
      <c r="E556" s="1" t="n">
        <v>46321</v>
      </c>
      <c r="F556" t="inlineStr">
        <is>
          <t>VÄSTERBOTTENS LÄN</t>
        </is>
      </c>
      <c r="G556" t="inlineStr">
        <is>
          <t>ROBERTSFORS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2026-10-26T03:10:32Z</dcterms:created>
  <dcterms:modified xmlns:dcterms="http://purl.org/dc/terms/" xmlns:xsi="http://www.w3.org/2001/XMLSchema-instance" xsi:type="dcterms:W3CDTF">2026-10-26T03:10:32Z</dcterms:modified>
</cp:coreProperties>
</file>