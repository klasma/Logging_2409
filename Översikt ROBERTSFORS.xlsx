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46168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46168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46168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46168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46168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46168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46168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23646-2025</t>
        </is>
      </c>
      <c r="B9" s="1" t="n">
        <v>45792.69844907407</v>
      </c>
      <c r="C9" s="1" t="n">
        <v>46168</v>
      </c>
      <c r="D9" t="inlineStr">
        <is>
          <t>VÄSTERBOTTENS LÄN</t>
        </is>
      </c>
      <c r="E9" t="inlineStr">
        <is>
          <t>ROBERTSFORS</t>
        </is>
      </c>
      <c r="G9" t="n">
        <v>5.7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Knärot
Harticka
Lunglav
Spillkråka
Stjärntagging
Tretåig hackspett
Stuplav</t>
        </is>
      </c>
      <c r="S9">
        <f>HYPERLINK("https://klasma.github.io/Logging_2409/artfynd/A 23646-2025 artfynd.xlsx", "A 23646-2025")</f>
        <v/>
      </c>
      <c r="T9">
        <f>HYPERLINK("https://klasma.github.io/Logging_2409/kartor/A 23646-2025 karta.png", "A 23646-2025")</f>
        <v/>
      </c>
      <c r="U9">
        <f>HYPERLINK("https://klasma.github.io/Logging_2409/knärot/A 23646-2025 karta knärot.png", "A 23646-2025")</f>
        <v/>
      </c>
      <c r="V9">
        <f>HYPERLINK("https://klasma.github.io/Logging_2409/klagomål/A 23646-2025 FSC-klagomål.docx", "A 23646-2025")</f>
        <v/>
      </c>
      <c r="W9">
        <f>HYPERLINK("https://klasma.github.io/Logging_2409/klagomålsmail/A 23646-2025 FSC-klagomål mail.docx", "A 23646-2025")</f>
        <v/>
      </c>
      <c r="X9">
        <f>HYPERLINK("https://klasma.github.io/Logging_2409/tillsyn/A 23646-2025 tillsynsbegäran.docx", "A 23646-2025")</f>
        <v/>
      </c>
      <c r="Y9">
        <f>HYPERLINK("https://klasma.github.io/Logging_2409/tillsynsmail/A 23646-2025 tillsynsbegäran mail.docx", "A 23646-2025")</f>
        <v/>
      </c>
      <c r="Z9">
        <f>HYPERLINK("https://klasma.github.io/Logging_2409/fåglar/A 23646-2025 prioriterade fågelarter.docx", "A 23646-2025")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46168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46168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46168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46168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46168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44084-2025</t>
        </is>
      </c>
      <c r="B15" s="1" t="n">
        <v>45915.55431712963</v>
      </c>
      <c r="C15" s="1" t="n">
        <v>46168</v>
      </c>
      <c r="D15" t="inlineStr">
        <is>
          <t>VÄSTERBOTTENS LÄN</t>
        </is>
      </c>
      <c r="E15" t="inlineStr">
        <is>
          <t>ROBERTSFORS</t>
        </is>
      </c>
      <c r="G15" t="n">
        <v>4.4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44084-2025 artfynd.xlsx", "A 44084-2025")</f>
        <v/>
      </c>
      <c r="T15">
        <f>HYPERLINK("https://klasma.github.io/Logging_2409/kartor/A 44084-2025 karta.png", "A 44084-2025")</f>
        <v/>
      </c>
      <c r="V15">
        <f>HYPERLINK("https://klasma.github.io/Logging_2409/klagomål/A 44084-2025 FSC-klagomål.docx", "A 44084-2025")</f>
        <v/>
      </c>
      <c r="W15">
        <f>HYPERLINK("https://klasma.github.io/Logging_2409/klagomålsmail/A 44084-2025 FSC-klagomål mail.docx", "A 44084-2025")</f>
        <v/>
      </c>
      <c r="X15">
        <f>HYPERLINK("https://klasma.github.io/Logging_2409/tillsyn/A 44084-2025 tillsynsbegäran.docx", "A 44084-2025")</f>
        <v/>
      </c>
      <c r="Y15">
        <f>HYPERLINK("https://klasma.github.io/Logging_2409/tillsynsmail/A 44084-2025 tillsynsbegäran mail.docx", "A 44084-2025")</f>
        <v/>
      </c>
      <c r="Z15">
        <f>HYPERLINK("https://klasma.github.io/Logging_2409/fåglar/A 44084-2025 prioriterade fågelarter.docx", "A 44084-2025")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46168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46168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2639-2026</t>
        </is>
      </c>
      <c r="B18" s="1" t="n">
        <v>46037.61684027778</v>
      </c>
      <c r="C18" s="1" t="n">
        <v>46168</v>
      </c>
      <c r="D18" t="inlineStr">
        <is>
          <t>VÄSTERBOTTENS LÄN</t>
        </is>
      </c>
      <c r="E18" t="inlineStr">
        <is>
          <t>ROBERTSFORS</t>
        </is>
      </c>
      <c r="G18" t="n">
        <v>4.5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Tretåig hackspett
Ullticka</t>
        </is>
      </c>
      <c r="S18">
        <f>HYPERLINK("https://klasma.github.io/Logging_2409/artfynd/A 2639-2026 artfynd.xlsx", "A 2639-2026")</f>
        <v/>
      </c>
      <c r="T18">
        <f>HYPERLINK("https://klasma.github.io/Logging_2409/kartor/A 2639-2026 karta.png", "A 2639-2026")</f>
        <v/>
      </c>
      <c r="V18">
        <f>HYPERLINK("https://klasma.github.io/Logging_2409/klagomål/A 2639-2026 FSC-klagomål.docx", "A 2639-2026")</f>
        <v/>
      </c>
      <c r="W18">
        <f>HYPERLINK("https://klasma.github.io/Logging_2409/klagomålsmail/A 2639-2026 FSC-klagomål mail.docx", "A 2639-2026")</f>
        <v/>
      </c>
      <c r="X18">
        <f>HYPERLINK("https://klasma.github.io/Logging_2409/tillsyn/A 2639-2026 tillsynsbegäran.docx", "A 2639-2026")</f>
        <v/>
      </c>
      <c r="Y18">
        <f>HYPERLINK("https://klasma.github.io/Logging_2409/tillsynsmail/A 2639-2026 tillsynsbegäran mail.docx", "A 2639-2026")</f>
        <v/>
      </c>
      <c r="Z18">
        <f>HYPERLINK("https://klasma.github.io/Logging_2409/fåglar/A 2639-2026 prioriterade fågelarter.docx", "A 2639-2026")</f>
        <v/>
      </c>
    </row>
    <row r="19" ht="15" customHeight="1">
      <c r="A19" t="inlineStr">
        <is>
          <t>A 20752-2025</t>
        </is>
      </c>
      <c r="B19" s="1" t="n">
        <v>45776.56769675926</v>
      </c>
      <c r="C19" s="1" t="n">
        <v>46168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Spillkråka
Vedticka</t>
        </is>
      </c>
      <c r="S19">
        <f>HYPERLINK("https://klasma.github.io/Logging_2409/artfynd/A 20752-2025 artfynd.xlsx", "A 20752-2025")</f>
        <v/>
      </c>
      <c r="T19">
        <f>HYPERLINK("https://klasma.github.io/Logging_2409/kartor/A 20752-2025 karta.png", "A 20752-2025")</f>
        <v/>
      </c>
      <c r="V19">
        <f>HYPERLINK("https://klasma.github.io/Logging_2409/klagomål/A 20752-2025 FSC-klagomål.docx", "A 20752-2025")</f>
        <v/>
      </c>
      <c r="W19">
        <f>HYPERLINK("https://klasma.github.io/Logging_2409/klagomålsmail/A 20752-2025 FSC-klagomål mail.docx", "A 20752-2025")</f>
        <v/>
      </c>
      <c r="X19">
        <f>HYPERLINK("https://klasma.github.io/Logging_2409/tillsyn/A 20752-2025 tillsynsbegäran.docx", "A 20752-2025")</f>
        <v/>
      </c>
      <c r="Y19">
        <f>HYPERLINK("https://klasma.github.io/Logging_2409/tillsynsmail/A 20752-2025 tillsynsbegäran mail.docx", "A 20752-2025")</f>
        <v/>
      </c>
      <c r="Z19">
        <f>HYPERLINK("https://klasma.github.io/Logging_2409/fåglar/A 20752-2025 prioriterade fågelarter.docx", "A 20752-2025")</f>
        <v/>
      </c>
    </row>
    <row r="20" ht="15" customHeight="1">
      <c r="A20" t="inlineStr">
        <is>
          <t>A 26204-2024</t>
        </is>
      </c>
      <c r="B20" s="1" t="n">
        <v>45468.58577546296</v>
      </c>
      <c r="C20" s="1" t="n">
        <v>46168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3.9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Orre
Tjäder</t>
        </is>
      </c>
      <c r="S20">
        <f>HYPERLINK("https://klasma.github.io/Logging_2409/artfynd/A 26204-2024 artfynd.xlsx", "A 26204-2024")</f>
        <v/>
      </c>
      <c r="T20">
        <f>HYPERLINK("https://klasma.github.io/Logging_2409/kartor/A 26204-2024 karta.png", "A 26204-2024")</f>
        <v/>
      </c>
      <c r="V20">
        <f>HYPERLINK("https://klasma.github.io/Logging_2409/klagomål/A 26204-2024 FSC-klagomål.docx", "A 26204-2024")</f>
        <v/>
      </c>
      <c r="W20">
        <f>HYPERLINK("https://klasma.github.io/Logging_2409/klagomålsmail/A 26204-2024 FSC-klagomål mail.docx", "A 26204-2024")</f>
        <v/>
      </c>
      <c r="X20">
        <f>HYPERLINK("https://klasma.github.io/Logging_2409/tillsyn/A 26204-2024 tillsynsbegäran.docx", "A 26204-2024")</f>
        <v/>
      </c>
      <c r="Y20">
        <f>HYPERLINK("https://klasma.github.io/Logging_2409/tillsynsmail/A 26204-2024 tillsynsbegäran mail.docx", "A 26204-2024")</f>
        <v/>
      </c>
      <c r="Z20">
        <f>HYPERLINK("https://klasma.github.io/Logging_2409/fåglar/A 26204-2024 prioriterade fågelarter.docx", "A 26204-2024")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46168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31320-2024</t>
        </is>
      </c>
      <c r="B22" s="1" t="n">
        <v>45504</v>
      </c>
      <c r="C22" s="1" t="n">
        <v>46168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Vedflamlav</t>
        </is>
      </c>
      <c r="S22">
        <f>HYPERLINK("https://klasma.github.io/Logging_2409/artfynd/A 31320-2024 artfynd.xlsx", "A 31320-2024")</f>
        <v/>
      </c>
      <c r="T22">
        <f>HYPERLINK("https://klasma.github.io/Logging_2409/kartor/A 31320-2024 karta.png", "A 31320-2024")</f>
        <v/>
      </c>
      <c r="V22">
        <f>HYPERLINK("https://klasma.github.io/Logging_2409/klagomål/A 31320-2024 FSC-klagomål.docx", "A 31320-2024")</f>
        <v/>
      </c>
      <c r="W22">
        <f>HYPERLINK("https://klasma.github.io/Logging_2409/klagomålsmail/A 31320-2024 FSC-klagomål mail.docx", "A 31320-2024")</f>
        <v/>
      </c>
      <c r="X22">
        <f>HYPERLINK("https://klasma.github.io/Logging_2409/tillsyn/A 31320-2024 tillsynsbegäran.docx", "A 31320-2024")</f>
        <v/>
      </c>
      <c r="Y22">
        <f>HYPERLINK("https://klasma.github.io/Logging_2409/tillsynsmail/A 31320-2024 tillsynsbegäran mail.docx", "A 31320-2024")</f>
        <v/>
      </c>
    </row>
    <row r="23" ht="15" customHeight="1">
      <c r="A23" t="inlineStr">
        <is>
          <t>A 43094-2023</t>
        </is>
      </c>
      <c r="B23" s="1" t="n">
        <v>45182</v>
      </c>
      <c r="C23" s="1" t="n">
        <v>46168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Ärtsångare</t>
        </is>
      </c>
      <c r="S23">
        <f>HYPERLINK("https://klasma.github.io/Logging_2409/artfynd/A 43094-2023 artfynd.xlsx", "A 43094-2023")</f>
        <v/>
      </c>
      <c r="T23">
        <f>HYPERLINK("https://klasma.github.io/Logging_2409/kartor/A 43094-2023 karta.png", "A 43094-2023")</f>
        <v/>
      </c>
      <c r="V23">
        <f>HYPERLINK("https://klasma.github.io/Logging_2409/klagomål/A 43094-2023 FSC-klagomål.docx", "A 43094-2023")</f>
        <v/>
      </c>
      <c r="W23">
        <f>HYPERLINK("https://klasma.github.io/Logging_2409/klagomålsmail/A 43094-2023 FSC-klagomål mail.docx", "A 43094-2023")</f>
        <v/>
      </c>
      <c r="X23">
        <f>HYPERLINK("https://klasma.github.io/Logging_2409/tillsyn/A 43094-2023 tillsynsbegäran.docx", "A 43094-2023")</f>
        <v/>
      </c>
      <c r="Y23">
        <f>HYPERLINK("https://klasma.github.io/Logging_2409/tillsynsmail/A 43094-2023 tillsynsbegäran mail.docx", "A 43094-2023")</f>
        <v/>
      </c>
      <c r="Z23">
        <f>HYPERLINK("https://klasma.github.io/Logging_2409/fåglar/A 43094-2023 prioriterade fågelarter.docx", "A 43094-2023")</f>
        <v/>
      </c>
    </row>
    <row r="24" ht="15" customHeight="1">
      <c r="A24" t="inlineStr">
        <is>
          <t>A 52805-2025</t>
        </is>
      </c>
      <c r="B24" s="1" t="n">
        <v>45957.44629629629</v>
      </c>
      <c r="C24" s="1" t="n">
        <v>46168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Tjäder</t>
        </is>
      </c>
      <c r="S24">
        <f>HYPERLINK("https://klasma.github.io/Logging_2409/artfynd/A 52805-2025 artfynd.xlsx", "A 52805-2025")</f>
        <v/>
      </c>
      <c r="T24">
        <f>HYPERLINK("https://klasma.github.io/Logging_2409/kartor/A 52805-2025 karta.png", "A 52805-2025")</f>
        <v/>
      </c>
      <c r="V24">
        <f>HYPERLINK("https://klasma.github.io/Logging_2409/klagomål/A 52805-2025 FSC-klagomål.docx", "A 52805-2025")</f>
        <v/>
      </c>
      <c r="W24">
        <f>HYPERLINK("https://klasma.github.io/Logging_2409/klagomålsmail/A 52805-2025 FSC-klagomål mail.docx", "A 52805-2025")</f>
        <v/>
      </c>
      <c r="X24">
        <f>HYPERLINK("https://klasma.github.io/Logging_2409/tillsyn/A 52805-2025 tillsynsbegäran.docx", "A 52805-2025")</f>
        <v/>
      </c>
      <c r="Y24">
        <f>HYPERLINK("https://klasma.github.io/Logging_2409/tillsynsmail/A 52805-2025 tillsynsbegäran mail.docx", "A 52805-2025")</f>
        <v/>
      </c>
      <c r="Z24">
        <f>HYPERLINK("https://klasma.github.io/Logging_2409/fåglar/A 52805-2025 prioriterade fågelarter.docx", "A 52805-2025")</f>
        <v/>
      </c>
    </row>
    <row r="25" ht="15" customHeight="1">
      <c r="A25" t="inlineStr">
        <is>
          <t>A 2777-2026</t>
        </is>
      </c>
      <c r="B25" s="1" t="n">
        <v>46038.38196759259</v>
      </c>
      <c r="C25" s="1" t="n">
        <v>46168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2777-2026 artfynd.xlsx", "A 2777-2026")</f>
        <v/>
      </c>
      <c r="T25">
        <f>HYPERLINK("https://klasma.github.io/Logging_2409/kartor/A 2777-2026 karta.png", "A 2777-2026")</f>
        <v/>
      </c>
      <c r="V25">
        <f>HYPERLINK("https://klasma.github.io/Logging_2409/klagomål/A 2777-2026 FSC-klagomål.docx", "A 2777-2026")</f>
        <v/>
      </c>
      <c r="W25">
        <f>HYPERLINK("https://klasma.github.io/Logging_2409/klagomålsmail/A 2777-2026 FSC-klagomål mail.docx", "A 2777-2026")</f>
        <v/>
      </c>
      <c r="X25">
        <f>HYPERLINK("https://klasma.github.io/Logging_2409/tillsyn/A 2777-2026 tillsynsbegäran.docx", "A 2777-2026")</f>
        <v/>
      </c>
      <c r="Y25">
        <f>HYPERLINK("https://klasma.github.io/Logging_2409/tillsynsmail/A 2777-2026 tillsynsbegäran mail.docx", "A 2777-2026")</f>
        <v/>
      </c>
    </row>
    <row r="26" ht="15" customHeight="1">
      <c r="A26" t="inlineStr">
        <is>
          <t>A 5287-2026</t>
        </is>
      </c>
      <c r="B26" s="1" t="n">
        <v>46050.34443287037</v>
      </c>
      <c r="C26" s="1" t="n">
        <v>46168</v>
      </c>
      <c r="D26" t="inlineStr">
        <is>
          <t>VÄSTERBOTTENS LÄN</t>
        </is>
      </c>
      <c r="E26" t="inlineStr">
        <is>
          <t>ROBERTSFORS</t>
        </is>
      </c>
      <c r="G26" t="n">
        <v>3.2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Spillkråka</t>
        </is>
      </c>
      <c r="S26">
        <f>HYPERLINK("https://klasma.github.io/Logging_2409/artfynd/A 5287-2026 artfynd.xlsx", "A 5287-2026")</f>
        <v/>
      </c>
      <c r="T26">
        <f>HYPERLINK("https://klasma.github.io/Logging_2409/kartor/A 5287-2026 karta.png", "A 5287-2026")</f>
        <v/>
      </c>
      <c r="V26">
        <f>HYPERLINK("https://klasma.github.io/Logging_2409/klagomål/A 5287-2026 FSC-klagomål.docx", "A 5287-2026")</f>
        <v/>
      </c>
      <c r="W26">
        <f>HYPERLINK("https://klasma.github.io/Logging_2409/klagomålsmail/A 5287-2026 FSC-klagomål mail.docx", "A 5287-2026")</f>
        <v/>
      </c>
      <c r="X26">
        <f>HYPERLINK("https://klasma.github.io/Logging_2409/tillsyn/A 5287-2026 tillsynsbegäran.docx", "A 5287-2026")</f>
        <v/>
      </c>
      <c r="Y26">
        <f>HYPERLINK("https://klasma.github.io/Logging_2409/tillsynsmail/A 5287-2026 tillsynsbegäran mail.docx", "A 5287-2026")</f>
        <v/>
      </c>
      <c r="Z26">
        <f>HYPERLINK("https://klasma.github.io/Logging_2409/fåglar/A 5287-2026 prioriterade fågelarter.docx", "A 5287-2026")</f>
        <v/>
      </c>
    </row>
    <row r="27" ht="15" customHeight="1">
      <c r="A27" t="inlineStr">
        <is>
          <t>A 5290-2026</t>
        </is>
      </c>
      <c r="B27" s="1" t="n">
        <v>46050.34460648148</v>
      </c>
      <c r="C27" s="1" t="n">
        <v>46168</v>
      </c>
      <c r="D27" t="inlineStr">
        <is>
          <t>VÄSTERBOTTENS LÄN</t>
        </is>
      </c>
      <c r="E27" t="inlineStr">
        <is>
          <t>ROBERTSFORS</t>
        </is>
      </c>
      <c r="G27" t="n">
        <v>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Vedticka</t>
        </is>
      </c>
      <c r="S27">
        <f>HYPERLINK("https://klasma.github.io/Logging_2409/artfynd/A 5290-2026 artfynd.xlsx", "A 5290-2026")</f>
        <v/>
      </c>
      <c r="T27">
        <f>HYPERLINK("https://klasma.github.io/Logging_2409/kartor/A 5290-2026 karta.png", "A 5290-2026")</f>
        <v/>
      </c>
      <c r="V27">
        <f>HYPERLINK("https://klasma.github.io/Logging_2409/klagomål/A 5290-2026 FSC-klagomål.docx", "A 5290-2026")</f>
        <v/>
      </c>
      <c r="W27">
        <f>HYPERLINK("https://klasma.github.io/Logging_2409/klagomålsmail/A 5290-2026 FSC-klagomål mail.docx", "A 5290-2026")</f>
        <v/>
      </c>
      <c r="X27">
        <f>HYPERLINK("https://klasma.github.io/Logging_2409/tillsyn/A 5290-2026 tillsynsbegäran.docx", "A 5290-2026")</f>
        <v/>
      </c>
      <c r="Y27">
        <f>HYPERLINK("https://klasma.github.io/Logging_2409/tillsynsmail/A 5290-2026 tillsynsbegäran mail.docx", "A 5290-2026")</f>
        <v/>
      </c>
    </row>
    <row r="28" ht="15" customHeight="1">
      <c r="A28" t="inlineStr">
        <is>
          <t>A 41723-2024</t>
        </is>
      </c>
      <c r="B28" s="1" t="n">
        <v>45560</v>
      </c>
      <c r="C28" s="1" t="n">
        <v>46168</v>
      </c>
      <c r="D28" t="inlineStr">
        <is>
          <t>VÄSTERBOTTENS LÄN</t>
        </is>
      </c>
      <c r="E28" t="inlineStr">
        <is>
          <t>ROBERTSFORS</t>
        </is>
      </c>
      <c r="G28" t="n">
        <v>2.4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Tretåig hackspett</t>
        </is>
      </c>
      <c r="S28">
        <f>HYPERLINK("https://klasma.github.io/Logging_2409/artfynd/A 41723-2024 artfynd.xlsx", "A 41723-2024")</f>
        <v/>
      </c>
      <c r="T28">
        <f>HYPERLINK("https://klasma.github.io/Logging_2409/kartor/A 41723-2024 karta.png", "A 41723-2024")</f>
        <v/>
      </c>
      <c r="V28">
        <f>HYPERLINK("https://klasma.github.io/Logging_2409/klagomål/A 41723-2024 FSC-klagomål.docx", "A 41723-2024")</f>
        <v/>
      </c>
      <c r="W28">
        <f>HYPERLINK("https://klasma.github.io/Logging_2409/klagomålsmail/A 41723-2024 FSC-klagomål mail.docx", "A 41723-2024")</f>
        <v/>
      </c>
      <c r="X28">
        <f>HYPERLINK("https://klasma.github.io/Logging_2409/tillsyn/A 41723-2024 tillsynsbegäran.docx", "A 41723-2024")</f>
        <v/>
      </c>
      <c r="Y28">
        <f>HYPERLINK("https://klasma.github.io/Logging_2409/tillsynsmail/A 41723-2024 tillsynsbegäran mail.docx", "A 41723-2024")</f>
        <v/>
      </c>
      <c r="Z28">
        <f>HYPERLINK("https://klasma.github.io/Logging_2409/fåglar/A 41723-2024 prioriterade fågelarter.docx", "A 41723-2024")</f>
        <v/>
      </c>
    </row>
    <row r="29" ht="15" customHeight="1">
      <c r="A29" t="inlineStr">
        <is>
          <t>A 36561-2023</t>
        </is>
      </c>
      <c r="B29" s="1" t="n">
        <v>45153</v>
      </c>
      <c r="C29" s="1" t="n">
        <v>46168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HYPERLINK("https://klasma.github.io/Logging_2409/artfynd/A 36561-2023 artfynd.xlsx", "A 36561-2023")</f>
        <v/>
      </c>
      <c r="T29">
        <f>HYPERLINK("https://klasma.github.io/Logging_2409/kartor/A 36561-2023 karta.png", "A 36561-2023")</f>
        <v/>
      </c>
      <c r="V29">
        <f>HYPERLINK("https://klasma.github.io/Logging_2409/klagomål/A 36561-2023 FSC-klagomål.docx", "A 36561-2023")</f>
        <v/>
      </c>
      <c r="W29">
        <f>HYPERLINK("https://klasma.github.io/Logging_2409/klagomålsmail/A 36561-2023 FSC-klagomål mail.docx", "A 36561-2023")</f>
        <v/>
      </c>
      <c r="X29">
        <f>HYPERLINK("https://klasma.github.io/Logging_2409/tillsyn/A 36561-2023 tillsynsbegäran.docx", "A 36561-2023")</f>
        <v/>
      </c>
      <c r="Y29">
        <f>HYPERLINK("https://klasma.github.io/Logging_2409/tillsynsmail/A 36561-2023 tillsynsbegäran mail.docx", "A 36561-2023")</f>
        <v/>
      </c>
    </row>
    <row r="30" ht="15" customHeight="1">
      <c r="A30" t="inlineStr">
        <is>
          <t>A 22092-2025</t>
        </is>
      </c>
      <c r="B30" s="1" t="n">
        <v>45785.45925925926</v>
      </c>
      <c r="C30" s="1" t="n">
        <v>46168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Dropptaggsvamp</t>
        </is>
      </c>
      <c r="S30">
        <f>HYPERLINK("https://klasma.github.io/Logging_2409/artfynd/A 22092-2025 artfynd.xlsx", "A 22092-2025")</f>
        <v/>
      </c>
      <c r="T30">
        <f>HYPERLINK("https://klasma.github.io/Logging_2409/kartor/A 22092-2025 karta.png", "A 22092-2025")</f>
        <v/>
      </c>
      <c r="V30">
        <f>HYPERLINK("https://klasma.github.io/Logging_2409/klagomål/A 22092-2025 FSC-klagomål.docx", "A 22092-2025")</f>
        <v/>
      </c>
      <c r="W30">
        <f>HYPERLINK("https://klasma.github.io/Logging_2409/klagomålsmail/A 22092-2025 FSC-klagomål mail.docx", "A 22092-2025")</f>
        <v/>
      </c>
      <c r="X30">
        <f>HYPERLINK("https://klasma.github.io/Logging_2409/tillsyn/A 22092-2025 tillsynsbegäran.docx", "A 22092-2025")</f>
        <v/>
      </c>
      <c r="Y30">
        <f>HYPERLINK("https://klasma.github.io/Logging_2409/tillsynsmail/A 22092-2025 tillsynsbegäran mail.docx", "A 22092-2025")</f>
        <v/>
      </c>
    </row>
    <row r="31" ht="15" customHeight="1">
      <c r="A31" t="inlineStr">
        <is>
          <t>A 60833-2021</t>
        </is>
      </c>
      <c r="B31" s="1" t="n">
        <v>44497</v>
      </c>
      <c r="C31" s="1" t="n">
        <v>46168</v>
      </c>
      <c r="D31" t="inlineStr">
        <is>
          <t>VÄSTERBOTTENS LÄN</t>
        </is>
      </c>
      <c r="E31" t="inlineStr">
        <is>
          <t>ROBERTSFORS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Stuplav</t>
        </is>
      </c>
      <c r="S31">
        <f>HYPERLINK("https://klasma.github.io/Logging_2409/artfynd/A 60833-2021 artfynd.xlsx", "A 60833-2021")</f>
        <v/>
      </c>
      <c r="T31">
        <f>HYPERLINK("https://klasma.github.io/Logging_2409/kartor/A 60833-2021 karta.png", "A 60833-2021")</f>
        <v/>
      </c>
      <c r="V31">
        <f>HYPERLINK("https://klasma.github.io/Logging_2409/klagomål/A 60833-2021 FSC-klagomål.docx", "A 60833-2021")</f>
        <v/>
      </c>
      <c r="W31">
        <f>HYPERLINK("https://klasma.github.io/Logging_2409/klagomålsmail/A 60833-2021 FSC-klagomål mail.docx", "A 60833-2021")</f>
        <v/>
      </c>
      <c r="X31">
        <f>HYPERLINK("https://klasma.github.io/Logging_2409/tillsyn/A 60833-2021 tillsynsbegäran.docx", "A 60833-2021")</f>
        <v/>
      </c>
      <c r="Y31">
        <f>HYPERLINK("https://klasma.github.io/Logging_2409/tillsynsmail/A 60833-2021 tillsynsbegäran mail.docx", "A 60833-2021")</f>
        <v/>
      </c>
    </row>
    <row r="32" ht="15" customHeight="1">
      <c r="A32" t="inlineStr">
        <is>
          <t>A 43097-2023</t>
        </is>
      </c>
      <c r="B32" s="1" t="n">
        <v>45182</v>
      </c>
      <c r="C32" s="1" t="n">
        <v>46168</v>
      </c>
      <c r="D32" t="inlineStr">
        <is>
          <t>VÄSTERBOTTENS LÄN</t>
        </is>
      </c>
      <c r="E32" t="inlineStr">
        <is>
          <t>ROBERTSFORS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HYPERLINK("https://klasma.github.io/Logging_2409/artfynd/A 43097-2023 artfynd.xlsx", "A 43097-2023")</f>
        <v/>
      </c>
      <c r="T32">
        <f>HYPERLINK("https://klasma.github.io/Logging_2409/kartor/A 43097-2023 karta.png", "A 43097-2023")</f>
        <v/>
      </c>
      <c r="V32">
        <f>HYPERLINK("https://klasma.github.io/Logging_2409/klagomål/A 43097-2023 FSC-klagomål.docx", "A 43097-2023")</f>
        <v/>
      </c>
      <c r="W32">
        <f>HYPERLINK("https://klasma.github.io/Logging_2409/klagomålsmail/A 43097-2023 FSC-klagomål mail.docx", "A 43097-2023")</f>
        <v/>
      </c>
      <c r="X32">
        <f>HYPERLINK("https://klasma.github.io/Logging_2409/tillsyn/A 43097-2023 tillsynsbegäran.docx", "A 43097-2023")</f>
        <v/>
      </c>
      <c r="Y32">
        <f>HYPERLINK("https://klasma.github.io/Logging_2409/tillsynsmail/A 43097-2023 tillsynsbegäran mail.docx", "A 43097-2023")</f>
        <v/>
      </c>
      <c r="Z32">
        <f>HYPERLINK("https://klasma.github.io/Logging_2409/fåglar/A 43097-2023 prioriterade fågelarter.docx", "A 43097-2023")</f>
        <v/>
      </c>
    </row>
    <row r="33" ht="15" customHeight="1">
      <c r="A33" t="inlineStr">
        <is>
          <t>A 313-2025</t>
        </is>
      </c>
      <c r="B33" s="1" t="n">
        <v>45656</v>
      </c>
      <c r="C33" s="1" t="n">
        <v>46168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HYPERLINK("https://klasma.github.io/Logging_2409/artfynd/A 313-2025 artfynd.xlsx", "A 313-2025")</f>
        <v/>
      </c>
      <c r="T33">
        <f>HYPERLINK("https://klasma.github.io/Logging_2409/kartor/A 313-2025 karta.png", "A 313-2025")</f>
        <v/>
      </c>
      <c r="V33">
        <f>HYPERLINK("https://klasma.github.io/Logging_2409/klagomål/A 313-2025 FSC-klagomål.docx", "A 313-2025")</f>
        <v/>
      </c>
      <c r="W33">
        <f>HYPERLINK("https://klasma.github.io/Logging_2409/klagomålsmail/A 313-2025 FSC-klagomål mail.docx", "A 313-2025")</f>
        <v/>
      </c>
      <c r="X33">
        <f>HYPERLINK("https://klasma.github.io/Logging_2409/tillsyn/A 313-2025 tillsynsbegäran.docx", "A 313-2025")</f>
        <v/>
      </c>
      <c r="Y33">
        <f>HYPERLINK("https://klasma.github.io/Logging_2409/tillsynsmail/A 313-2025 tillsynsbegäran mail.docx", "A 313-2025")</f>
        <v/>
      </c>
      <c r="Z33">
        <f>HYPERLINK("https://klasma.github.io/Logging_2409/fåglar/A 313-2025 prioriterade fågelarter.docx", "A 313-2025")</f>
        <v/>
      </c>
    </row>
    <row r="34" ht="15" customHeight="1">
      <c r="A34" t="inlineStr">
        <is>
          <t>A 4552-2025</t>
        </is>
      </c>
      <c r="B34" s="1" t="n">
        <v>45687.42112268518</v>
      </c>
      <c r="C34" s="1" t="n">
        <v>46168</v>
      </c>
      <c r="D34" t="inlineStr">
        <is>
          <t>VÄSTERBOTTENS LÄN</t>
        </is>
      </c>
      <c r="E34" t="inlineStr">
        <is>
          <t>ROBERTSFORS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4552-2025 artfynd.xlsx", "A 4552-2025")</f>
        <v/>
      </c>
      <c r="T34">
        <f>HYPERLINK("https://klasma.github.io/Logging_2409/kartor/A 4552-2025 karta.png", "A 4552-2025")</f>
        <v/>
      </c>
      <c r="V34">
        <f>HYPERLINK("https://klasma.github.io/Logging_2409/klagomål/A 4552-2025 FSC-klagomål.docx", "A 4552-2025")</f>
        <v/>
      </c>
      <c r="W34">
        <f>HYPERLINK("https://klasma.github.io/Logging_2409/klagomålsmail/A 4552-2025 FSC-klagomål mail.docx", "A 4552-2025")</f>
        <v/>
      </c>
      <c r="X34">
        <f>HYPERLINK("https://klasma.github.io/Logging_2409/tillsyn/A 4552-2025 tillsynsbegäran.docx", "A 4552-2025")</f>
        <v/>
      </c>
      <c r="Y34">
        <f>HYPERLINK("https://klasma.github.io/Logging_2409/tillsynsmail/A 4552-2025 tillsynsbegäran mail.docx", "A 4552-2025")</f>
        <v/>
      </c>
      <c r="Z34">
        <f>HYPERLINK("https://klasma.github.io/Logging_2409/fåglar/A 4552-2025 prioriterade fågelarter.docx", "A 4552-2025")</f>
        <v/>
      </c>
    </row>
    <row r="35" ht="15" customHeight="1">
      <c r="A35" t="inlineStr">
        <is>
          <t>A 7379-2024</t>
        </is>
      </c>
      <c r="B35" s="1" t="n">
        <v>45345</v>
      </c>
      <c r="C35" s="1" t="n">
        <v>46168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12.9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7379-2024 artfynd.xlsx", "A 7379-2024")</f>
        <v/>
      </c>
      <c r="T35">
        <f>HYPERLINK("https://klasma.github.io/Logging_2409/kartor/A 7379-2024 karta.png", "A 7379-2024")</f>
        <v/>
      </c>
      <c r="V35">
        <f>HYPERLINK("https://klasma.github.io/Logging_2409/klagomål/A 7379-2024 FSC-klagomål.docx", "A 7379-2024")</f>
        <v/>
      </c>
      <c r="W35">
        <f>HYPERLINK("https://klasma.github.io/Logging_2409/klagomålsmail/A 7379-2024 FSC-klagomål mail.docx", "A 7379-2024")</f>
        <v/>
      </c>
      <c r="X35">
        <f>HYPERLINK("https://klasma.github.io/Logging_2409/tillsyn/A 7379-2024 tillsynsbegäran.docx", "A 7379-2024")</f>
        <v/>
      </c>
      <c r="Y35">
        <f>HYPERLINK("https://klasma.github.io/Logging_2409/tillsynsmail/A 7379-2024 tillsynsbegäran mail.docx", "A 7379-2024")</f>
        <v/>
      </c>
    </row>
    <row r="36" ht="15" customHeight="1">
      <c r="A36" t="inlineStr">
        <is>
          <t>A 39821-2025</t>
        </is>
      </c>
      <c r="B36" s="1" t="n">
        <v>45891.53680555556</v>
      </c>
      <c r="C36" s="1" t="n">
        <v>46168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12.8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39821-2025 artfynd.xlsx", "A 39821-2025")</f>
        <v/>
      </c>
      <c r="T36">
        <f>HYPERLINK("https://klasma.github.io/Logging_2409/kartor/A 39821-2025 karta.png", "A 39821-2025")</f>
        <v/>
      </c>
      <c r="V36">
        <f>HYPERLINK("https://klasma.github.io/Logging_2409/klagomål/A 39821-2025 FSC-klagomål.docx", "A 39821-2025")</f>
        <v/>
      </c>
      <c r="W36">
        <f>HYPERLINK("https://klasma.github.io/Logging_2409/klagomålsmail/A 39821-2025 FSC-klagomål mail.docx", "A 39821-2025")</f>
        <v/>
      </c>
      <c r="X36">
        <f>HYPERLINK("https://klasma.github.io/Logging_2409/tillsyn/A 39821-2025 tillsynsbegäran.docx", "A 39821-2025")</f>
        <v/>
      </c>
      <c r="Y36">
        <f>HYPERLINK("https://klasma.github.io/Logging_2409/tillsynsmail/A 39821-2025 tillsynsbegäran mail.docx", "A 39821-2025")</f>
        <v/>
      </c>
    </row>
    <row r="37" ht="15" customHeight="1">
      <c r="A37" t="inlineStr">
        <is>
          <t>A 42849-2025</t>
        </is>
      </c>
      <c r="B37" s="1" t="n">
        <v>45908.59594907407</v>
      </c>
      <c r="C37" s="1" t="n">
        <v>46168</v>
      </c>
      <c r="D37" t="inlineStr">
        <is>
          <t>VÄSTERBOTTENS LÄN</t>
        </is>
      </c>
      <c r="E37" t="inlineStr">
        <is>
          <t>ROBERTSFORS</t>
        </is>
      </c>
      <c r="G37" t="n">
        <v>13.1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42849-2025 artfynd.xlsx", "A 42849-2025")</f>
        <v/>
      </c>
      <c r="T37">
        <f>HYPERLINK("https://klasma.github.io/Logging_2409/kartor/A 42849-2025 karta.png", "A 42849-2025")</f>
        <v/>
      </c>
      <c r="V37">
        <f>HYPERLINK("https://klasma.github.io/Logging_2409/klagomål/A 42849-2025 FSC-klagomål.docx", "A 42849-2025")</f>
        <v/>
      </c>
      <c r="W37">
        <f>HYPERLINK("https://klasma.github.io/Logging_2409/klagomålsmail/A 42849-2025 FSC-klagomål mail.docx", "A 42849-2025")</f>
        <v/>
      </c>
      <c r="X37">
        <f>HYPERLINK("https://klasma.github.io/Logging_2409/tillsyn/A 42849-2025 tillsynsbegäran.docx", "A 42849-2025")</f>
        <v/>
      </c>
      <c r="Y37">
        <f>HYPERLINK("https://klasma.github.io/Logging_2409/tillsynsmail/A 42849-2025 tillsynsbegäran mail.docx", "A 42849-2025")</f>
        <v/>
      </c>
    </row>
    <row r="38" ht="15" customHeight="1">
      <c r="A38" t="inlineStr">
        <is>
          <t>A 32269-2025</t>
        </is>
      </c>
      <c r="B38" s="1" t="n">
        <v>45835</v>
      </c>
      <c r="C38" s="1" t="n">
        <v>46168</v>
      </c>
      <c r="D38" t="inlineStr">
        <is>
          <t>VÄSTERBOTTENS LÄN</t>
        </is>
      </c>
      <c r="E38" t="inlineStr">
        <is>
          <t>ROBERTSFORS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HYPERLINK("https://klasma.github.io/Logging_2409/artfynd/A 32269-2025 artfynd.xlsx", "A 32269-2025")</f>
        <v/>
      </c>
      <c r="T38">
        <f>HYPERLINK("https://klasma.github.io/Logging_2409/kartor/A 32269-2025 karta.png", "A 32269-2025")</f>
        <v/>
      </c>
      <c r="V38">
        <f>HYPERLINK("https://klasma.github.io/Logging_2409/klagomål/A 32269-2025 FSC-klagomål.docx", "A 32269-2025")</f>
        <v/>
      </c>
      <c r="W38">
        <f>HYPERLINK("https://klasma.github.io/Logging_2409/klagomålsmail/A 32269-2025 FSC-klagomål mail.docx", "A 32269-2025")</f>
        <v/>
      </c>
      <c r="X38">
        <f>HYPERLINK("https://klasma.github.io/Logging_2409/tillsyn/A 32269-2025 tillsynsbegäran.docx", "A 32269-2025")</f>
        <v/>
      </c>
      <c r="Y38">
        <f>HYPERLINK("https://klasma.github.io/Logging_2409/tillsynsmail/A 32269-2025 tillsynsbegäran mail.docx", "A 32269-2025")</f>
        <v/>
      </c>
    </row>
    <row r="39" ht="15" customHeight="1">
      <c r="A39" t="inlineStr">
        <is>
          <t>A 43701-2025</t>
        </is>
      </c>
      <c r="B39" s="1" t="n">
        <v>45912</v>
      </c>
      <c r="C39" s="1" t="n">
        <v>46168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HYPERLINK("https://klasma.github.io/Logging_2409/artfynd/A 43701-2025 artfynd.xlsx", "A 43701-2025")</f>
        <v/>
      </c>
      <c r="T39">
        <f>HYPERLINK("https://klasma.github.io/Logging_2409/kartor/A 43701-2025 karta.png", "A 43701-2025")</f>
        <v/>
      </c>
      <c r="V39">
        <f>HYPERLINK("https://klasma.github.io/Logging_2409/klagomål/A 43701-2025 FSC-klagomål.docx", "A 43701-2025")</f>
        <v/>
      </c>
      <c r="W39">
        <f>HYPERLINK("https://klasma.github.io/Logging_2409/klagomålsmail/A 43701-2025 FSC-klagomål mail.docx", "A 43701-2025")</f>
        <v/>
      </c>
      <c r="X39">
        <f>HYPERLINK("https://klasma.github.io/Logging_2409/tillsyn/A 43701-2025 tillsynsbegäran.docx", "A 43701-2025")</f>
        <v/>
      </c>
      <c r="Y39">
        <f>HYPERLINK("https://klasma.github.io/Logging_2409/tillsynsmail/A 43701-2025 tillsynsbegäran mail.docx", "A 43701-2025")</f>
        <v/>
      </c>
    </row>
    <row r="40" ht="15" customHeight="1">
      <c r="A40" t="inlineStr">
        <is>
          <t>A 34007-2025</t>
        </is>
      </c>
      <c r="B40" s="1" t="n">
        <v>45844.72150462963</v>
      </c>
      <c r="C40" s="1" t="n">
        <v>46168</v>
      </c>
      <c r="D40" t="inlineStr">
        <is>
          <t>VÄSTERBOTTENS LÄN</t>
        </is>
      </c>
      <c r="E40" t="inlineStr">
        <is>
          <t>ROBERTSFORS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Harticka</t>
        </is>
      </c>
      <c r="S40">
        <f>HYPERLINK("https://klasma.github.io/Logging_2409/artfynd/A 34007-2025 artfynd.xlsx", "A 34007-2025")</f>
        <v/>
      </c>
      <c r="T40">
        <f>HYPERLINK("https://klasma.github.io/Logging_2409/kartor/A 34007-2025 karta.png", "A 34007-2025")</f>
        <v/>
      </c>
      <c r="V40">
        <f>HYPERLINK("https://klasma.github.io/Logging_2409/klagomål/A 34007-2025 FSC-klagomål.docx", "A 34007-2025")</f>
        <v/>
      </c>
      <c r="W40">
        <f>HYPERLINK("https://klasma.github.io/Logging_2409/klagomålsmail/A 34007-2025 FSC-klagomål mail.docx", "A 34007-2025")</f>
        <v/>
      </c>
      <c r="X40">
        <f>HYPERLINK("https://klasma.github.io/Logging_2409/tillsyn/A 34007-2025 tillsynsbegäran.docx", "A 34007-2025")</f>
        <v/>
      </c>
      <c r="Y40">
        <f>HYPERLINK("https://klasma.github.io/Logging_2409/tillsynsmail/A 34007-2025 tillsynsbegäran mail.docx", "A 34007-2025")</f>
        <v/>
      </c>
    </row>
    <row r="41" ht="15" customHeight="1">
      <c r="A41" t="inlineStr">
        <is>
          <t>A 34758-2025</t>
        </is>
      </c>
      <c r="B41" s="1" t="n">
        <v>45848.63575231482</v>
      </c>
      <c r="C41" s="1" t="n">
        <v>46168</v>
      </c>
      <c r="D41" t="inlineStr">
        <is>
          <t>VÄSTERBOTTENS LÄN</t>
        </is>
      </c>
      <c r="E41" t="inlineStr">
        <is>
          <t>ROBERTSFORS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34758-2025 artfynd.xlsx", "A 34758-2025")</f>
        <v/>
      </c>
      <c r="T41">
        <f>HYPERLINK("https://klasma.github.io/Logging_2409/kartor/A 34758-2025 karta.png", "A 34758-2025")</f>
        <v/>
      </c>
      <c r="V41">
        <f>HYPERLINK("https://klasma.github.io/Logging_2409/klagomål/A 34758-2025 FSC-klagomål.docx", "A 34758-2025")</f>
        <v/>
      </c>
      <c r="W41">
        <f>HYPERLINK("https://klasma.github.io/Logging_2409/klagomålsmail/A 34758-2025 FSC-klagomål mail.docx", "A 34758-2025")</f>
        <v/>
      </c>
      <c r="X41">
        <f>HYPERLINK("https://klasma.github.io/Logging_2409/tillsyn/A 34758-2025 tillsynsbegäran.docx", "A 34758-2025")</f>
        <v/>
      </c>
      <c r="Y41">
        <f>HYPERLINK("https://klasma.github.io/Logging_2409/tillsynsmail/A 34758-2025 tillsynsbegäran mail.docx", "A 34758-2025")</f>
        <v/>
      </c>
      <c r="Z41">
        <f>HYPERLINK("https://klasma.github.io/Logging_2409/fåglar/A 34758-2025 prioriterade fågelarter.docx", "A 34758-2025")</f>
        <v/>
      </c>
    </row>
    <row r="42" ht="15" customHeight="1">
      <c r="A42" t="inlineStr">
        <is>
          <t>A 35551-2025</t>
        </is>
      </c>
      <c r="B42" s="1" t="n">
        <v>45856.49604166667</v>
      </c>
      <c r="C42" s="1" t="n">
        <v>46168</v>
      </c>
      <c r="D42" t="inlineStr">
        <is>
          <t>VÄSTERBOTTENS LÄN</t>
        </is>
      </c>
      <c r="E42" t="inlineStr">
        <is>
          <t>ROBERTSFORS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HYPERLINK("https://klasma.github.io/Logging_2409/artfynd/A 35551-2025 artfynd.xlsx", "A 35551-2025")</f>
        <v/>
      </c>
      <c r="T42">
        <f>HYPERLINK("https://klasma.github.io/Logging_2409/kartor/A 35551-2025 karta.png", "A 35551-2025")</f>
        <v/>
      </c>
      <c r="V42">
        <f>HYPERLINK("https://klasma.github.io/Logging_2409/klagomål/A 35551-2025 FSC-klagomål.docx", "A 35551-2025")</f>
        <v/>
      </c>
      <c r="W42">
        <f>HYPERLINK("https://klasma.github.io/Logging_2409/klagomålsmail/A 35551-2025 FSC-klagomål mail.docx", "A 35551-2025")</f>
        <v/>
      </c>
      <c r="X42">
        <f>HYPERLINK("https://klasma.github.io/Logging_2409/tillsyn/A 35551-2025 tillsynsbegäran.docx", "A 35551-2025")</f>
        <v/>
      </c>
      <c r="Y42">
        <f>HYPERLINK("https://klasma.github.io/Logging_2409/tillsynsmail/A 35551-2025 tillsynsbegäran mail.docx", "A 35551-2025")</f>
        <v/>
      </c>
      <c r="Z42">
        <f>HYPERLINK("https://klasma.github.io/Logging_2409/fåglar/A 35551-2025 prioriterade fågelarter.docx", "A 35551-2025")</f>
        <v/>
      </c>
    </row>
    <row r="43" ht="15" customHeight="1">
      <c r="A43" t="inlineStr">
        <is>
          <t>A 46743-2025</t>
        </is>
      </c>
      <c r="B43" s="1" t="n">
        <v>45926</v>
      </c>
      <c r="C43" s="1" t="n">
        <v>46168</v>
      </c>
      <c r="D43" t="inlineStr">
        <is>
          <t>VÄSTERBOTTENS LÄN</t>
        </is>
      </c>
      <c r="E43" t="inlineStr">
        <is>
          <t>ROBERTSFORS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HYPERLINK("https://klasma.github.io/Logging_2409/artfynd/A 46743-2025 artfynd.xlsx", "A 46743-2025")</f>
        <v/>
      </c>
      <c r="T43">
        <f>HYPERLINK("https://klasma.github.io/Logging_2409/kartor/A 46743-2025 karta.png", "A 46743-2025")</f>
        <v/>
      </c>
      <c r="V43">
        <f>HYPERLINK("https://klasma.github.io/Logging_2409/klagomål/A 46743-2025 FSC-klagomål.docx", "A 46743-2025")</f>
        <v/>
      </c>
      <c r="W43">
        <f>HYPERLINK("https://klasma.github.io/Logging_2409/klagomålsmail/A 46743-2025 FSC-klagomål mail.docx", "A 46743-2025")</f>
        <v/>
      </c>
      <c r="X43">
        <f>HYPERLINK("https://klasma.github.io/Logging_2409/tillsyn/A 46743-2025 tillsynsbegäran.docx", "A 46743-2025")</f>
        <v/>
      </c>
      <c r="Y43">
        <f>HYPERLINK("https://klasma.github.io/Logging_2409/tillsynsmail/A 46743-2025 tillsynsbegäran mail.docx", "A 46743-2025")</f>
        <v/>
      </c>
    </row>
    <row r="44" ht="15" customHeight="1">
      <c r="A44" t="inlineStr">
        <is>
          <t>A 57653-2024</t>
        </is>
      </c>
      <c r="B44" s="1" t="n">
        <v>45630</v>
      </c>
      <c r="C44" s="1" t="n">
        <v>46168</v>
      </c>
      <c r="D44" t="inlineStr">
        <is>
          <t>VÄSTERBOTTENS LÄN</t>
        </is>
      </c>
      <c r="E44" t="inlineStr">
        <is>
          <t>ROBERTSFORS</t>
        </is>
      </c>
      <c r="G44" t="n">
        <v>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kärrhök</t>
        </is>
      </c>
      <c r="S44">
        <f>HYPERLINK("https://klasma.github.io/Logging_2409/artfynd/A 57653-2024 artfynd.xlsx", "A 57653-2024")</f>
        <v/>
      </c>
      <c r="T44">
        <f>HYPERLINK("https://klasma.github.io/Logging_2409/kartor/A 57653-2024 karta.png", "A 57653-2024")</f>
        <v/>
      </c>
      <c r="V44">
        <f>HYPERLINK("https://klasma.github.io/Logging_2409/klagomål/A 57653-2024 FSC-klagomål.docx", "A 57653-2024")</f>
        <v/>
      </c>
      <c r="W44">
        <f>HYPERLINK("https://klasma.github.io/Logging_2409/klagomålsmail/A 57653-2024 FSC-klagomål mail.docx", "A 57653-2024")</f>
        <v/>
      </c>
      <c r="X44">
        <f>HYPERLINK("https://klasma.github.io/Logging_2409/tillsyn/A 57653-2024 tillsynsbegäran.docx", "A 57653-2024")</f>
        <v/>
      </c>
      <c r="Y44">
        <f>HYPERLINK("https://klasma.github.io/Logging_2409/tillsynsmail/A 57653-2024 tillsynsbegäran mail.docx", "A 57653-2024")</f>
        <v/>
      </c>
      <c r="Z44">
        <f>HYPERLINK("https://klasma.github.io/Logging_2409/fåglar/A 57653-2024 prioriterade fågelarter.docx", "A 57653-2024")</f>
        <v/>
      </c>
    </row>
    <row r="45" ht="15" customHeight="1">
      <c r="A45" t="inlineStr">
        <is>
          <t>A 36797-2025</t>
        </is>
      </c>
      <c r="B45" s="1" t="n">
        <v>45873.65006944445</v>
      </c>
      <c r="C45" s="1" t="n">
        <v>46168</v>
      </c>
      <c r="D45" t="inlineStr">
        <is>
          <t>VÄSTERBOTTENS LÄN</t>
        </is>
      </c>
      <c r="E45" t="inlineStr">
        <is>
          <t>ROBERTSFORS</t>
        </is>
      </c>
      <c r="G45" t="n">
        <v>3.5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HYPERLINK("https://klasma.github.io/Logging_2409/artfynd/A 36797-2025 artfynd.xlsx", "A 36797-2025")</f>
        <v/>
      </c>
      <c r="T45">
        <f>HYPERLINK("https://klasma.github.io/Logging_2409/kartor/A 36797-2025 karta.png", "A 36797-2025")</f>
        <v/>
      </c>
      <c r="V45">
        <f>HYPERLINK("https://klasma.github.io/Logging_2409/klagomål/A 36797-2025 FSC-klagomål.docx", "A 36797-2025")</f>
        <v/>
      </c>
      <c r="W45">
        <f>HYPERLINK("https://klasma.github.io/Logging_2409/klagomålsmail/A 36797-2025 FSC-klagomål mail.docx", "A 36797-2025")</f>
        <v/>
      </c>
      <c r="X45">
        <f>HYPERLINK("https://klasma.github.io/Logging_2409/tillsyn/A 36797-2025 tillsynsbegäran.docx", "A 36797-2025")</f>
        <v/>
      </c>
      <c r="Y45">
        <f>HYPERLINK("https://klasma.github.io/Logging_2409/tillsynsmail/A 36797-2025 tillsynsbegäran mail.docx", "A 36797-2025")</f>
        <v/>
      </c>
    </row>
    <row r="46" ht="15" customHeight="1">
      <c r="A46" t="inlineStr">
        <is>
          <t>A 851-2026</t>
        </is>
      </c>
      <c r="B46" s="1" t="n">
        <v>46030</v>
      </c>
      <c r="C46" s="1" t="n">
        <v>46168</v>
      </c>
      <c r="D46" t="inlineStr">
        <is>
          <t>VÄSTERBOTTENS LÄN</t>
        </is>
      </c>
      <c r="E46" t="inlineStr">
        <is>
          <t>ROBERTSFORS</t>
        </is>
      </c>
      <c r="G46" t="n">
        <v>5.6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HYPERLINK("https://klasma.github.io/Logging_2409/artfynd/A 851-2026 artfynd.xlsx", "A 851-2026")</f>
        <v/>
      </c>
      <c r="T46">
        <f>HYPERLINK("https://klasma.github.io/Logging_2409/kartor/A 851-2026 karta.png", "A 851-2026")</f>
        <v/>
      </c>
      <c r="V46">
        <f>HYPERLINK("https://klasma.github.io/Logging_2409/klagomål/A 851-2026 FSC-klagomål.docx", "A 851-2026")</f>
        <v/>
      </c>
      <c r="W46">
        <f>HYPERLINK("https://klasma.github.io/Logging_2409/klagomålsmail/A 851-2026 FSC-klagomål mail.docx", "A 851-2026")</f>
        <v/>
      </c>
      <c r="X46">
        <f>HYPERLINK("https://klasma.github.io/Logging_2409/tillsyn/A 851-2026 tillsynsbegäran.docx", "A 851-2026")</f>
        <v/>
      </c>
      <c r="Y46">
        <f>HYPERLINK("https://klasma.github.io/Logging_2409/tillsynsmail/A 851-2026 tillsynsbegäran mail.docx", "A 851-2026")</f>
        <v/>
      </c>
      <c r="Z46">
        <f>HYPERLINK("https://klasma.github.io/Logging_2409/fåglar/A 851-2026 prioriterade fågelarter.docx", "A 851-2026")</f>
        <v/>
      </c>
    </row>
    <row r="47" ht="15" customHeight="1">
      <c r="A47" t="inlineStr">
        <is>
          <t>A 49714-2025</t>
        </is>
      </c>
      <c r="B47" s="1" t="n">
        <v>45939.71892361111</v>
      </c>
      <c r="C47" s="1" t="n">
        <v>46168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Kyrkan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HYPERLINK("https://klasma.github.io/Logging_2409/artfynd/A 49714-2025 artfynd.xlsx", "A 49714-2025")</f>
        <v/>
      </c>
      <c r="T47">
        <f>HYPERLINK("https://klasma.github.io/Logging_2409/kartor/A 49714-2025 karta.png", "A 49714-2025")</f>
        <v/>
      </c>
      <c r="V47">
        <f>HYPERLINK("https://klasma.github.io/Logging_2409/klagomål/A 49714-2025 FSC-klagomål.docx", "A 49714-2025")</f>
        <v/>
      </c>
      <c r="W47">
        <f>HYPERLINK("https://klasma.github.io/Logging_2409/klagomålsmail/A 49714-2025 FSC-klagomål mail.docx", "A 49714-2025")</f>
        <v/>
      </c>
      <c r="X47">
        <f>HYPERLINK("https://klasma.github.io/Logging_2409/tillsyn/A 49714-2025 tillsynsbegäran.docx", "A 49714-2025")</f>
        <v/>
      </c>
      <c r="Y47">
        <f>HYPERLINK("https://klasma.github.io/Logging_2409/tillsynsmail/A 49714-2025 tillsynsbegäran mail.docx", "A 49714-2025")</f>
        <v/>
      </c>
    </row>
    <row r="48" ht="15" customHeight="1">
      <c r="A48" t="inlineStr">
        <is>
          <t>A 24114-2025</t>
        </is>
      </c>
      <c r="B48" s="1" t="n">
        <v>45796.61449074074</v>
      </c>
      <c r="C48" s="1" t="n">
        <v>46168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9.699999999999999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HYPERLINK("https://klasma.github.io/Logging_2409/artfynd/A 24114-2025 artfynd.xlsx", "A 24114-2025")</f>
        <v/>
      </c>
      <c r="T48">
        <f>HYPERLINK("https://klasma.github.io/Logging_2409/kartor/A 24114-2025 karta.png", "A 24114-2025")</f>
        <v/>
      </c>
      <c r="V48">
        <f>HYPERLINK("https://klasma.github.io/Logging_2409/klagomål/A 24114-2025 FSC-klagomål.docx", "A 24114-2025")</f>
        <v/>
      </c>
      <c r="W48">
        <f>HYPERLINK("https://klasma.github.io/Logging_2409/klagomålsmail/A 24114-2025 FSC-klagomål mail.docx", "A 24114-2025")</f>
        <v/>
      </c>
      <c r="X48">
        <f>HYPERLINK("https://klasma.github.io/Logging_2409/tillsyn/A 24114-2025 tillsynsbegäran.docx", "A 24114-2025")</f>
        <v/>
      </c>
      <c r="Y48">
        <f>HYPERLINK("https://klasma.github.io/Logging_2409/tillsynsmail/A 24114-2025 tillsynsbegäran mail.docx", "A 24114-2025")</f>
        <v/>
      </c>
    </row>
    <row r="49" ht="15" customHeight="1">
      <c r="A49" t="inlineStr">
        <is>
          <t>A 5283-2026</t>
        </is>
      </c>
      <c r="B49" s="1" t="n">
        <v>46050.34430555555</v>
      </c>
      <c r="C49" s="1" t="n">
        <v>46168</v>
      </c>
      <c r="D49" t="inlineStr">
        <is>
          <t>VÄSTERBOTTENS LÄN</t>
        </is>
      </c>
      <c r="E49" t="inlineStr">
        <is>
          <t>ROBERTSFORS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5283-2026 artfynd.xlsx", "A 5283-2026")</f>
        <v/>
      </c>
      <c r="T49">
        <f>HYPERLINK("https://klasma.github.io/Logging_2409/kartor/A 5283-2026 karta.png", "A 5283-2026")</f>
        <v/>
      </c>
      <c r="V49">
        <f>HYPERLINK("https://klasma.github.io/Logging_2409/klagomål/A 5283-2026 FSC-klagomål.docx", "A 5283-2026")</f>
        <v/>
      </c>
      <c r="W49">
        <f>HYPERLINK("https://klasma.github.io/Logging_2409/klagomålsmail/A 5283-2026 FSC-klagomål mail.docx", "A 5283-2026")</f>
        <v/>
      </c>
      <c r="X49">
        <f>HYPERLINK("https://klasma.github.io/Logging_2409/tillsyn/A 5283-2026 tillsynsbegäran.docx", "A 5283-2026")</f>
        <v/>
      </c>
      <c r="Y49">
        <f>HYPERLINK("https://klasma.github.io/Logging_2409/tillsynsmail/A 5283-2026 tillsynsbegäran mail.docx", "A 5283-2026")</f>
        <v/>
      </c>
      <c r="Z49">
        <f>HYPERLINK("https://klasma.github.io/Logging_2409/fåglar/A 5283-2026 prioriterade fågelarter.docx", "A 5283-2026")</f>
        <v/>
      </c>
    </row>
    <row r="50" ht="15" customHeight="1">
      <c r="A50" t="inlineStr">
        <is>
          <t>A 6750-2026</t>
        </is>
      </c>
      <c r="B50" s="1" t="n">
        <v>46056.75780092592</v>
      </c>
      <c r="C50" s="1" t="n">
        <v>46168</v>
      </c>
      <c r="D50" t="inlineStr">
        <is>
          <t>VÄSTERBOTTENS LÄN</t>
        </is>
      </c>
      <c r="E50" t="inlineStr">
        <is>
          <t>ROBERTSFORS</t>
        </is>
      </c>
      <c r="G50" t="n">
        <v>6.3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6750-2026 artfynd.xlsx", "A 6750-2026")</f>
        <v/>
      </c>
      <c r="T50">
        <f>HYPERLINK("https://klasma.github.io/Logging_2409/kartor/A 6750-2026 karta.png", "A 6750-2026")</f>
        <v/>
      </c>
      <c r="V50">
        <f>HYPERLINK("https://klasma.github.io/Logging_2409/klagomål/A 6750-2026 FSC-klagomål.docx", "A 6750-2026")</f>
        <v/>
      </c>
      <c r="W50">
        <f>HYPERLINK("https://klasma.github.io/Logging_2409/klagomålsmail/A 6750-2026 FSC-klagomål mail.docx", "A 6750-2026")</f>
        <v/>
      </c>
      <c r="X50">
        <f>HYPERLINK("https://klasma.github.io/Logging_2409/tillsyn/A 6750-2026 tillsynsbegäran.docx", "A 6750-2026")</f>
        <v/>
      </c>
      <c r="Y50">
        <f>HYPERLINK("https://klasma.github.io/Logging_2409/tillsynsmail/A 6750-2026 tillsynsbegäran mail.docx", "A 6750-2026")</f>
        <v/>
      </c>
      <c r="Z50">
        <f>HYPERLINK("https://klasma.github.io/Logging_2409/fåglar/A 6750-2026 prioriterade fågelarter.docx", "A 6750-2026")</f>
        <v/>
      </c>
    </row>
    <row r="51" ht="15" customHeight="1">
      <c r="A51" t="inlineStr">
        <is>
          <t>A 1830-2024</t>
        </is>
      </c>
      <c r="B51" s="1" t="n">
        <v>45307</v>
      </c>
      <c r="C51" s="1" t="n">
        <v>46168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 taggsvamp agg.</t>
        </is>
      </c>
      <c r="S51">
        <f>HYPERLINK("https://klasma.github.io/Logging_2409/artfynd/A 1830-2024 artfynd.xlsx", "A 1830-2024")</f>
        <v/>
      </c>
      <c r="T51">
        <f>HYPERLINK("https://klasma.github.io/Logging_2409/kartor/A 1830-2024 karta.png", "A 1830-2024")</f>
        <v/>
      </c>
      <c r="V51">
        <f>HYPERLINK("https://klasma.github.io/Logging_2409/klagomål/A 1830-2024 FSC-klagomål.docx", "A 1830-2024")</f>
        <v/>
      </c>
      <c r="W51">
        <f>HYPERLINK("https://klasma.github.io/Logging_2409/klagomålsmail/A 1830-2024 FSC-klagomål mail.docx", "A 1830-2024")</f>
        <v/>
      </c>
      <c r="X51">
        <f>HYPERLINK("https://klasma.github.io/Logging_2409/tillsyn/A 1830-2024 tillsynsbegäran.docx", "A 1830-2024")</f>
        <v/>
      </c>
      <c r="Y51">
        <f>HYPERLINK("https://klasma.github.io/Logging_2409/tillsynsmail/A 1830-2024 tillsynsbegäran mail.docx", "A 1830-2024")</f>
        <v/>
      </c>
    </row>
    <row r="52" ht="15" customHeight="1">
      <c r="A52" t="inlineStr">
        <is>
          <t>A 57284-2023</t>
        </is>
      </c>
      <c r="B52" s="1" t="n">
        <v>45245</v>
      </c>
      <c r="C52" s="1" t="n">
        <v>46168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HYPERLINK("https://klasma.github.io/Logging_2409/artfynd/A 57284-2023 artfynd.xlsx", "A 57284-2023")</f>
        <v/>
      </c>
      <c r="T52">
        <f>HYPERLINK("https://klasma.github.io/Logging_2409/kartor/A 57284-2023 karta.png", "A 57284-2023")</f>
        <v/>
      </c>
      <c r="V52">
        <f>HYPERLINK("https://klasma.github.io/Logging_2409/klagomål/A 57284-2023 FSC-klagomål.docx", "A 57284-2023")</f>
        <v/>
      </c>
      <c r="W52">
        <f>HYPERLINK("https://klasma.github.io/Logging_2409/klagomålsmail/A 57284-2023 FSC-klagomål mail.docx", "A 57284-2023")</f>
        <v/>
      </c>
      <c r="X52">
        <f>HYPERLINK("https://klasma.github.io/Logging_2409/tillsyn/A 57284-2023 tillsynsbegäran.docx", "A 57284-2023")</f>
        <v/>
      </c>
      <c r="Y52">
        <f>HYPERLINK("https://klasma.github.io/Logging_2409/tillsynsmail/A 57284-2023 tillsynsbegäran mail.docx", "A 57284-2023")</f>
        <v/>
      </c>
    </row>
    <row r="53" ht="15" customHeight="1">
      <c r="A53" t="inlineStr">
        <is>
          <t>A 5969-2025</t>
        </is>
      </c>
      <c r="B53" s="1" t="n">
        <v>45695.50104166667</v>
      </c>
      <c r="C53" s="1" t="n">
        <v>46168</v>
      </c>
      <c r="D53" t="inlineStr">
        <is>
          <t>VÄSTERBOTTENS LÄN</t>
        </is>
      </c>
      <c r="E53" t="inlineStr">
        <is>
          <t>ROBERTSFORS</t>
        </is>
      </c>
      <c r="G53" t="n">
        <v>18.1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HYPERLINK("https://klasma.github.io/Logging_2409/artfynd/A 5969-2025 artfynd.xlsx", "A 5969-2025")</f>
        <v/>
      </c>
      <c r="T53">
        <f>HYPERLINK("https://klasma.github.io/Logging_2409/kartor/A 5969-2025 karta.png", "A 5969-2025")</f>
        <v/>
      </c>
      <c r="V53">
        <f>HYPERLINK("https://klasma.github.io/Logging_2409/klagomål/A 5969-2025 FSC-klagomål.docx", "A 5969-2025")</f>
        <v/>
      </c>
      <c r="W53">
        <f>HYPERLINK("https://klasma.github.io/Logging_2409/klagomålsmail/A 5969-2025 FSC-klagomål mail.docx", "A 5969-2025")</f>
        <v/>
      </c>
      <c r="X53">
        <f>HYPERLINK("https://klasma.github.io/Logging_2409/tillsyn/A 5969-2025 tillsynsbegäran.docx", "A 5969-2025")</f>
        <v/>
      </c>
      <c r="Y53">
        <f>HYPERLINK("https://klasma.github.io/Logging_2409/tillsynsmail/A 5969-2025 tillsynsbegäran mail.docx", "A 5969-2025")</f>
        <v/>
      </c>
      <c r="Z53">
        <f>HYPERLINK("https://klasma.github.io/Logging_2409/fåglar/A 5969-2025 prioriterade fågelarter.docx", "A 5969-2025")</f>
        <v/>
      </c>
    </row>
    <row r="54" ht="15" customHeight="1">
      <c r="A54" t="inlineStr">
        <is>
          <t>A 32023-2024</t>
        </is>
      </c>
      <c r="B54" s="1" t="n">
        <v>45510</v>
      </c>
      <c r="C54" s="1" t="n">
        <v>46168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HYPERLINK("https://klasma.github.io/Logging_2409/artfynd/A 32023-2024 artfynd.xlsx", "A 32023-2024")</f>
        <v/>
      </c>
      <c r="T54">
        <f>HYPERLINK("https://klasma.github.io/Logging_2409/kartor/A 32023-2024 karta.png", "A 32023-2024")</f>
        <v/>
      </c>
      <c r="V54">
        <f>HYPERLINK("https://klasma.github.io/Logging_2409/klagomål/A 32023-2024 FSC-klagomål.docx", "A 32023-2024")</f>
        <v/>
      </c>
      <c r="W54">
        <f>HYPERLINK("https://klasma.github.io/Logging_2409/klagomålsmail/A 32023-2024 FSC-klagomål mail.docx", "A 32023-2024")</f>
        <v/>
      </c>
      <c r="X54">
        <f>HYPERLINK("https://klasma.github.io/Logging_2409/tillsyn/A 32023-2024 tillsynsbegäran.docx", "A 32023-2024")</f>
        <v/>
      </c>
      <c r="Y54">
        <f>HYPERLINK("https://klasma.github.io/Logging_2409/tillsynsmail/A 32023-2024 tillsynsbegäran mail.docx", "A 32023-2024")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46168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61392-2024</t>
        </is>
      </c>
      <c r="B56" s="1" t="n">
        <v>45646.42027777778</v>
      </c>
      <c r="C56" s="1" t="n">
        <v>46168</v>
      </c>
      <c r="D56" t="inlineStr">
        <is>
          <t>VÄSTERBOTTENS LÄN</t>
        </is>
      </c>
      <c r="E56" t="inlineStr">
        <is>
          <t>ROBERTSFORS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HYPERLINK("https://klasma.github.io/Logging_2409/artfynd/A 61392-2024 artfynd.xlsx", "A 61392-2024")</f>
        <v/>
      </c>
      <c r="T56">
        <f>HYPERLINK("https://klasma.github.io/Logging_2409/kartor/A 61392-2024 karta.png", "A 61392-2024")</f>
        <v/>
      </c>
      <c r="V56">
        <f>HYPERLINK("https://klasma.github.io/Logging_2409/klagomål/A 61392-2024 FSC-klagomål.docx", "A 61392-2024")</f>
        <v/>
      </c>
      <c r="W56">
        <f>HYPERLINK("https://klasma.github.io/Logging_2409/klagomålsmail/A 61392-2024 FSC-klagomål mail.docx", "A 61392-2024")</f>
        <v/>
      </c>
      <c r="X56">
        <f>HYPERLINK("https://klasma.github.io/Logging_2409/tillsyn/A 61392-2024 tillsynsbegäran.docx", "A 61392-2024")</f>
        <v/>
      </c>
      <c r="Y56">
        <f>HYPERLINK("https://klasma.github.io/Logging_2409/tillsynsmail/A 61392-2024 tillsynsbegäran mail.docx", "A 61392-2024")</f>
        <v/>
      </c>
    </row>
    <row r="57" ht="15" customHeight="1">
      <c r="A57" t="inlineStr">
        <is>
          <t>A 32942-2022</t>
        </is>
      </c>
      <c r="B57" s="1" t="n">
        <v>44784.69390046296</v>
      </c>
      <c r="C57" s="1" t="n">
        <v>46168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37805-2022</t>
        </is>
      </c>
      <c r="B58" s="1" t="n">
        <v>44810</v>
      </c>
      <c r="C58" s="1" t="n">
        <v>46168</v>
      </c>
      <c r="D58" t="inlineStr">
        <is>
          <t>VÄSTERBOTTENS LÄN</t>
        </is>
      </c>
      <c r="E58" t="inlineStr">
        <is>
          <t>ROBERTSFORS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48834-2021</t>
        </is>
      </c>
      <c r="B59" s="1" t="n">
        <v>44452.92001157408</v>
      </c>
      <c r="C59" s="1" t="n">
        <v>46168</v>
      </c>
      <c r="D59" t="inlineStr">
        <is>
          <t>VÄSTERBOTTENS LÄN</t>
        </is>
      </c>
      <c r="E59" t="inlineStr">
        <is>
          <t>ROBERTSFORS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36167-2022</t>
        </is>
      </c>
      <c r="B60" s="1" t="n">
        <v>44803.40796296296</v>
      </c>
      <c r="C60" s="1" t="n">
        <v>46168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17139-2022</t>
        </is>
      </c>
      <c r="B61" s="1" t="n">
        <v>44677</v>
      </c>
      <c r="C61" s="1" t="n">
        <v>46168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54606-2022</t>
        </is>
      </c>
      <c r="B62" s="1" t="n">
        <v>44880</v>
      </c>
      <c r="C62" s="1" t="n">
        <v>46168</v>
      </c>
      <c r="D62" t="inlineStr">
        <is>
          <t>VÄSTERBOTTENS LÄN</t>
        </is>
      </c>
      <c r="E62" t="inlineStr">
        <is>
          <t>ROBERTSFORS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26018-2022</t>
        </is>
      </c>
      <c r="B63" s="1" t="n">
        <v>44734</v>
      </c>
      <c r="C63" s="1" t="n">
        <v>46168</v>
      </c>
      <c r="D63" t="inlineStr">
        <is>
          <t>VÄSTERBOTTENS LÄN</t>
        </is>
      </c>
      <c r="E63" t="inlineStr">
        <is>
          <t>ROBERTSFORS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26048-2022</t>
        </is>
      </c>
      <c r="B64" s="1" t="n">
        <v>44734.59699074074</v>
      </c>
      <c r="C64" s="1" t="n">
        <v>46168</v>
      </c>
      <c r="D64" t="inlineStr">
        <is>
          <t>VÄSTERBOTTENS LÄN</t>
        </is>
      </c>
      <c r="E64" t="inlineStr">
        <is>
          <t>ROBERTSFORS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48432-2022</t>
        </is>
      </c>
      <c r="B65" s="1" t="n">
        <v>44858.64782407408</v>
      </c>
      <c r="C65" s="1" t="n">
        <v>46168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13369-2022</t>
        </is>
      </c>
      <c r="B66" s="1" t="n">
        <v>44645</v>
      </c>
      <c r="C66" s="1" t="n">
        <v>46168</v>
      </c>
      <c r="D66" t="inlineStr">
        <is>
          <t>VÄSTERBOTTENS LÄN</t>
        </is>
      </c>
      <c r="E66" t="inlineStr">
        <is>
          <t>ROBERTSFORS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70365-2021</t>
        </is>
      </c>
      <c r="B67" s="1" t="n">
        <v>44535</v>
      </c>
      <c r="C67" s="1" t="n">
        <v>46168</v>
      </c>
      <c r="D67" t="inlineStr">
        <is>
          <t>VÄSTERBOTTENS LÄN</t>
        </is>
      </c>
      <c r="E67" t="inlineStr">
        <is>
          <t>ROBERTSFORS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1120-2022</t>
        </is>
      </c>
      <c r="B68" s="1" t="n">
        <v>44572.34782407407</v>
      </c>
      <c r="C68" s="1" t="n">
        <v>46168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36023-2021</t>
        </is>
      </c>
      <c r="B69" s="1" t="n">
        <v>44386</v>
      </c>
      <c r="C69" s="1" t="n">
        <v>46168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49594-2021</t>
        </is>
      </c>
      <c r="B70" s="1" t="n">
        <v>44455</v>
      </c>
      <c r="C70" s="1" t="n">
        <v>46168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60844-2021</t>
        </is>
      </c>
      <c r="B71" s="1" t="n">
        <v>44497</v>
      </c>
      <c r="C71" s="1" t="n">
        <v>46168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23505-2022</t>
        </is>
      </c>
      <c r="B72" s="1" t="n">
        <v>44721</v>
      </c>
      <c r="C72" s="1" t="n">
        <v>46168</v>
      </c>
      <c r="D72" t="inlineStr">
        <is>
          <t>VÄSTERBOTTENS LÄN</t>
        </is>
      </c>
      <c r="E72" t="inlineStr">
        <is>
          <t>ROBERTSFORS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8457-2022</t>
        </is>
      </c>
      <c r="B73" s="1" t="n">
        <v>44612.92134259259</v>
      </c>
      <c r="C73" s="1" t="n">
        <v>46168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8459-2022</t>
        </is>
      </c>
      <c r="B74" s="1" t="n">
        <v>44612.92251157408</v>
      </c>
      <c r="C74" s="1" t="n">
        <v>46168</v>
      </c>
      <c r="D74" t="inlineStr">
        <is>
          <t>VÄSTERBOTTENS LÄN</t>
        </is>
      </c>
      <c r="E74" t="inlineStr">
        <is>
          <t>ROBERTSFORS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15111-2022</t>
        </is>
      </c>
      <c r="B75" s="1" t="n">
        <v>44658</v>
      </c>
      <c r="C75" s="1" t="n">
        <v>46168</v>
      </c>
      <c r="D75" t="inlineStr">
        <is>
          <t>VÄSTERBOTTENS LÄN</t>
        </is>
      </c>
      <c r="E75" t="inlineStr">
        <is>
          <t>ROBERTSFORS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12622-2022</t>
        </is>
      </c>
      <c r="B76" s="1" t="n">
        <v>44641</v>
      </c>
      <c r="C76" s="1" t="n">
        <v>46168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31596-2022</t>
        </is>
      </c>
      <c r="B77" s="1" t="n">
        <v>44775</v>
      </c>
      <c r="C77" s="1" t="n">
        <v>46168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46168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46168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46168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46168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46168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46168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34353-2021</t>
        </is>
      </c>
      <c r="B84" s="1" t="n">
        <v>44379</v>
      </c>
      <c r="C84" s="1" t="n">
        <v>46168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54502-2021</t>
        </is>
      </c>
      <c r="B85" s="1" t="n">
        <v>44473</v>
      </c>
      <c r="C85" s="1" t="n">
        <v>46168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47220-2021</t>
        </is>
      </c>
      <c r="B86" s="1" t="n">
        <v>44447.35380787037</v>
      </c>
      <c r="C86" s="1" t="n">
        <v>46168</v>
      </c>
      <c r="D86" t="inlineStr">
        <is>
          <t>VÄSTERBOTTENS LÄN</t>
        </is>
      </c>
      <c r="E86" t="inlineStr">
        <is>
          <t>ROBERTSFORS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47225-2021</t>
        </is>
      </c>
      <c r="B87" s="1" t="n">
        <v>44447.36201388889</v>
      </c>
      <c r="C87" s="1" t="n">
        <v>46168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48823-2021</t>
        </is>
      </c>
      <c r="B88" s="1" t="n">
        <v>44452.91890046297</v>
      </c>
      <c r="C88" s="1" t="n">
        <v>46168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66503-2021</t>
        </is>
      </c>
      <c r="B89" s="1" t="n">
        <v>44519.32098379629</v>
      </c>
      <c r="C89" s="1" t="n">
        <v>46168</v>
      </c>
      <c r="D89" t="inlineStr">
        <is>
          <t>VÄSTERBOTTENS LÄN</t>
        </is>
      </c>
      <c r="E89" t="inlineStr">
        <is>
          <t>ROBERTSFORS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2604-2022</t>
        </is>
      </c>
      <c r="B90" s="1" t="n">
        <v>44571</v>
      </c>
      <c r="C90" s="1" t="n">
        <v>46168</v>
      </c>
      <c r="D90" t="inlineStr">
        <is>
          <t>VÄSTERBOTTENS LÄN</t>
        </is>
      </c>
      <c r="E90" t="inlineStr">
        <is>
          <t>ROBERTSFORS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54403-2021</t>
        </is>
      </c>
      <c r="B91" s="1" t="n">
        <v>44473</v>
      </c>
      <c r="C91" s="1" t="n">
        <v>46168</v>
      </c>
      <c r="D91" t="inlineStr">
        <is>
          <t>VÄSTERBOTTENS LÄN</t>
        </is>
      </c>
      <c r="E91" t="inlineStr">
        <is>
          <t>ROBERTSFORS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69805-2021</t>
        </is>
      </c>
      <c r="B92" s="1" t="n">
        <v>44532</v>
      </c>
      <c r="C92" s="1" t="n">
        <v>46168</v>
      </c>
      <c r="D92" t="inlineStr">
        <is>
          <t>VÄSTERBOTTENS LÄN</t>
        </is>
      </c>
      <c r="E92" t="inlineStr">
        <is>
          <t>ROBERTSFORS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45191-2022</t>
        </is>
      </c>
      <c r="B93" s="1" t="n">
        <v>44844</v>
      </c>
      <c r="C93" s="1" t="n">
        <v>46168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57189-2021</t>
        </is>
      </c>
      <c r="B94" s="1" t="n">
        <v>44482.92244212963</v>
      </c>
      <c r="C94" s="1" t="n">
        <v>46168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8458-2022</t>
        </is>
      </c>
      <c r="B95" s="1" t="n">
        <v>44612.92157407408</v>
      </c>
      <c r="C95" s="1" t="n">
        <v>46168</v>
      </c>
      <c r="D95" t="inlineStr">
        <is>
          <t>VÄSTERBOTTENS LÄN</t>
        </is>
      </c>
      <c r="E95" t="inlineStr">
        <is>
          <t>ROBERTSFORS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8460-2022</t>
        </is>
      </c>
      <c r="B96" s="1" t="n">
        <v>44612</v>
      </c>
      <c r="C96" s="1" t="n">
        <v>46168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35551-2021</t>
        </is>
      </c>
      <c r="B97" s="1" t="n">
        <v>44385.82789351852</v>
      </c>
      <c r="C97" s="1" t="n">
        <v>46168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46731-2022</t>
        </is>
      </c>
      <c r="B98" s="1" t="n">
        <v>44851.43311342593</v>
      </c>
      <c r="C98" s="1" t="n">
        <v>46168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25216-2022</t>
        </is>
      </c>
      <c r="B99" s="1" t="n">
        <v>44729.68305555556</v>
      </c>
      <c r="C99" s="1" t="n">
        <v>46168</v>
      </c>
      <c r="D99" t="inlineStr">
        <is>
          <t>VÄSTERBOTTENS LÄN</t>
        </is>
      </c>
      <c r="E99" t="inlineStr">
        <is>
          <t>ROBERTSFORS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39325-2021</t>
        </is>
      </c>
      <c r="B100" s="1" t="n">
        <v>44413.91990740741</v>
      </c>
      <c r="C100" s="1" t="n">
        <v>46168</v>
      </c>
      <c r="D100" t="inlineStr">
        <is>
          <t>VÄSTERBOTTENS LÄN</t>
        </is>
      </c>
      <c r="E100" t="inlineStr">
        <is>
          <t>ROBERTSFORS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39836-2022</t>
        </is>
      </c>
      <c r="B101" s="1" t="n">
        <v>44819.5896875</v>
      </c>
      <c r="C101" s="1" t="n">
        <v>46168</v>
      </c>
      <c r="D101" t="inlineStr">
        <is>
          <t>VÄSTERBOTTENS LÄN</t>
        </is>
      </c>
      <c r="E101" t="inlineStr">
        <is>
          <t>ROBERTSFORS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15644-2022</t>
        </is>
      </c>
      <c r="B102" s="1" t="n">
        <v>44662.92425925926</v>
      </c>
      <c r="C102" s="1" t="n">
        <v>46168</v>
      </c>
      <c r="D102" t="inlineStr">
        <is>
          <t>VÄSTERBOTTENS LÄN</t>
        </is>
      </c>
      <c r="E102" t="inlineStr">
        <is>
          <t>ROBERTSFORS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19962-2022</t>
        </is>
      </c>
      <c r="B103" s="1" t="n">
        <v>44697</v>
      </c>
      <c r="C103" s="1" t="n">
        <v>46168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38187-2022</t>
        </is>
      </c>
      <c r="B104" s="1" t="n">
        <v>44812</v>
      </c>
      <c r="C104" s="1" t="n">
        <v>46168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41645-2022</t>
        </is>
      </c>
      <c r="B105" s="1" t="n">
        <v>44827.50721064815</v>
      </c>
      <c r="C105" s="1" t="n">
        <v>46168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44822-2022</t>
        </is>
      </c>
      <c r="B106" s="1" t="n">
        <v>44841.41417824074</v>
      </c>
      <c r="C106" s="1" t="n">
        <v>46168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39283-2022</t>
        </is>
      </c>
      <c r="B107" s="1" t="n">
        <v>44817</v>
      </c>
      <c r="C107" s="1" t="n">
        <v>46168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25904-2022</t>
        </is>
      </c>
      <c r="B108" s="1" t="n">
        <v>44733.92600694444</v>
      </c>
      <c r="C108" s="1" t="n">
        <v>46168</v>
      </c>
      <c r="D108" t="inlineStr">
        <is>
          <t>VÄSTERBOTTENS LÄN</t>
        </is>
      </c>
      <c r="E108" t="inlineStr">
        <is>
          <t>ROBERTSFORS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43852-2024</t>
        </is>
      </c>
      <c r="B109" s="1" t="n">
        <v>45572.35177083333</v>
      </c>
      <c r="C109" s="1" t="n">
        <v>46168</v>
      </c>
      <c r="D109" t="inlineStr">
        <is>
          <t>VÄSTERBOTTENS LÄN</t>
        </is>
      </c>
      <c r="E109" t="inlineStr">
        <is>
          <t>ROBERTSFORS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9192-2022</t>
        </is>
      </c>
      <c r="B110" s="1" t="n">
        <v>44615.9247800926</v>
      </c>
      <c r="C110" s="1" t="n">
        <v>46168</v>
      </c>
      <c r="D110" t="inlineStr">
        <is>
          <t>VÄSTERBOTTENS LÄN</t>
        </is>
      </c>
      <c r="E110" t="inlineStr">
        <is>
          <t>ROBERTSFORS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645-2025</t>
        </is>
      </c>
      <c r="B111" s="1" t="n">
        <v>45661</v>
      </c>
      <c r="C111" s="1" t="n">
        <v>46168</v>
      </c>
      <c r="D111" t="inlineStr">
        <is>
          <t>VÄSTERBOTTENS LÄN</t>
        </is>
      </c>
      <c r="E111" t="inlineStr">
        <is>
          <t>ROBERTSFORS</t>
        </is>
      </c>
      <c r="G111" t="n">
        <v>10.6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674-2025</t>
        </is>
      </c>
      <c r="B112" s="1" t="n">
        <v>45664</v>
      </c>
      <c r="C112" s="1" t="n">
        <v>46168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44651-2023</t>
        </is>
      </c>
      <c r="B113" s="1" t="n">
        <v>45184</v>
      </c>
      <c r="C113" s="1" t="n">
        <v>46168</v>
      </c>
      <c r="D113" t="inlineStr">
        <is>
          <t>VÄSTERBOTTENS LÄN</t>
        </is>
      </c>
      <c r="E113" t="inlineStr">
        <is>
          <t>ROBERTSFORS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58712-2024</t>
        </is>
      </c>
      <c r="B114" s="1" t="n">
        <v>45635</v>
      </c>
      <c r="C114" s="1" t="n">
        <v>46168</v>
      </c>
      <c r="D114" t="inlineStr">
        <is>
          <t>VÄSTERBOTTENS LÄN</t>
        </is>
      </c>
      <c r="E114" t="inlineStr">
        <is>
          <t>ROBERTSFORS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60225-2024</t>
        </is>
      </c>
      <c r="B115" s="1" t="n">
        <v>45642.71113425926</v>
      </c>
      <c r="C115" s="1" t="n">
        <v>46168</v>
      </c>
      <c r="D115" t="inlineStr">
        <is>
          <t>VÄSTERBOTTENS LÄN</t>
        </is>
      </c>
      <c r="E115" t="inlineStr">
        <is>
          <t>ROBERTSFORS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16994-2023</t>
        </is>
      </c>
      <c r="B116" s="1" t="n">
        <v>45033</v>
      </c>
      <c r="C116" s="1" t="n">
        <v>46168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16995-2023</t>
        </is>
      </c>
      <c r="B117" s="1" t="n">
        <v>45033.92592592593</v>
      </c>
      <c r="C117" s="1" t="n">
        <v>46168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41047-2022</t>
        </is>
      </c>
      <c r="B118" s="1" t="n">
        <v>44824</v>
      </c>
      <c r="C118" s="1" t="n">
        <v>46168</v>
      </c>
      <c r="D118" t="inlineStr">
        <is>
          <t>VÄSTERBOTTENS LÄN</t>
        </is>
      </c>
      <c r="E118" t="inlineStr">
        <is>
          <t>ROBERTSFORS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30643-2024</t>
        </is>
      </c>
      <c r="B119" s="1" t="n">
        <v>45495.58291666667</v>
      </c>
      <c r="C119" s="1" t="n">
        <v>46168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22778-2025</t>
        </is>
      </c>
      <c r="B120" s="1" t="n">
        <v>45789.6372337963</v>
      </c>
      <c r="C120" s="1" t="n">
        <v>46168</v>
      </c>
      <c r="D120" t="inlineStr">
        <is>
          <t>VÄSTERBOTTENS LÄN</t>
        </is>
      </c>
      <c r="E120" t="inlineStr">
        <is>
          <t>ROBERTSFORS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55484-2021</t>
        </is>
      </c>
      <c r="B121" s="1" t="n">
        <v>44475</v>
      </c>
      <c r="C121" s="1" t="n">
        <v>46168</v>
      </c>
      <c r="D121" t="inlineStr">
        <is>
          <t>VÄSTERBOTTENS LÄN</t>
        </is>
      </c>
      <c r="E121" t="inlineStr">
        <is>
          <t>ROBERTSFORS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60604-2024</t>
        </is>
      </c>
      <c r="B122" s="1" t="n">
        <v>45644.37731481482</v>
      </c>
      <c r="C122" s="1" t="n">
        <v>46168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23631-2025</t>
        </is>
      </c>
      <c r="B123" s="1" t="n">
        <v>45792.67769675926</v>
      </c>
      <c r="C123" s="1" t="n">
        <v>46168</v>
      </c>
      <c r="D123" t="inlineStr">
        <is>
          <t>VÄSTERBOTTENS LÄN</t>
        </is>
      </c>
      <c r="E123" t="inlineStr">
        <is>
          <t>ROBERTSFORS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12013-2022</t>
        </is>
      </c>
      <c r="B124" s="1" t="n">
        <v>44635.92523148148</v>
      </c>
      <c r="C124" s="1" t="n">
        <v>46168</v>
      </c>
      <c r="D124" t="inlineStr">
        <is>
          <t>VÄSTERBOTTENS LÄN</t>
        </is>
      </c>
      <c r="E124" t="inlineStr">
        <is>
          <t>ROBERTSFORS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23593-2025</t>
        </is>
      </c>
      <c r="B125" s="1" t="n">
        <v>45792.63686342593</v>
      </c>
      <c r="C125" s="1" t="n">
        <v>46168</v>
      </c>
      <c r="D125" t="inlineStr">
        <is>
          <t>VÄSTERBOTTENS LÄN</t>
        </is>
      </c>
      <c r="E125" t="inlineStr">
        <is>
          <t>ROBERTSFORS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35852-2021</t>
        </is>
      </c>
      <c r="B126" s="1" t="n">
        <v>44386</v>
      </c>
      <c r="C126" s="1" t="n">
        <v>46168</v>
      </c>
      <c r="D126" t="inlineStr">
        <is>
          <t>VÄSTERBOTTENS LÄN</t>
        </is>
      </c>
      <c r="E126" t="inlineStr">
        <is>
          <t>ROBERTSFORS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23605-2025</t>
        </is>
      </c>
      <c r="B127" s="1" t="n">
        <v>45792.65528935185</v>
      </c>
      <c r="C127" s="1" t="n">
        <v>46168</v>
      </c>
      <c r="D127" t="inlineStr">
        <is>
          <t>VÄSTERBOTTENS LÄN</t>
        </is>
      </c>
      <c r="E127" t="inlineStr">
        <is>
          <t>ROBERTSFORS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2590-2022</t>
        </is>
      </c>
      <c r="B128" s="1" t="n">
        <v>44580</v>
      </c>
      <c r="C128" s="1" t="n">
        <v>46168</v>
      </c>
      <c r="D128" t="inlineStr">
        <is>
          <t>VÄSTERBOTTENS LÄN</t>
        </is>
      </c>
      <c r="E128" t="inlineStr">
        <is>
          <t>ROBERTSFORS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22673-2025</t>
        </is>
      </c>
      <c r="B129" s="1" t="n">
        <v>45789.49042824074</v>
      </c>
      <c r="C129" s="1" t="n">
        <v>46168</v>
      </c>
      <c r="D129" t="inlineStr">
        <is>
          <t>VÄSTERBOTTENS LÄN</t>
        </is>
      </c>
      <c r="E129" t="inlineStr">
        <is>
          <t>ROBERTSFORS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24467-2024</t>
        </is>
      </c>
      <c r="B130" s="1" t="n">
        <v>45458.29769675926</v>
      </c>
      <c r="C130" s="1" t="n">
        <v>46168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1671-2022</t>
        </is>
      </c>
      <c r="B131" s="1" t="n">
        <v>44574</v>
      </c>
      <c r="C131" s="1" t="n">
        <v>46168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12629-2022</t>
        </is>
      </c>
      <c r="B132" s="1" t="n">
        <v>44641</v>
      </c>
      <c r="C132" s="1" t="n">
        <v>46168</v>
      </c>
      <c r="D132" t="inlineStr">
        <is>
          <t>VÄSTERBOTTENS LÄN</t>
        </is>
      </c>
      <c r="E132" t="inlineStr">
        <is>
          <t>ROBERTSFORS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58631-2021</t>
        </is>
      </c>
      <c r="B133" s="1" t="n">
        <v>44488</v>
      </c>
      <c r="C133" s="1" t="n">
        <v>46168</v>
      </c>
      <c r="D133" t="inlineStr">
        <is>
          <t>VÄSTERBOTTENS LÄN</t>
        </is>
      </c>
      <c r="E133" t="inlineStr">
        <is>
          <t>ROBERTSFORS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44372-2023</t>
        </is>
      </c>
      <c r="B134" s="1" t="n">
        <v>45188</v>
      </c>
      <c r="C134" s="1" t="n">
        <v>46168</v>
      </c>
      <c r="D134" t="inlineStr">
        <is>
          <t>VÄSTERBOTTENS LÄN</t>
        </is>
      </c>
      <c r="E134" t="inlineStr">
        <is>
          <t>ROBERTSFORS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23260-2025</t>
        </is>
      </c>
      <c r="B135" s="1" t="n">
        <v>45791.54234953703</v>
      </c>
      <c r="C135" s="1" t="n">
        <v>46168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48252-2023</t>
        </is>
      </c>
      <c r="B136" s="1" t="n">
        <v>45205.5255787037</v>
      </c>
      <c r="C136" s="1" t="n">
        <v>46168</v>
      </c>
      <c r="D136" t="inlineStr">
        <is>
          <t>VÄSTERBOTTENS LÄN</t>
        </is>
      </c>
      <c r="E136" t="inlineStr">
        <is>
          <t>ROBERTSFORS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13329-2022</t>
        </is>
      </c>
      <c r="B137" s="1" t="n">
        <v>44644</v>
      </c>
      <c r="C137" s="1" t="n">
        <v>46168</v>
      </c>
      <c r="D137" t="inlineStr">
        <is>
          <t>VÄSTERBOTTENS LÄN</t>
        </is>
      </c>
      <c r="E137" t="inlineStr">
        <is>
          <t>ROBERTSFORS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10906-2022</t>
        </is>
      </c>
      <c r="B138" s="1" t="n">
        <v>44627.92642361111</v>
      </c>
      <c r="C138" s="1" t="n">
        <v>46168</v>
      </c>
      <c r="D138" t="inlineStr">
        <is>
          <t>VÄSTERBOTTENS LÄN</t>
        </is>
      </c>
      <c r="E138" t="inlineStr">
        <is>
          <t>ROBERTSFORS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10907-2022</t>
        </is>
      </c>
      <c r="B139" s="1" t="n">
        <v>44627.9264699074</v>
      </c>
      <c r="C139" s="1" t="n">
        <v>46168</v>
      </c>
      <c r="D139" t="inlineStr">
        <is>
          <t>VÄSTERBOTTENS LÄN</t>
        </is>
      </c>
      <c r="E139" t="inlineStr">
        <is>
          <t>ROBERTSFORS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23961-2025</t>
        </is>
      </c>
      <c r="B140" s="1" t="n">
        <v>45794</v>
      </c>
      <c r="C140" s="1" t="n">
        <v>46168</v>
      </c>
      <c r="D140" t="inlineStr">
        <is>
          <t>VÄSTERBOTTENS LÄN</t>
        </is>
      </c>
      <c r="E140" t="inlineStr">
        <is>
          <t>ROBERTSFORS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23989-2025</t>
        </is>
      </c>
      <c r="B141" s="1" t="n">
        <v>45796.40104166666</v>
      </c>
      <c r="C141" s="1" t="n">
        <v>46168</v>
      </c>
      <c r="D141" t="inlineStr">
        <is>
          <t>VÄSTERBOTTENS LÄN</t>
        </is>
      </c>
      <c r="E141" t="inlineStr">
        <is>
          <t>ROBERTSFORS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33584-2022</t>
        </is>
      </c>
      <c r="B142" s="1" t="n">
        <v>44789</v>
      </c>
      <c r="C142" s="1" t="n">
        <v>46168</v>
      </c>
      <c r="D142" t="inlineStr">
        <is>
          <t>VÄSTERBOTTENS LÄN</t>
        </is>
      </c>
      <c r="E142" t="inlineStr">
        <is>
          <t>ROBERTSFORS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23979-2025</t>
        </is>
      </c>
      <c r="B143" s="1" t="n">
        <v>45796.38870370371</v>
      </c>
      <c r="C143" s="1" t="n">
        <v>46168</v>
      </c>
      <c r="D143" t="inlineStr">
        <is>
          <t>VÄSTERBOTTENS LÄN</t>
        </is>
      </c>
      <c r="E143" t="inlineStr">
        <is>
          <t>ROBERTSFORS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5251-2025</t>
        </is>
      </c>
      <c r="B144" s="1" t="n">
        <v>45692.34487268519</v>
      </c>
      <c r="C144" s="1" t="n">
        <v>46168</v>
      </c>
      <c r="D144" t="inlineStr">
        <is>
          <t>VÄSTERBOTTENS LÄN</t>
        </is>
      </c>
      <c r="E144" t="inlineStr">
        <is>
          <t>ROBERTSFORS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43027-2023</t>
        </is>
      </c>
      <c r="B145" s="1" t="n">
        <v>45182.65770833333</v>
      </c>
      <c r="C145" s="1" t="n">
        <v>46168</v>
      </c>
      <c r="D145" t="inlineStr">
        <is>
          <t>VÄSTERBOTTENS LÄN</t>
        </is>
      </c>
      <c r="E145" t="inlineStr">
        <is>
          <t>ROBERTSFORS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46331-2023</t>
        </is>
      </c>
      <c r="B146" s="1" t="n">
        <v>45197.38826388889</v>
      </c>
      <c r="C146" s="1" t="n">
        <v>46168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7076-2025</t>
        </is>
      </c>
      <c r="B147" s="1" t="n">
        <v>45701.68518518518</v>
      </c>
      <c r="C147" s="1" t="n">
        <v>46168</v>
      </c>
      <c r="D147" t="inlineStr">
        <is>
          <t>VÄSTERBOTTENS LÄN</t>
        </is>
      </c>
      <c r="E147" t="inlineStr">
        <is>
          <t>ROBERTSFORS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18827-2023</t>
        </is>
      </c>
      <c r="B148" s="1" t="n">
        <v>45042</v>
      </c>
      <c r="C148" s="1" t="n">
        <v>46168</v>
      </c>
      <c r="D148" t="inlineStr">
        <is>
          <t>VÄSTERBOTTENS LÄN</t>
        </is>
      </c>
      <c r="E148" t="inlineStr">
        <is>
          <t>ROBERTSFORS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61531-2024</t>
        </is>
      </c>
      <c r="B149" s="1" t="n">
        <v>45646.58731481482</v>
      </c>
      <c r="C149" s="1" t="n">
        <v>46168</v>
      </c>
      <c r="D149" t="inlineStr">
        <is>
          <t>VÄSTERBOTTENS LÄN</t>
        </is>
      </c>
      <c r="E149" t="inlineStr">
        <is>
          <t>ROBERTSFORS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24705-2025</t>
        </is>
      </c>
      <c r="B150" s="1" t="n">
        <v>45798</v>
      </c>
      <c r="C150" s="1" t="n">
        <v>46168</v>
      </c>
      <c r="D150" t="inlineStr">
        <is>
          <t>VÄSTERBOTTENS LÄN</t>
        </is>
      </c>
      <c r="E150" t="inlineStr">
        <is>
          <t>ROBERTSFORS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18143-2023</t>
        </is>
      </c>
      <c r="B151" s="1" t="n">
        <v>45040</v>
      </c>
      <c r="C151" s="1" t="n">
        <v>46168</v>
      </c>
      <c r="D151" t="inlineStr">
        <is>
          <t>VÄSTERBOTTENS LÄN</t>
        </is>
      </c>
      <c r="E151" t="inlineStr">
        <is>
          <t>ROBERTSFORS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18168-2025</t>
        </is>
      </c>
      <c r="B152" s="1" t="n">
        <v>45761.6440625</v>
      </c>
      <c r="C152" s="1" t="n">
        <v>46168</v>
      </c>
      <c r="D152" t="inlineStr">
        <is>
          <t>VÄSTERBOTTENS LÄN</t>
        </is>
      </c>
      <c r="E152" t="inlineStr">
        <is>
          <t>ROBERTSFORS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25341-2025</t>
        </is>
      </c>
      <c r="B153" s="1" t="n">
        <v>45800.60171296296</v>
      </c>
      <c r="C153" s="1" t="n">
        <v>46168</v>
      </c>
      <c r="D153" t="inlineStr">
        <is>
          <t>VÄSTERBOTTENS LÄN</t>
        </is>
      </c>
      <c r="E153" t="inlineStr">
        <is>
          <t>ROBERTSFORS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25333-2025</t>
        </is>
      </c>
      <c r="B154" s="1" t="n">
        <v>45800.59549768519</v>
      </c>
      <c r="C154" s="1" t="n">
        <v>46168</v>
      </c>
      <c r="D154" t="inlineStr">
        <is>
          <t>VÄSTERBOTTENS LÄN</t>
        </is>
      </c>
      <c r="E154" t="inlineStr">
        <is>
          <t>ROBERTSFORS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14903-2025</t>
        </is>
      </c>
      <c r="B155" s="1" t="n">
        <v>45743.48991898148</v>
      </c>
      <c r="C155" s="1" t="n">
        <v>46168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41850-2023</t>
        </is>
      </c>
      <c r="B156" s="1" t="n">
        <v>45176</v>
      </c>
      <c r="C156" s="1" t="n">
        <v>46168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25201-2025</t>
        </is>
      </c>
      <c r="B157" s="1" t="n">
        <v>45800.4647337963</v>
      </c>
      <c r="C157" s="1" t="n">
        <v>46168</v>
      </c>
      <c r="D157" t="inlineStr">
        <is>
          <t>VÄSTERBOTTENS LÄN</t>
        </is>
      </c>
      <c r="E157" t="inlineStr">
        <is>
          <t>ROBERTSFORS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38777-2023</t>
        </is>
      </c>
      <c r="B158" s="1" t="n">
        <v>45163</v>
      </c>
      <c r="C158" s="1" t="n">
        <v>46168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9463-2025</t>
        </is>
      </c>
      <c r="B159" s="1" t="n">
        <v>45715.45984953704</v>
      </c>
      <c r="C159" s="1" t="n">
        <v>46168</v>
      </c>
      <c r="D159" t="inlineStr">
        <is>
          <t>VÄSTERBOTTENS LÄN</t>
        </is>
      </c>
      <c r="E159" t="inlineStr">
        <is>
          <t>ROBERTSFORS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25373-2025</t>
        </is>
      </c>
      <c r="B160" s="1" t="n">
        <v>45800.63518518519</v>
      </c>
      <c r="C160" s="1" t="n">
        <v>46168</v>
      </c>
      <c r="D160" t="inlineStr">
        <is>
          <t>VÄSTERBOTTENS LÄN</t>
        </is>
      </c>
      <c r="E160" t="inlineStr">
        <is>
          <t>ROBERTSFORS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41767-2023</t>
        </is>
      </c>
      <c r="B161" s="1" t="n">
        <v>45176</v>
      </c>
      <c r="C161" s="1" t="n">
        <v>46168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4611-2025</t>
        </is>
      </c>
      <c r="B162" s="1" t="n">
        <v>45687</v>
      </c>
      <c r="C162" s="1" t="n">
        <v>46168</v>
      </c>
      <c r="D162" t="inlineStr">
        <is>
          <t>VÄSTERBOTTENS LÄN</t>
        </is>
      </c>
      <c r="E162" t="inlineStr">
        <is>
          <t>ROBERTSFORS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62506-2023</t>
        </is>
      </c>
      <c r="B163" s="1" t="n">
        <v>45268</v>
      </c>
      <c r="C163" s="1" t="n">
        <v>46168</v>
      </c>
      <c r="D163" t="inlineStr">
        <is>
          <t>VÄSTERBOTTENS LÄN</t>
        </is>
      </c>
      <c r="E163" t="inlineStr">
        <is>
          <t>ROBERTSFORS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13533-2023</t>
        </is>
      </c>
      <c r="B164" s="1" t="n">
        <v>45005</v>
      </c>
      <c r="C164" s="1" t="n">
        <v>46168</v>
      </c>
      <c r="D164" t="inlineStr">
        <is>
          <t>VÄSTERBOTTENS LÄN</t>
        </is>
      </c>
      <c r="E164" t="inlineStr">
        <is>
          <t>ROBERTSFORS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33379-2021</t>
        </is>
      </c>
      <c r="B165" s="1" t="n">
        <v>44377</v>
      </c>
      <c r="C165" s="1" t="n">
        <v>46168</v>
      </c>
      <c r="D165" t="inlineStr">
        <is>
          <t>VÄSTERBOTTENS LÄN</t>
        </is>
      </c>
      <c r="E165" t="inlineStr">
        <is>
          <t>ROBERTSFORS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25579-2025</t>
        </is>
      </c>
      <c r="B166" s="1" t="n">
        <v>45803.47896990741</v>
      </c>
      <c r="C166" s="1" t="n">
        <v>46168</v>
      </c>
      <c r="D166" t="inlineStr">
        <is>
          <t>VÄSTERBOTTENS LÄN</t>
        </is>
      </c>
      <c r="E166" t="inlineStr">
        <is>
          <t>ROBERTSFORS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25577-2025</t>
        </is>
      </c>
      <c r="B167" s="1" t="n">
        <v>45803.47759259259</v>
      </c>
      <c r="C167" s="1" t="n">
        <v>46168</v>
      </c>
      <c r="D167" t="inlineStr">
        <is>
          <t>VÄSTERBOTTENS LÄN</t>
        </is>
      </c>
      <c r="E167" t="inlineStr">
        <is>
          <t>ROBERTSFORS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59032-2024</t>
        </is>
      </c>
      <c r="B168" s="1" t="n">
        <v>45636.69321759259</v>
      </c>
      <c r="C168" s="1" t="n">
        <v>46168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26991-2025</t>
        </is>
      </c>
      <c r="B169" s="1" t="n">
        <v>45811.52162037037</v>
      </c>
      <c r="C169" s="1" t="n">
        <v>46168</v>
      </c>
      <c r="D169" t="inlineStr">
        <is>
          <t>VÄSTERBOTTENS LÄN</t>
        </is>
      </c>
      <c r="E169" t="inlineStr">
        <is>
          <t>ROBERTSFORS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38909-2025</t>
        </is>
      </c>
      <c r="B170" s="1" t="n">
        <v>45887.61462962963</v>
      </c>
      <c r="C170" s="1" t="n">
        <v>46168</v>
      </c>
      <c r="D170" t="inlineStr">
        <is>
          <t>VÄSTERBOTTENS LÄN</t>
        </is>
      </c>
      <c r="E170" t="inlineStr">
        <is>
          <t>ROBERTSFORS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16104-2025</t>
        </is>
      </c>
      <c r="B171" s="1" t="n">
        <v>45750.3231712963</v>
      </c>
      <c r="C171" s="1" t="n">
        <v>46168</v>
      </c>
      <c r="D171" t="inlineStr">
        <is>
          <t>VÄSTERBOTTENS LÄN</t>
        </is>
      </c>
      <c r="E171" t="inlineStr">
        <is>
          <t>ROBERTSFORS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4602-2025</t>
        </is>
      </c>
      <c r="B172" s="1" t="n">
        <v>45687.56137731481</v>
      </c>
      <c r="C172" s="1" t="n">
        <v>46168</v>
      </c>
      <c r="D172" t="inlineStr">
        <is>
          <t>VÄSTERBOTTENS LÄN</t>
        </is>
      </c>
      <c r="E172" t="inlineStr">
        <is>
          <t>ROBERTSFORS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26644-2025</t>
        </is>
      </c>
      <c r="B173" s="1" t="n">
        <v>45810.37159722222</v>
      </c>
      <c r="C173" s="1" t="n">
        <v>46168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26394-2025</t>
        </is>
      </c>
      <c r="B174" s="1" t="n">
        <v>45806.84342592592</v>
      </c>
      <c r="C174" s="1" t="n">
        <v>46168</v>
      </c>
      <c r="D174" t="inlineStr">
        <is>
          <t>VÄSTERBOTTENS LÄN</t>
        </is>
      </c>
      <c r="E174" t="inlineStr">
        <is>
          <t>ROBERTSFORS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13187-2023</t>
        </is>
      </c>
      <c r="B175" s="1" t="n">
        <v>45002</v>
      </c>
      <c r="C175" s="1" t="n">
        <v>46168</v>
      </c>
      <c r="D175" t="inlineStr">
        <is>
          <t>VÄSTERBOTTENS LÄN</t>
        </is>
      </c>
      <c r="E175" t="inlineStr">
        <is>
          <t>ROBERTSFORS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59028-2024</t>
        </is>
      </c>
      <c r="B176" s="1" t="n">
        <v>45636</v>
      </c>
      <c r="C176" s="1" t="n">
        <v>46168</v>
      </c>
      <c r="D176" t="inlineStr">
        <is>
          <t>VÄSTERBOTTENS LÄN</t>
        </is>
      </c>
      <c r="E176" t="inlineStr">
        <is>
          <t>ROBERTSFORS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39642-2025</t>
        </is>
      </c>
      <c r="B177" s="1" t="n">
        <v>45890</v>
      </c>
      <c r="C177" s="1" t="n">
        <v>46168</v>
      </c>
      <c r="D177" t="inlineStr">
        <is>
          <t>VÄSTERBOTTENS LÄN</t>
        </is>
      </c>
      <c r="E177" t="inlineStr">
        <is>
          <t>ROBERTSFORS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26984-2025</t>
        </is>
      </c>
      <c r="B178" s="1" t="n">
        <v>45811.49811342593</v>
      </c>
      <c r="C178" s="1" t="n">
        <v>46168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39222-2025</t>
        </is>
      </c>
      <c r="B179" s="1" t="n">
        <v>45888.93484953704</v>
      </c>
      <c r="C179" s="1" t="n">
        <v>46168</v>
      </c>
      <c r="D179" t="inlineStr">
        <is>
          <t>VÄSTERBOTTENS LÄN</t>
        </is>
      </c>
      <c r="E179" t="inlineStr">
        <is>
          <t>ROBERTSFORS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36449-2024</t>
        </is>
      </c>
      <c r="B180" s="1" t="n">
        <v>45537</v>
      </c>
      <c r="C180" s="1" t="n">
        <v>46168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39315-2025</t>
        </is>
      </c>
      <c r="B181" s="1" t="n">
        <v>45889</v>
      </c>
      <c r="C181" s="1" t="n">
        <v>46168</v>
      </c>
      <c r="D181" t="inlineStr">
        <is>
          <t>VÄSTERBOTTENS LÄN</t>
        </is>
      </c>
      <c r="E181" t="inlineStr">
        <is>
          <t>ROBERTSFORS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39677-2025</t>
        </is>
      </c>
      <c r="B182" s="1" t="n">
        <v>45890.65048611111</v>
      </c>
      <c r="C182" s="1" t="n">
        <v>46168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39655-2025</t>
        </is>
      </c>
      <c r="B183" s="1" t="n">
        <v>45890.62754629629</v>
      </c>
      <c r="C183" s="1" t="n">
        <v>46168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39221-2025</t>
        </is>
      </c>
      <c r="B184" s="1" t="n">
        <v>45888.93040509259</v>
      </c>
      <c r="C184" s="1" t="n">
        <v>46168</v>
      </c>
      <c r="D184" t="inlineStr">
        <is>
          <t>VÄSTERBOTTENS LÄN</t>
        </is>
      </c>
      <c r="E184" t="inlineStr">
        <is>
          <t>ROBERTSFORS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33821-2023</t>
        </is>
      </c>
      <c r="B185" s="1" t="n">
        <v>45133</v>
      </c>
      <c r="C185" s="1" t="n">
        <v>46168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26987-2025</t>
        </is>
      </c>
      <c r="B186" s="1" t="n">
        <v>45811.50929398148</v>
      </c>
      <c r="C186" s="1" t="n">
        <v>46168</v>
      </c>
      <c r="D186" t="inlineStr">
        <is>
          <t>VÄSTERBOTTENS LÄN</t>
        </is>
      </c>
      <c r="E186" t="inlineStr">
        <is>
          <t>ROBERTSFORS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40203-2025</t>
        </is>
      </c>
      <c r="B187" s="1" t="n">
        <v>45894.67332175926</v>
      </c>
      <c r="C187" s="1" t="n">
        <v>46168</v>
      </c>
      <c r="D187" t="inlineStr">
        <is>
          <t>VÄSTERBOTTENS LÄN</t>
        </is>
      </c>
      <c r="E187" t="inlineStr">
        <is>
          <t>ROBERTSFORS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30341-2023</t>
        </is>
      </c>
      <c r="B188" s="1" t="n">
        <v>45111</v>
      </c>
      <c r="C188" s="1" t="n">
        <v>46168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Sveaskog</t>
        </is>
      </c>
      <c r="G188" t="n">
        <v>13.7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16865-2023</t>
        </is>
      </c>
      <c r="B189" s="1" t="n">
        <v>45029</v>
      </c>
      <c r="C189" s="1" t="n">
        <v>46168</v>
      </c>
      <c r="D189" t="inlineStr">
        <is>
          <t>VÄSTERBOTTENS LÄN</t>
        </is>
      </c>
      <c r="E189" t="inlineStr">
        <is>
          <t>ROBERTSFORS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27687-2025</t>
        </is>
      </c>
      <c r="B190" s="1" t="n">
        <v>45813.654375</v>
      </c>
      <c r="C190" s="1" t="n">
        <v>46168</v>
      </c>
      <c r="D190" t="inlineStr">
        <is>
          <t>VÄSTERBOTTENS LÄN</t>
        </is>
      </c>
      <c r="E190" t="inlineStr">
        <is>
          <t>ROBERTSFORS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39822-2025</t>
        </is>
      </c>
      <c r="B191" s="1" t="n">
        <v>45891.53695601852</v>
      </c>
      <c r="C191" s="1" t="n">
        <v>46168</v>
      </c>
      <c r="D191" t="inlineStr">
        <is>
          <t>VÄSTERBOTTENS LÄN</t>
        </is>
      </c>
      <c r="E191" t="inlineStr">
        <is>
          <t>ROBERTSFORS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39982-2025</t>
        </is>
      </c>
      <c r="B192" s="1" t="n">
        <v>45893</v>
      </c>
      <c r="C192" s="1" t="n">
        <v>46168</v>
      </c>
      <c r="D192" t="inlineStr">
        <is>
          <t>VÄSTERBOTTENS LÄN</t>
        </is>
      </c>
      <c r="E192" t="inlineStr">
        <is>
          <t>ROBERTSFORS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27479-2025</t>
        </is>
      </c>
      <c r="B193" s="1" t="n">
        <v>45813.37797453703</v>
      </c>
      <c r="C193" s="1" t="n">
        <v>46168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39730-2025</t>
        </is>
      </c>
      <c r="B194" s="1" t="n">
        <v>45891.34827546297</v>
      </c>
      <c r="C194" s="1" t="n">
        <v>46168</v>
      </c>
      <c r="D194" t="inlineStr">
        <is>
          <t>VÄSTERBOTTENS LÄN</t>
        </is>
      </c>
      <c r="E194" t="inlineStr">
        <is>
          <t>ROBERTSFORS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27541-2025</t>
        </is>
      </c>
      <c r="B195" s="1" t="n">
        <v>45813.46613425926</v>
      </c>
      <c r="C195" s="1" t="n">
        <v>46168</v>
      </c>
      <c r="D195" t="inlineStr">
        <is>
          <t>VÄSTERBOTTENS LÄN</t>
        </is>
      </c>
      <c r="E195" t="inlineStr">
        <is>
          <t>ROBERTSFORS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20751-2025</t>
        </is>
      </c>
      <c r="B196" s="1" t="n">
        <v>45776</v>
      </c>
      <c r="C196" s="1" t="n">
        <v>46168</v>
      </c>
      <c r="D196" t="inlineStr">
        <is>
          <t>VÄSTERBOTTENS LÄN</t>
        </is>
      </c>
      <c r="E196" t="inlineStr">
        <is>
          <t>ROBERTSFORS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28330-2025</t>
        </is>
      </c>
      <c r="B197" s="1" t="n">
        <v>45818.65878472223</v>
      </c>
      <c r="C197" s="1" t="n">
        <v>46168</v>
      </c>
      <c r="D197" t="inlineStr">
        <is>
          <t>VÄSTERBOTTENS LÄN</t>
        </is>
      </c>
      <c r="E197" t="inlineStr">
        <is>
          <t>ROBERTSFORS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39859-2025</t>
        </is>
      </c>
      <c r="B198" s="1" t="n">
        <v>45891.59393518518</v>
      </c>
      <c r="C198" s="1" t="n">
        <v>46168</v>
      </c>
      <c r="D198" t="inlineStr">
        <is>
          <t>VÄSTERBOTTENS LÄN</t>
        </is>
      </c>
      <c r="E198" t="inlineStr">
        <is>
          <t>ROBERTSFORS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49086-2023</t>
        </is>
      </c>
      <c r="B199" s="1" t="n">
        <v>45210</v>
      </c>
      <c r="C199" s="1" t="n">
        <v>46168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40375-2025</t>
        </is>
      </c>
      <c r="B200" s="1" t="n">
        <v>45895.52715277778</v>
      </c>
      <c r="C200" s="1" t="n">
        <v>46168</v>
      </c>
      <c r="D200" t="inlineStr">
        <is>
          <t>VÄSTERBOTTENS LÄN</t>
        </is>
      </c>
      <c r="E200" t="inlineStr">
        <is>
          <t>ROBERTSFORS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40638-2025</t>
        </is>
      </c>
      <c r="B201" s="1" t="n">
        <v>45896.60637731481</v>
      </c>
      <c r="C201" s="1" t="n">
        <v>46168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19315-2025</t>
        </is>
      </c>
      <c r="B202" s="1" t="n">
        <v>45769.5737037037</v>
      </c>
      <c r="C202" s="1" t="n">
        <v>46168</v>
      </c>
      <c r="D202" t="inlineStr">
        <is>
          <t>VÄSTERBOTTENS LÄN</t>
        </is>
      </c>
      <c r="E202" t="inlineStr">
        <is>
          <t>ROBERTSFORS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40260-2025</t>
        </is>
      </c>
      <c r="B203" s="1" t="n">
        <v>45895.3334837963</v>
      </c>
      <c r="C203" s="1" t="n">
        <v>46168</v>
      </c>
      <c r="D203" t="inlineStr">
        <is>
          <t>VÄSTERBOTTENS LÄN</t>
        </is>
      </c>
      <c r="E203" t="inlineStr">
        <is>
          <t>ROBERTSFORS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10337-2024</t>
        </is>
      </c>
      <c r="B204" s="1" t="n">
        <v>45365</v>
      </c>
      <c r="C204" s="1" t="n">
        <v>46168</v>
      </c>
      <c r="D204" t="inlineStr">
        <is>
          <t>VÄSTERBOTTENS LÄN</t>
        </is>
      </c>
      <c r="E204" t="inlineStr">
        <is>
          <t>ROBERTSFORS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29262-2025</t>
        </is>
      </c>
      <c r="B205" s="1" t="n">
        <v>45824.39509259259</v>
      </c>
      <c r="C205" s="1" t="n">
        <v>46168</v>
      </c>
      <c r="D205" t="inlineStr">
        <is>
          <t>VÄSTERBOTTENS LÄN</t>
        </is>
      </c>
      <c r="E205" t="inlineStr">
        <is>
          <t>ROBERTSFORS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29272-2025</t>
        </is>
      </c>
      <c r="B206" s="1" t="n">
        <v>45824.41008101852</v>
      </c>
      <c r="C206" s="1" t="n">
        <v>46168</v>
      </c>
      <c r="D206" t="inlineStr">
        <is>
          <t>VÄSTERBOTTENS LÄN</t>
        </is>
      </c>
      <c r="E206" t="inlineStr">
        <is>
          <t>ROBERTSFORS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41743-2025</t>
        </is>
      </c>
      <c r="B207" s="1" t="n">
        <v>45902.48045138889</v>
      </c>
      <c r="C207" s="1" t="n">
        <v>46168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29224-2025</t>
        </is>
      </c>
      <c r="B208" s="1" t="n">
        <v>45824.33494212963</v>
      </c>
      <c r="C208" s="1" t="n">
        <v>46168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36639-2024</t>
        </is>
      </c>
      <c r="B209" s="1" t="n">
        <v>45537.59991898148</v>
      </c>
      <c r="C209" s="1" t="n">
        <v>46168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29847-2025</t>
        </is>
      </c>
      <c r="B210" s="1" t="n">
        <v>45826.32677083334</v>
      </c>
      <c r="C210" s="1" t="n">
        <v>46168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155-2025</t>
        </is>
      </c>
      <c r="B211" s="1" t="n">
        <v>45659.61873842592</v>
      </c>
      <c r="C211" s="1" t="n">
        <v>46168</v>
      </c>
      <c r="D211" t="inlineStr">
        <is>
          <t>VÄSTERBOTTENS LÄN</t>
        </is>
      </c>
      <c r="E211" t="inlineStr">
        <is>
          <t>ROBERTSFORS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29939-2025</t>
        </is>
      </c>
      <c r="B212" s="1" t="n">
        <v>45826.45071759259</v>
      </c>
      <c r="C212" s="1" t="n">
        <v>46168</v>
      </c>
      <c r="D212" t="inlineStr">
        <is>
          <t>VÄSTERBOTTENS LÄN</t>
        </is>
      </c>
      <c r="E212" t="inlineStr">
        <is>
          <t>ROBERTSFORS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29616-2025</t>
        </is>
      </c>
      <c r="B213" s="1" t="n">
        <v>45825.43400462963</v>
      </c>
      <c r="C213" s="1" t="n">
        <v>46168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41529-2025</t>
        </is>
      </c>
      <c r="B214" s="1" t="n">
        <v>45901</v>
      </c>
      <c r="C214" s="1" t="n">
        <v>46168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42302-2025</t>
        </is>
      </c>
      <c r="B215" s="1" t="n">
        <v>45904.64270833333</v>
      </c>
      <c r="C215" s="1" t="n">
        <v>46168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22257-2023</t>
        </is>
      </c>
      <c r="B216" s="1" t="n">
        <v>45070</v>
      </c>
      <c r="C216" s="1" t="n">
        <v>46168</v>
      </c>
      <c r="D216" t="inlineStr">
        <is>
          <t>VÄSTERBOTTENS LÄN</t>
        </is>
      </c>
      <c r="E216" t="inlineStr">
        <is>
          <t>ROBERTSFORS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41898-2025</t>
        </is>
      </c>
      <c r="B217" s="1" t="n">
        <v>45903</v>
      </c>
      <c r="C217" s="1" t="n">
        <v>46168</v>
      </c>
      <c r="D217" t="inlineStr">
        <is>
          <t>VÄSTERBOTTENS LÄN</t>
        </is>
      </c>
      <c r="E217" t="inlineStr">
        <is>
          <t>ROBERTSFORS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41955-2025</t>
        </is>
      </c>
      <c r="B218" s="1" t="n">
        <v>45903</v>
      </c>
      <c r="C218" s="1" t="n">
        <v>46168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30344-2025</t>
        </is>
      </c>
      <c r="B219" s="1" t="n">
        <v>45827</v>
      </c>
      <c r="C219" s="1" t="n">
        <v>46168</v>
      </c>
      <c r="D219" t="inlineStr">
        <is>
          <t>VÄSTERBOTTENS LÄN</t>
        </is>
      </c>
      <c r="E219" t="inlineStr">
        <is>
          <t>ROBERTSFORS</t>
        </is>
      </c>
      <c r="G219" t="n">
        <v>22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17464-2025</t>
        </is>
      </c>
      <c r="B220" s="1" t="n">
        <v>45757.45982638889</v>
      </c>
      <c r="C220" s="1" t="n">
        <v>46168</v>
      </c>
      <c r="D220" t="inlineStr">
        <is>
          <t>VÄSTERBOTTENS LÄN</t>
        </is>
      </c>
      <c r="E220" t="inlineStr">
        <is>
          <t>ROBERTSFORS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14421-2025</t>
        </is>
      </c>
      <c r="B221" s="1" t="n">
        <v>45741</v>
      </c>
      <c r="C221" s="1" t="n">
        <v>46168</v>
      </c>
      <c r="D221" t="inlineStr">
        <is>
          <t>VÄSTERBOTTENS LÄN</t>
        </is>
      </c>
      <c r="E221" t="inlineStr">
        <is>
          <t>ROBERTSFORS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42265-2025</t>
        </is>
      </c>
      <c r="B222" s="1" t="n">
        <v>45904.59950231481</v>
      </c>
      <c r="C222" s="1" t="n">
        <v>46168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26791-2023</t>
        </is>
      </c>
      <c r="B223" s="1" t="n">
        <v>45090</v>
      </c>
      <c r="C223" s="1" t="n">
        <v>46168</v>
      </c>
      <c r="D223" t="inlineStr">
        <is>
          <t>VÄSTERBOTTENS LÄN</t>
        </is>
      </c>
      <c r="E223" t="inlineStr">
        <is>
          <t>ROBERTSFORS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59833-2022</t>
        </is>
      </c>
      <c r="B224" s="1" t="n">
        <v>44901</v>
      </c>
      <c r="C224" s="1" t="n">
        <v>46168</v>
      </c>
      <c r="D224" t="inlineStr">
        <is>
          <t>VÄSTERBOTTENS LÄN</t>
        </is>
      </c>
      <c r="E224" t="inlineStr">
        <is>
          <t>ROBERTSFORS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30913-2025</t>
        </is>
      </c>
      <c r="B225" s="1" t="n">
        <v>45832.37649305556</v>
      </c>
      <c r="C225" s="1" t="n">
        <v>46168</v>
      </c>
      <c r="D225" t="inlineStr">
        <is>
          <t>VÄSTERBOTTENS LÄN</t>
        </is>
      </c>
      <c r="E225" t="inlineStr">
        <is>
          <t>ROBERTSFORS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26437-2025</t>
        </is>
      </c>
      <c r="B226" s="1" t="n">
        <v>45807.40113425926</v>
      </c>
      <c r="C226" s="1" t="n">
        <v>46168</v>
      </c>
      <c r="D226" t="inlineStr">
        <is>
          <t>VÄSTERBOTTENS LÄN</t>
        </is>
      </c>
      <c r="E226" t="inlineStr">
        <is>
          <t>ROBERTSFORS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31045-2025</t>
        </is>
      </c>
      <c r="B227" s="1" t="n">
        <v>45832.55502314815</v>
      </c>
      <c r="C227" s="1" t="n">
        <v>46168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21143-2025</t>
        </is>
      </c>
      <c r="B228" s="1" t="n">
        <v>45779</v>
      </c>
      <c r="C228" s="1" t="n">
        <v>46168</v>
      </c>
      <c r="D228" t="inlineStr">
        <is>
          <t>VÄSTERBOTTENS LÄN</t>
        </is>
      </c>
      <c r="E228" t="inlineStr">
        <is>
          <t>ROBERTSFORS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31110-2025</t>
        </is>
      </c>
      <c r="B229" s="1" t="n">
        <v>45832.61085648148</v>
      </c>
      <c r="C229" s="1" t="n">
        <v>46168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19806-2024</t>
        </is>
      </c>
      <c r="B230" s="1" t="n">
        <v>45433</v>
      </c>
      <c r="C230" s="1" t="n">
        <v>46168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Sveaskog</t>
        </is>
      </c>
      <c r="G230" t="n">
        <v>19.5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58790-2022</t>
        </is>
      </c>
      <c r="B231" s="1" t="n">
        <v>44895</v>
      </c>
      <c r="C231" s="1" t="n">
        <v>46168</v>
      </c>
      <c r="D231" t="inlineStr">
        <is>
          <t>VÄSTERBOTTENS LÄN</t>
        </is>
      </c>
      <c r="E231" t="inlineStr">
        <is>
          <t>ROBERTSFORS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30790-2025</t>
        </is>
      </c>
      <c r="B232" s="1" t="n">
        <v>45831.63315972222</v>
      </c>
      <c r="C232" s="1" t="n">
        <v>46168</v>
      </c>
      <c r="D232" t="inlineStr">
        <is>
          <t>VÄSTERBOTTENS LÄN</t>
        </is>
      </c>
      <c r="E232" t="inlineStr">
        <is>
          <t>ROBERTSFORS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13026-2025</t>
        </is>
      </c>
      <c r="B233" s="1" t="n">
        <v>45734.5574537037</v>
      </c>
      <c r="C233" s="1" t="n">
        <v>46168</v>
      </c>
      <c r="D233" t="inlineStr">
        <is>
          <t>VÄSTERBOTTENS LÄN</t>
        </is>
      </c>
      <c r="E233" t="inlineStr">
        <is>
          <t>ROBERTSFORS</t>
        </is>
      </c>
      <c r="G233" t="n">
        <v>24.4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37482-2024</t>
        </is>
      </c>
      <c r="B234" s="1" t="n">
        <v>45541.33385416667</v>
      </c>
      <c r="C234" s="1" t="n">
        <v>46168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31912-2025</t>
        </is>
      </c>
      <c r="B235" s="1" t="n">
        <v>45834.70775462963</v>
      </c>
      <c r="C235" s="1" t="n">
        <v>46168</v>
      </c>
      <c r="D235" t="inlineStr">
        <is>
          <t>VÄSTERBOTTENS LÄN</t>
        </is>
      </c>
      <c r="E235" t="inlineStr">
        <is>
          <t>ROBERTSFORS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31287-2025</t>
        </is>
      </c>
      <c r="B236" s="1" t="n">
        <v>45833.35861111111</v>
      </c>
      <c r="C236" s="1" t="n">
        <v>46168</v>
      </c>
      <c r="D236" t="inlineStr">
        <is>
          <t>VÄSTERBOTTENS LÄN</t>
        </is>
      </c>
      <c r="E236" t="inlineStr">
        <is>
          <t>ROBERTSFORS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37357-2024</t>
        </is>
      </c>
      <c r="B237" s="1" t="n">
        <v>45540.54907407407</v>
      </c>
      <c r="C237" s="1" t="n">
        <v>46168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5937-2025</t>
        </is>
      </c>
      <c r="B238" s="1" t="n">
        <v>45695.45655092593</v>
      </c>
      <c r="C238" s="1" t="n">
        <v>46168</v>
      </c>
      <c r="D238" t="inlineStr">
        <is>
          <t>VÄSTERBOTTENS LÄN</t>
        </is>
      </c>
      <c r="E238" t="inlineStr">
        <is>
          <t>ROBERTSFORS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10188-2023</t>
        </is>
      </c>
      <c r="B239" s="1" t="n">
        <v>44980</v>
      </c>
      <c r="C239" s="1" t="n">
        <v>46168</v>
      </c>
      <c r="D239" t="inlineStr">
        <is>
          <t>VÄSTERBOTTENS LÄN</t>
        </is>
      </c>
      <c r="E239" t="inlineStr">
        <is>
          <t>ROBERTSFORS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58240-2023</t>
        </is>
      </c>
      <c r="B240" s="1" t="n">
        <v>45250.47113425926</v>
      </c>
      <c r="C240" s="1" t="n">
        <v>46168</v>
      </c>
      <c r="D240" t="inlineStr">
        <is>
          <t>VÄSTERBOTTENS LÄN</t>
        </is>
      </c>
      <c r="E240" t="inlineStr">
        <is>
          <t>ROBERTSFORS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32158-2025</t>
        </is>
      </c>
      <c r="B241" s="1" t="n">
        <v>45835.53893518518</v>
      </c>
      <c r="C241" s="1" t="n">
        <v>46168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43268-2025</t>
        </is>
      </c>
      <c r="B242" s="1" t="n">
        <v>45910.57907407408</v>
      </c>
      <c r="C242" s="1" t="n">
        <v>46168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43285-2025</t>
        </is>
      </c>
      <c r="B243" s="1" t="n">
        <v>45910.60444444444</v>
      </c>
      <c r="C243" s="1" t="n">
        <v>46168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32499-2025</t>
        </is>
      </c>
      <c r="B244" s="1" t="n">
        <v>45838.45792824074</v>
      </c>
      <c r="C244" s="1" t="n">
        <v>46168</v>
      </c>
      <c r="D244" t="inlineStr">
        <is>
          <t>VÄSTERBOTTENS LÄN</t>
        </is>
      </c>
      <c r="E244" t="inlineStr">
        <is>
          <t>ROBERTSFORS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43048-2025</t>
        </is>
      </c>
      <c r="B245" s="1" t="n">
        <v>45909.56289351852</v>
      </c>
      <c r="C245" s="1" t="n">
        <v>46168</v>
      </c>
      <c r="D245" t="inlineStr">
        <is>
          <t>VÄSTERBOTTENS LÄN</t>
        </is>
      </c>
      <c r="E245" t="inlineStr">
        <is>
          <t>ROBERTSFORS</t>
        </is>
      </c>
      <c r="G245" t="n">
        <v>12.7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32263-2025</t>
        </is>
      </c>
      <c r="B246" s="1" t="n">
        <v>45835</v>
      </c>
      <c r="C246" s="1" t="n">
        <v>46168</v>
      </c>
      <c r="D246" t="inlineStr">
        <is>
          <t>VÄSTERBOTTENS LÄN</t>
        </is>
      </c>
      <c r="E246" t="inlineStr">
        <is>
          <t>ROBERTSFORS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34029-2023</t>
        </is>
      </c>
      <c r="B247" s="1" t="n">
        <v>45135</v>
      </c>
      <c r="C247" s="1" t="n">
        <v>46168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32163-2025</t>
        </is>
      </c>
      <c r="B248" s="1" t="n">
        <v>45835</v>
      </c>
      <c r="C248" s="1" t="n">
        <v>46168</v>
      </c>
      <c r="D248" t="inlineStr">
        <is>
          <t>VÄSTERBOTTENS LÄN</t>
        </is>
      </c>
      <c r="E248" t="inlineStr">
        <is>
          <t>ROBERTSFORS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32170-2025</t>
        </is>
      </c>
      <c r="B249" s="1" t="n">
        <v>45835</v>
      </c>
      <c r="C249" s="1" t="n">
        <v>46168</v>
      </c>
      <c r="D249" t="inlineStr">
        <is>
          <t>VÄSTERBOTTENS LÄN</t>
        </is>
      </c>
      <c r="E249" t="inlineStr">
        <is>
          <t>ROBERTSFORS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27557-2024</t>
        </is>
      </c>
      <c r="B250" s="1" t="n">
        <v>45474.62798611111</v>
      </c>
      <c r="C250" s="1" t="n">
        <v>46168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43841-2025</t>
        </is>
      </c>
      <c r="B251" s="1" t="n">
        <v>45912.63537037037</v>
      </c>
      <c r="C251" s="1" t="n">
        <v>46168</v>
      </c>
      <c r="D251" t="inlineStr">
        <is>
          <t>VÄSTERBOTTENS LÄN</t>
        </is>
      </c>
      <c r="E251" t="inlineStr">
        <is>
          <t>ROBERTSFORS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54344-2024</t>
        </is>
      </c>
      <c r="B252" s="1" t="n">
        <v>45617.39003472222</v>
      </c>
      <c r="C252" s="1" t="n">
        <v>46168</v>
      </c>
      <c r="D252" t="inlineStr">
        <is>
          <t>VÄSTERBOTTENS LÄN</t>
        </is>
      </c>
      <c r="E252" t="inlineStr">
        <is>
          <t>ROBERTSFORS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54395-2024</t>
        </is>
      </c>
      <c r="B253" s="1" t="n">
        <v>45617.4600462963</v>
      </c>
      <c r="C253" s="1" t="n">
        <v>46168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32876-2023</t>
        </is>
      </c>
      <c r="B254" s="1" t="n">
        <v>45124</v>
      </c>
      <c r="C254" s="1" t="n">
        <v>46168</v>
      </c>
      <c r="D254" t="inlineStr">
        <is>
          <t>VÄSTERBOTTENS LÄN</t>
        </is>
      </c>
      <c r="E254" t="inlineStr">
        <is>
          <t>ROBERTSFORS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32773-2025</t>
        </is>
      </c>
      <c r="B255" s="1" t="n">
        <v>45839.46233796296</v>
      </c>
      <c r="C255" s="1" t="n">
        <v>46168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32814-2025</t>
        </is>
      </c>
      <c r="B256" s="1" t="n">
        <v>45839.5271875</v>
      </c>
      <c r="C256" s="1" t="n">
        <v>46168</v>
      </c>
      <c r="D256" t="inlineStr">
        <is>
          <t>VÄSTERBOTTENS LÄN</t>
        </is>
      </c>
      <c r="E256" t="inlineStr">
        <is>
          <t>ROBERTSFORS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43799-2025</t>
        </is>
      </c>
      <c r="B257" s="1" t="n">
        <v>45912</v>
      </c>
      <c r="C257" s="1" t="n">
        <v>46168</v>
      </c>
      <c r="D257" t="inlineStr">
        <is>
          <t>VÄSTERBOTTENS LÄN</t>
        </is>
      </c>
      <c r="E257" t="inlineStr">
        <is>
          <t>ROBERTSFORS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43826-2025</t>
        </is>
      </c>
      <c r="B258" s="1" t="n">
        <v>45912.62055555556</v>
      </c>
      <c r="C258" s="1" t="n">
        <v>46168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32820-2025</t>
        </is>
      </c>
      <c r="B259" s="1" t="n">
        <v>45839.53807870371</v>
      </c>
      <c r="C259" s="1" t="n">
        <v>46168</v>
      </c>
      <c r="D259" t="inlineStr">
        <is>
          <t>VÄSTERBOTTENS LÄN</t>
        </is>
      </c>
      <c r="E259" t="inlineStr">
        <is>
          <t>ROBERTSFORS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32828-2025</t>
        </is>
      </c>
      <c r="B260" s="1" t="n">
        <v>45839.54767361111</v>
      </c>
      <c r="C260" s="1" t="n">
        <v>46168</v>
      </c>
      <c r="D260" t="inlineStr">
        <is>
          <t>VÄSTERBOTTENS LÄN</t>
        </is>
      </c>
      <c r="E260" t="inlineStr">
        <is>
          <t>ROBERTSFORS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32843-2025</t>
        </is>
      </c>
      <c r="B261" s="1" t="n">
        <v>45839.57009259259</v>
      </c>
      <c r="C261" s="1" t="n">
        <v>46168</v>
      </c>
      <c r="D261" t="inlineStr">
        <is>
          <t>VÄSTERBOTTENS LÄN</t>
        </is>
      </c>
      <c r="E261" t="inlineStr">
        <is>
          <t>ROBERTSFORS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32823-2025</t>
        </is>
      </c>
      <c r="B262" s="1" t="n">
        <v>45839.54072916666</v>
      </c>
      <c r="C262" s="1" t="n">
        <v>46168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32826-2025</t>
        </is>
      </c>
      <c r="B263" s="1" t="n">
        <v>45839.54482638889</v>
      </c>
      <c r="C263" s="1" t="n">
        <v>46168</v>
      </c>
      <c r="D263" t="inlineStr">
        <is>
          <t>VÄSTERBOTTENS LÄN</t>
        </is>
      </c>
      <c r="E263" t="inlineStr">
        <is>
          <t>ROBERTSFORS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32801-2025</t>
        </is>
      </c>
      <c r="B264" s="1" t="n">
        <v>45839.49627314815</v>
      </c>
      <c r="C264" s="1" t="n">
        <v>46168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44130-2025</t>
        </is>
      </c>
      <c r="B265" s="1" t="n">
        <v>45915.58412037037</v>
      </c>
      <c r="C265" s="1" t="n">
        <v>46168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4227-2023</t>
        </is>
      </c>
      <c r="B266" s="1" t="n">
        <v>44953.47570601852</v>
      </c>
      <c r="C266" s="1" t="n">
        <v>46168</v>
      </c>
      <c r="D266" t="inlineStr">
        <is>
          <t>VÄSTERBOTTENS LÄN</t>
        </is>
      </c>
      <c r="E266" t="inlineStr">
        <is>
          <t>ROBERTSFORS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33368-2025</t>
        </is>
      </c>
      <c r="B267" s="1" t="n">
        <v>45841.38987268518</v>
      </c>
      <c r="C267" s="1" t="n">
        <v>46168</v>
      </c>
      <c r="D267" t="inlineStr">
        <is>
          <t>VÄSTERBOTTENS LÄN</t>
        </is>
      </c>
      <c r="E267" t="inlineStr">
        <is>
          <t>ROBERTSFORS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33301-2025</t>
        </is>
      </c>
      <c r="B268" s="1" t="n">
        <v>45841.28633101852</v>
      </c>
      <c r="C268" s="1" t="n">
        <v>46168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44731-2025</t>
        </is>
      </c>
      <c r="B269" s="1" t="n">
        <v>45917.653125</v>
      </c>
      <c r="C269" s="1" t="n">
        <v>46168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33375-2025</t>
        </is>
      </c>
      <c r="B270" s="1" t="n">
        <v>45841.39737268518</v>
      </c>
      <c r="C270" s="1" t="n">
        <v>46168</v>
      </c>
      <c r="D270" t="inlineStr">
        <is>
          <t>VÄSTERBOTTENS LÄN</t>
        </is>
      </c>
      <c r="E270" t="inlineStr">
        <is>
          <t>ROBERTSFORS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977-2022</t>
        </is>
      </c>
      <c r="B271" s="1" t="n">
        <v>44571</v>
      </c>
      <c r="C271" s="1" t="n">
        <v>46168</v>
      </c>
      <c r="D271" t="inlineStr">
        <is>
          <t>VÄSTERBOTTENS LÄN</t>
        </is>
      </c>
      <c r="E271" t="inlineStr">
        <is>
          <t>ROBERTSFORS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59549-2023</t>
        </is>
      </c>
      <c r="B272" s="1" t="n">
        <v>45253</v>
      </c>
      <c r="C272" s="1" t="n">
        <v>46168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47420-2024</t>
        </is>
      </c>
      <c r="B273" s="1" t="n">
        <v>45587</v>
      </c>
      <c r="C273" s="1" t="n">
        <v>46168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SCA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44979-2025</t>
        </is>
      </c>
      <c r="B274" s="1" t="n">
        <v>45918.64709490741</v>
      </c>
      <c r="C274" s="1" t="n">
        <v>46168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44965-2025</t>
        </is>
      </c>
      <c r="B275" s="1" t="n">
        <v>45918.62368055555</v>
      </c>
      <c r="C275" s="1" t="n">
        <v>46168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31736-2024</t>
        </is>
      </c>
      <c r="B276" s="1" t="n">
        <v>45509.37478009259</v>
      </c>
      <c r="C276" s="1" t="n">
        <v>46168</v>
      </c>
      <c r="D276" t="inlineStr">
        <is>
          <t>VÄSTERBOTTENS LÄN</t>
        </is>
      </c>
      <c r="E276" t="inlineStr">
        <is>
          <t>ROBERTSFORS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45267-2025</t>
        </is>
      </c>
      <c r="B277" s="1" t="n">
        <v>45919.66621527778</v>
      </c>
      <c r="C277" s="1" t="n">
        <v>46168</v>
      </c>
      <c r="D277" t="inlineStr">
        <is>
          <t>VÄSTERBOTTENS LÄN</t>
        </is>
      </c>
      <c r="E277" t="inlineStr">
        <is>
          <t>ROBERTSFORS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31737-2024</t>
        </is>
      </c>
      <c r="B278" s="1" t="n">
        <v>45509.37478009259</v>
      </c>
      <c r="C278" s="1" t="n">
        <v>46168</v>
      </c>
      <c r="D278" t="inlineStr">
        <is>
          <t>VÄSTERBOTTENS LÄN</t>
        </is>
      </c>
      <c r="E278" t="inlineStr">
        <is>
          <t>ROBERTSFORS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28688-2025</t>
        </is>
      </c>
      <c r="B279" s="1" t="n">
        <v>45819</v>
      </c>
      <c r="C279" s="1" t="n">
        <v>46168</v>
      </c>
      <c r="D279" t="inlineStr">
        <is>
          <t>VÄSTERBOTTENS LÄN</t>
        </is>
      </c>
      <c r="E279" t="inlineStr">
        <is>
          <t>ROBERTSFORS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28237-2021</t>
        </is>
      </c>
      <c r="B280" s="1" t="n">
        <v>44355.66364583333</v>
      </c>
      <c r="C280" s="1" t="n">
        <v>46168</v>
      </c>
      <c r="D280" t="inlineStr">
        <is>
          <t>VÄSTERBOTTENS LÄN</t>
        </is>
      </c>
      <c r="E280" t="inlineStr">
        <is>
          <t>ROBERTSFORS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15879-2024</t>
        </is>
      </c>
      <c r="B281" s="1" t="n">
        <v>45405</v>
      </c>
      <c r="C281" s="1" t="n">
        <v>46168</v>
      </c>
      <c r="D281" t="inlineStr">
        <is>
          <t>VÄSTERBOTTENS LÄN</t>
        </is>
      </c>
      <c r="E281" t="inlineStr">
        <is>
          <t>ROBERTSFORS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45499-2025</t>
        </is>
      </c>
      <c r="B282" s="1" t="n">
        <v>45922.56931712963</v>
      </c>
      <c r="C282" s="1" t="n">
        <v>46168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34755-2025</t>
        </is>
      </c>
      <c r="B283" s="1" t="n">
        <v>45848.62711805556</v>
      </c>
      <c r="C283" s="1" t="n">
        <v>46168</v>
      </c>
      <c r="D283" t="inlineStr">
        <is>
          <t>VÄSTERBOTTENS LÄN</t>
        </is>
      </c>
      <c r="E283" t="inlineStr">
        <is>
          <t>ROBERTSFORS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46168-2025</t>
        </is>
      </c>
      <c r="B284" s="1" t="n">
        <v>45924.64480324074</v>
      </c>
      <c r="C284" s="1" t="n">
        <v>46168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59877-2022</t>
        </is>
      </c>
      <c r="B285" s="1" t="n">
        <v>44901</v>
      </c>
      <c r="C285" s="1" t="n">
        <v>46168</v>
      </c>
      <c r="D285" t="inlineStr">
        <is>
          <t>VÄSTERBOTTENS LÄN</t>
        </is>
      </c>
      <c r="E285" t="inlineStr">
        <is>
          <t>ROBERTSFORS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34740-2025</t>
        </is>
      </c>
      <c r="B286" s="1" t="n">
        <v>45848.60824074074</v>
      </c>
      <c r="C286" s="1" t="n">
        <v>46168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14.7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15294-2023</t>
        </is>
      </c>
      <c r="B287" s="1" t="n">
        <v>45019</v>
      </c>
      <c r="C287" s="1" t="n">
        <v>46168</v>
      </c>
      <c r="D287" t="inlineStr">
        <is>
          <t>VÄSTERBOTTENS LÄN</t>
        </is>
      </c>
      <c r="E287" t="inlineStr">
        <is>
          <t>ROBERTSFORS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52834-2024</t>
        </is>
      </c>
      <c r="B288" s="1" t="n">
        <v>45610.59465277778</v>
      </c>
      <c r="C288" s="1" t="n">
        <v>46168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SCA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35125-2025</t>
        </is>
      </c>
      <c r="B289" s="1" t="n">
        <v>45852.61484953704</v>
      </c>
      <c r="C289" s="1" t="n">
        <v>46168</v>
      </c>
      <c r="D289" t="inlineStr">
        <is>
          <t>VÄSTERBOTTENS LÄN</t>
        </is>
      </c>
      <c r="E289" t="inlineStr">
        <is>
          <t>ROBERTSFORS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35224-2025</t>
        </is>
      </c>
      <c r="B290" s="1" t="n">
        <v>45853.57020833333</v>
      </c>
      <c r="C290" s="1" t="n">
        <v>46168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46647-2025</t>
        </is>
      </c>
      <c r="B291" s="1" t="n">
        <v>45926.47561342592</v>
      </c>
      <c r="C291" s="1" t="n">
        <v>46168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43946-2024</t>
        </is>
      </c>
      <c r="B292" s="1" t="n">
        <v>45572</v>
      </c>
      <c r="C292" s="1" t="n">
        <v>46168</v>
      </c>
      <c r="D292" t="inlineStr">
        <is>
          <t>VÄSTERBOTTENS LÄN</t>
        </is>
      </c>
      <c r="E292" t="inlineStr">
        <is>
          <t>ROBERTSFORS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19378-2023</t>
        </is>
      </c>
      <c r="B293" s="1" t="n">
        <v>45049</v>
      </c>
      <c r="C293" s="1" t="n">
        <v>46168</v>
      </c>
      <c r="D293" t="inlineStr">
        <is>
          <t>VÄSTERBOTTENS LÄN</t>
        </is>
      </c>
      <c r="E293" t="inlineStr">
        <is>
          <t>ROBERTSFORS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35565-2025</t>
        </is>
      </c>
      <c r="B294" s="1" t="n">
        <v>45856.55130787037</v>
      </c>
      <c r="C294" s="1" t="n">
        <v>46168</v>
      </c>
      <c r="D294" t="inlineStr">
        <is>
          <t>VÄSTERBOTTENS LÄN</t>
        </is>
      </c>
      <c r="E294" t="inlineStr">
        <is>
          <t>ROBERTSFORS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35553-2025</t>
        </is>
      </c>
      <c r="B295" s="1" t="n">
        <v>45856.50510416667</v>
      </c>
      <c r="C295" s="1" t="n">
        <v>46168</v>
      </c>
      <c r="D295" t="inlineStr">
        <is>
          <t>VÄSTERBOTTENS LÄN</t>
        </is>
      </c>
      <c r="E295" t="inlineStr">
        <is>
          <t>ROBERTSFORS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15484-2023</t>
        </is>
      </c>
      <c r="B296" s="1" t="n">
        <v>45020</v>
      </c>
      <c r="C296" s="1" t="n">
        <v>46168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35562-2025</t>
        </is>
      </c>
      <c r="B297" s="1" t="n">
        <v>45856.54179398148</v>
      </c>
      <c r="C297" s="1" t="n">
        <v>46168</v>
      </c>
      <c r="D297" t="inlineStr">
        <is>
          <t>VÄSTERBOTTENS LÄN</t>
        </is>
      </c>
      <c r="E297" t="inlineStr">
        <is>
          <t>ROBERTSFORS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35560-2025</t>
        </is>
      </c>
      <c r="B298" s="1" t="n">
        <v>45856.53145833333</v>
      </c>
      <c r="C298" s="1" t="n">
        <v>46168</v>
      </c>
      <c r="D298" t="inlineStr">
        <is>
          <t>VÄSTERBOTTENS LÄN</t>
        </is>
      </c>
      <c r="E298" t="inlineStr">
        <is>
          <t>ROBERTSFORS</t>
        </is>
      </c>
      <c r="G298" t="n">
        <v>13.1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35543-2025</t>
        </is>
      </c>
      <c r="B299" s="1" t="n">
        <v>45856.47466435185</v>
      </c>
      <c r="C299" s="1" t="n">
        <v>46168</v>
      </c>
      <c r="D299" t="inlineStr">
        <is>
          <t>VÄSTERBOTTENS LÄN</t>
        </is>
      </c>
      <c r="E299" t="inlineStr">
        <is>
          <t>ROBERTSFORS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35547-2025</t>
        </is>
      </c>
      <c r="B300" s="1" t="n">
        <v>45856.48679398148</v>
      </c>
      <c r="C300" s="1" t="n">
        <v>46168</v>
      </c>
      <c r="D300" t="inlineStr">
        <is>
          <t>VÄSTERBOTTENS LÄN</t>
        </is>
      </c>
      <c r="E300" t="inlineStr">
        <is>
          <t>ROBERTSFORS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22656-2024</t>
        </is>
      </c>
      <c r="B301" s="1" t="n">
        <v>45447</v>
      </c>
      <c r="C301" s="1" t="n">
        <v>46168</v>
      </c>
      <c r="D301" t="inlineStr">
        <is>
          <t>VÄSTERBOTTENS LÄN</t>
        </is>
      </c>
      <c r="E301" t="inlineStr">
        <is>
          <t>ROBERTSFORS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54365-2024</t>
        </is>
      </c>
      <c r="B302" s="1" t="n">
        <v>45617.41984953704</v>
      </c>
      <c r="C302" s="1" t="n">
        <v>46168</v>
      </c>
      <c r="D302" t="inlineStr">
        <is>
          <t>VÄSTERBOTTENS LÄN</t>
        </is>
      </c>
      <c r="E302" t="inlineStr">
        <is>
          <t>ROBERTSFORS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28906-2024</t>
        </is>
      </c>
      <c r="B303" s="1" t="n">
        <v>45480.57652777778</v>
      </c>
      <c r="C303" s="1" t="n">
        <v>46168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22782-2025</t>
        </is>
      </c>
      <c r="B304" s="1" t="n">
        <v>45789.63767361111</v>
      </c>
      <c r="C304" s="1" t="n">
        <v>46168</v>
      </c>
      <c r="D304" t="inlineStr">
        <is>
          <t>VÄSTERBOTTENS LÄN</t>
        </is>
      </c>
      <c r="E304" t="inlineStr">
        <is>
          <t>ROBERTSFORS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47409-2025</t>
        </is>
      </c>
      <c r="B305" s="1" t="n">
        <v>45930.61439814815</v>
      </c>
      <c r="C305" s="1" t="n">
        <v>46168</v>
      </c>
      <c r="D305" t="inlineStr">
        <is>
          <t>VÄSTERBOTTENS LÄN</t>
        </is>
      </c>
      <c r="E305" t="inlineStr">
        <is>
          <t>ROBERTSFORS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34844-2023</t>
        </is>
      </c>
      <c r="B306" s="1" t="n">
        <v>45141.93166666666</v>
      </c>
      <c r="C306" s="1" t="n">
        <v>46168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64625-2023</t>
        </is>
      </c>
      <c r="B307" s="1" t="n">
        <v>45281.53866898148</v>
      </c>
      <c r="C307" s="1" t="n">
        <v>46168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26372-2024</t>
        </is>
      </c>
      <c r="B308" s="1" t="n">
        <v>45468</v>
      </c>
      <c r="C308" s="1" t="n">
        <v>46168</v>
      </c>
      <c r="D308" t="inlineStr">
        <is>
          <t>VÄSTERBOTTENS LÄN</t>
        </is>
      </c>
      <c r="E308" t="inlineStr">
        <is>
          <t>ROBERTSFORS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27852-2024</t>
        </is>
      </c>
      <c r="B309" s="1" t="n">
        <v>45475</v>
      </c>
      <c r="C309" s="1" t="n">
        <v>46168</v>
      </c>
      <c r="D309" t="inlineStr">
        <is>
          <t>VÄSTERBOTTENS LÄN</t>
        </is>
      </c>
      <c r="E309" t="inlineStr">
        <is>
          <t>ROBERTSFORS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47413-2025</t>
        </is>
      </c>
      <c r="B310" s="1" t="n">
        <v>45930.61894675926</v>
      </c>
      <c r="C310" s="1" t="n">
        <v>46168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46156-2024</t>
        </is>
      </c>
      <c r="B311" s="1" t="n">
        <v>45581.45914351852</v>
      </c>
      <c r="C311" s="1" t="n">
        <v>46168</v>
      </c>
      <c r="D311" t="inlineStr">
        <is>
          <t>VÄSTERBOTTENS LÄN</t>
        </is>
      </c>
      <c r="E311" t="inlineStr">
        <is>
          <t>ROBERTSFORS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3018-2023</t>
        </is>
      </c>
      <c r="B312" s="1" t="n">
        <v>44945.92484953703</v>
      </c>
      <c r="C312" s="1" t="n">
        <v>46168</v>
      </c>
      <c r="D312" t="inlineStr">
        <is>
          <t>VÄSTERBOTTENS LÄN</t>
        </is>
      </c>
      <c r="E312" t="inlineStr">
        <is>
          <t>ROBERTSFORS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52833-2024</t>
        </is>
      </c>
      <c r="B313" s="1" t="n">
        <v>45610.59439814815</v>
      </c>
      <c r="C313" s="1" t="n">
        <v>46168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SCA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36703-2023</t>
        </is>
      </c>
      <c r="B314" s="1" t="n">
        <v>45153</v>
      </c>
      <c r="C314" s="1" t="n">
        <v>46168</v>
      </c>
      <c r="D314" t="inlineStr">
        <is>
          <t>VÄSTERBOTTENS LÄN</t>
        </is>
      </c>
      <c r="E314" t="inlineStr">
        <is>
          <t>ROBERTSFORS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47437-2025</t>
        </is>
      </c>
      <c r="B315" s="1" t="n">
        <v>45930.63690972222</v>
      </c>
      <c r="C315" s="1" t="n">
        <v>46168</v>
      </c>
      <c r="D315" t="inlineStr">
        <is>
          <t>VÄSTERBOTTENS LÄN</t>
        </is>
      </c>
      <c r="E315" t="inlineStr">
        <is>
          <t>ROBERTSFORS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46969-2025</t>
        </is>
      </c>
      <c r="B316" s="1" t="n">
        <v>45929.50489583334</v>
      </c>
      <c r="C316" s="1" t="n">
        <v>46168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36139-2023</t>
        </is>
      </c>
      <c r="B317" s="1" t="n">
        <v>45149.5874537037</v>
      </c>
      <c r="C317" s="1" t="n">
        <v>46168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27586-2024</t>
        </is>
      </c>
      <c r="B318" s="1" t="n">
        <v>45474.66497685185</v>
      </c>
      <c r="C318" s="1" t="n">
        <v>46168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46980-2025</t>
        </is>
      </c>
      <c r="B319" s="1" t="n">
        <v>45929.52806712963</v>
      </c>
      <c r="C319" s="1" t="n">
        <v>46168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57646-2023</t>
        </is>
      </c>
      <c r="B320" s="1" t="n">
        <v>45246.59564814815</v>
      </c>
      <c r="C320" s="1" t="n">
        <v>46168</v>
      </c>
      <c r="D320" t="inlineStr">
        <is>
          <t>VÄSTERBOTTENS LÄN</t>
        </is>
      </c>
      <c r="E320" t="inlineStr">
        <is>
          <t>ROBERTSFORS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34771-2024</t>
        </is>
      </c>
      <c r="B321" s="1" t="n">
        <v>45526.62267361111</v>
      </c>
      <c r="C321" s="1" t="n">
        <v>46168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36594-2025</t>
        </is>
      </c>
      <c r="B322" s="1" t="n">
        <v>45870.51164351852</v>
      </c>
      <c r="C322" s="1" t="n">
        <v>46168</v>
      </c>
      <c r="D322" t="inlineStr">
        <is>
          <t>VÄSTERBOTTENS LÄN</t>
        </is>
      </c>
      <c r="E322" t="inlineStr">
        <is>
          <t>ROBERTSFORS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24899-2024</t>
        </is>
      </c>
      <c r="B323" s="1" t="n">
        <v>45461.58384259259</v>
      </c>
      <c r="C323" s="1" t="n">
        <v>46168</v>
      </c>
      <c r="D323" t="inlineStr">
        <is>
          <t>VÄSTERBOTTENS LÄN</t>
        </is>
      </c>
      <c r="E323" t="inlineStr">
        <is>
          <t>ROBERTSFORS</t>
        </is>
      </c>
      <c r="G323" t="n">
        <v>14.3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24468-2024</t>
        </is>
      </c>
      <c r="B324" s="1" t="n">
        <v>45458</v>
      </c>
      <c r="C324" s="1" t="n">
        <v>46168</v>
      </c>
      <c r="D324" t="inlineStr">
        <is>
          <t>VÄSTERBOTTENS LÄN</t>
        </is>
      </c>
      <c r="E324" t="inlineStr">
        <is>
          <t>ROBERTSFORS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23647-2024</t>
        </is>
      </c>
      <c r="B325" s="1" t="n">
        <v>45454.51224537037</v>
      </c>
      <c r="C325" s="1" t="n">
        <v>46168</v>
      </c>
      <c r="D325" t="inlineStr">
        <is>
          <t>VÄSTERBOTTENS LÄN</t>
        </is>
      </c>
      <c r="E325" t="inlineStr">
        <is>
          <t>ROBERTSFORS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58715-2022</t>
        </is>
      </c>
      <c r="B326" s="1" t="n">
        <v>44902.92510416666</v>
      </c>
      <c r="C326" s="1" t="n">
        <v>46168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36813-2025</t>
        </is>
      </c>
      <c r="B327" s="1" t="n">
        <v>45873</v>
      </c>
      <c r="C327" s="1" t="n">
        <v>46168</v>
      </c>
      <c r="D327" t="inlineStr">
        <is>
          <t>VÄSTERBOTTENS LÄN</t>
        </is>
      </c>
      <c r="E327" t="inlineStr">
        <is>
          <t>ROBERTSFORS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45846-2024</t>
        </is>
      </c>
      <c r="B328" s="1" t="n">
        <v>45580.31106481481</v>
      </c>
      <c r="C328" s="1" t="n">
        <v>46168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36712-2025</t>
        </is>
      </c>
      <c r="B329" s="1" t="n">
        <v>45873.46689814814</v>
      </c>
      <c r="C329" s="1" t="n">
        <v>46168</v>
      </c>
      <c r="D329" t="inlineStr">
        <is>
          <t>VÄSTERBOTTENS LÄN</t>
        </is>
      </c>
      <c r="E329" t="inlineStr">
        <is>
          <t>ROBERTSFORS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49146-2022</t>
        </is>
      </c>
      <c r="B330" s="1" t="n">
        <v>44860</v>
      </c>
      <c r="C330" s="1" t="n">
        <v>46168</v>
      </c>
      <c r="D330" t="inlineStr">
        <is>
          <t>VÄSTERBOTTENS LÄN</t>
        </is>
      </c>
      <c r="E330" t="inlineStr">
        <is>
          <t>ROBERTSFORS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73557-2021</t>
        </is>
      </c>
      <c r="B331" s="1" t="n">
        <v>44551.9203125</v>
      </c>
      <c r="C331" s="1" t="n">
        <v>46168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39437-2024</t>
        </is>
      </c>
      <c r="B332" s="1" t="n">
        <v>45551</v>
      </c>
      <c r="C332" s="1" t="n">
        <v>46168</v>
      </c>
      <c r="D332" t="inlineStr">
        <is>
          <t>VÄSTERBOTTENS LÄN</t>
        </is>
      </c>
      <c r="E332" t="inlineStr">
        <is>
          <t>ROBERTSFORS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36818-2025</t>
        </is>
      </c>
      <c r="B333" s="1" t="n">
        <v>45873.78482638889</v>
      </c>
      <c r="C333" s="1" t="n">
        <v>46168</v>
      </c>
      <c r="D333" t="inlineStr">
        <is>
          <t>VÄSTERBOTTENS LÄN</t>
        </is>
      </c>
      <c r="E333" t="inlineStr">
        <is>
          <t>ROBERTSFORS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29622-2024</t>
        </is>
      </c>
      <c r="B334" s="1" t="n">
        <v>45484.65622685185</v>
      </c>
      <c r="C334" s="1" t="n">
        <v>46168</v>
      </c>
      <c r="D334" t="inlineStr">
        <is>
          <t>VÄSTERBOTTENS LÄN</t>
        </is>
      </c>
      <c r="E334" t="inlineStr">
        <is>
          <t>ROBERTSFORS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36720-2025</t>
        </is>
      </c>
      <c r="B335" s="1" t="n">
        <v>45873.47204861111</v>
      </c>
      <c r="C335" s="1" t="n">
        <v>46168</v>
      </c>
      <c r="D335" t="inlineStr">
        <is>
          <t>VÄSTERBOTTENS LÄN</t>
        </is>
      </c>
      <c r="E335" t="inlineStr">
        <is>
          <t>ROBERTSFORS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36651-2025</t>
        </is>
      </c>
      <c r="B336" s="1" t="n">
        <v>45872.63649305556</v>
      </c>
      <c r="C336" s="1" t="n">
        <v>46168</v>
      </c>
      <c r="D336" t="inlineStr">
        <is>
          <t>VÄSTERBOTTENS LÄN</t>
        </is>
      </c>
      <c r="E336" t="inlineStr">
        <is>
          <t>ROBERTSFORS</t>
        </is>
      </c>
      <c r="G336" t="n">
        <v>14.4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31058-2024</t>
        </is>
      </c>
      <c r="B337" s="1" t="n">
        <v>45502</v>
      </c>
      <c r="C337" s="1" t="n">
        <v>46168</v>
      </c>
      <c r="D337" t="inlineStr">
        <is>
          <t>VÄSTERBOTTENS LÄN</t>
        </is>
      </c>
      <c r="E337" t="inlineStr">
        <is>
          <t>ROBERTSFORS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31059-2024</t>
        </is>
      </c>
      <c r="B338" s="1" t="n">
        <v>45502</v>
      </c>
      <c r="C338" s="1" t="n">
        <v>46168</v>
      </c>
      <c r="D338" t="inlineStr">
        <is>
          <t>VÄSTERBOTTENS LÄN</t>
        </is>
      </c>
      <c r="E338" t="inlineStr">
        <is>
          <t>ROBERTSFORS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48344-2025</t>
        </is>
      </c>
      <c r="B339" s="1" t="n">
        <v>45933.64456018519</v>
      </c>
      <c r="C339" s="1" t="n">
        <v>46168</v>
      </c>
      <c r="D339" t="inlineStr">
        <is>
          <t>VÄSTERBOTTENS LÄN</t>
        </is>
      </c>
      <c r="E339" t="inlineStr">
        <is>
          <t>ROBERTSFORS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48110-2025</t>
        </is>
      </c>
      <c r="B340" s="1" t="n">
        <v>45933.34513888889</v>
      </c>
      <c r="C340" s="1" t="n">
        <v>46168</v>
      </c>
      <c r="D340" t="inlineStr">
        <is>
          <t>VÄSTERBOTTENS LÄN</t>
        </is>
      </c>
      <c r="E340" t="inlineStr">
        <is>
          <t>ROBERTSFORS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35149-2023</t>
        </is>
      </c>
      <c r="B341" s="1" t="n">
        <v>45145.55239583334</v>
      </c>
      <c r="C341" s="1" t="n">
        <v>46168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8753-2025</t>
        </is>
      </c>
      <c r="B342" s="1" t="n">
        <v>45712</v>
      </c>
      <c r="C342" s="1" t="n">
        <v>46168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Kommuner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18533-2023</t>
        </is>
      </c>
      <c r="B343" s="1" t="n">
        <v>45041</v>
      </c>
      <c r="C343" s="1" t="n">
        <v>46168</v>
      </c>
      <c r="D343" t="inlineStr">
        <is>
          <t>VÄSTERBOTTENS LÄN</t>
        </is>
      </c>
      <c r="E343" t="inlineStr">
        <is>
          <t>ROBERTSFORS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34821-2023</t>
        </is>
      </c>
      <c r="B344" s="1" t="n">
        <v>45140</v>
      </c>
      <c r="C344" s="1" t="n">
        <v>46168</v>
      </c>
      <c r="D344" t="inlineStr">
        <is>
          <t>VÄSTERBOTTENS LÄN</t>
        </is>
      </c>
      <c r="E344" t="inlineStr">
        <is>
          <t>ROBERTSFORS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48466-2025</t>
        </is>
      </c>
      <c r="B345" s="1" t="n">
        <v>45936.34415509259</v>
      </c>
      <c r="C345" s="1" t="n">
        <v>46168</v>
      </c>
      <c r="D345" t="inlineStr">
        <is>
          <t>VÄSTERBOTTENS LÄN</t>
        </is>
      </c>
      <c r="E345" t="inlineStr">
        <is>
          <t>ROBERTSFORS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1117-2024</t>
        </is>
      </c>
      <c r="B346" s="1" t="n">
        <v>45302.43986111111</v>
      </c>
      <c r="C346" s="1" t="n">
        <v>46168</v>
      </c>
      <c r="D346" t="inlineStr">
        <is>
          <t>VÄSTERBOTTENS LÄN</t>
        </is>
      </c>
      <c r="E346" t="inlineStr">
        <is>
          <t>ROBERTSFORS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24466-2024</t>
        </is>
      </c>
      <c r="B347" s="1" t="n">
        <v>45458</v>
      </c>
      <c r="C347" s="1" t="n">
        <v>46168</v>
      </c>
      <c r="D347" t="inlineStr">
        <is>
          <t>VÄSTERBOTTENS LÄN</t>
        </is>
      </c>
      <c r="E347" t="inlineStr">
        <is>
          <t>ROBERTSFORS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24469-2024</t>
        </is>
      </c>
      <c r="B348" s="1" t="n">
        <v>45458</v>
      </c>
      <c r="C348" s="1" t="n">
        <v>46168</v>
      </c>
      <c r="D348" t="inlineStr">
        <is>
          <t>VÄSTERBOTTENS LÄN</t>
        </is>
      </c>
      <c r="E348" t="inlineStr">
        <is>
          <t>ROBERTSFORS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46663-2024</t>
        </is>
      </c>
      <c r="B349" s="1" t="n">
        <v>45583.3650462963</v>
      </c>
      <c r="C349" s="1" t="n">
        <v>46168</v>
      </c>
      <c r="D349" t="inlineStr">
        <is>
          <t>VÄSTERBOTTENS LÄN</t>
        </is>
      </c>
      <c r="E349" t="inlineStr">
        <is>
          <t>ROBERTSFORS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37643-2025</t>
        </is>
      </c>
      <c r="B350" s="1" t="n">
        <v>45880.47910879629</v>
      </c>
      <c r="C350" s="1" t="n">
        <v>46168</v>
      </c>
      <c r="D350" t="inlineStr">
        <is>
          <t>VÄSTERBOTTENS LÄN</t>
        </is>
      </c>
      <c r="E350" t="inlineStr">
        <is>
          <t>ROBERTSFORS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15888-2024</t>
        </is>
      </c>
      <c r="B351" s="1" t="n">
        <v>45405</v>
      </c>
      <c r="C351" s="1" t="n">
        <v>46168</v>
      </c>
      <c r="D351" t="inlineStr">
        <is>
          <t>VÄSTERBOTTENS LÄN</t>
        </is>
      </c>
      <c r="E351" t="inlineStr">
        <is>
          <t>ROBERTSFORS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49148-2025</t>
        </is>
      </c>
      <c r="B352" s="1" t="n">
        <v>45938.33891203703</v>
      </c>
      <c r="C352" s="1" t="n">
        <v>46168</v>
      </c>
      <c r="D352" t="inlineStr">
        <is>
          <t>VÄSTERBOTTENS LÄN</t>
        </is>
      </c>
      <c r="E352" t="inlineStr">
        <is>
          <t>ROBERTSFORS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48827-2025</t>
        </is>
      </c>
      <c r="B353" s="1" t="n">
        <v>45937.3825462963</v>
      </c>
      <c r="C353" s="1" t="n">
        <v>46168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49140-2025</t>
        </is>
      </c>
      <c r="B354" s="1" t="n">
        <v>45938.31708333334</v>
      </c>
      <c r="C354" s="1" t="n">
        <v>46168</v>
      </c>
      <c r="D354" t="inlineStr">
        <is>
          <t>VÄSTERBOTTENS LÄN</t>
        </is>
      </c>
      <c r="E354" t="inlineStr">
        <is>
          <t>ROBERTSFORS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13529-2023</t>
        </is>
      </c>
      <c r="B355" s="1" t="n">
        <v>45005</v>
      </c>
      <c r="C355" s="1" t="n">
        <v>46168</v>
      </c>
      <c r="D355" t="inlineStr">
        <is>
          <t>VÄSTERBOTTENS LÄN</t>
        </is>
      </c>
      <c r="E355" t="inlineStr">
        <is>
          <t>ROBERTSFORS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38026-2024</t>
        </is>
      </c>
      <c r="B356" s="1" t="n">
        <v>45544</v>
      </c>
      <c r="C356" s="1" t="n">
        <v>46168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SCA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49144-2025</t>
        </is>
      </c>
      <c r="B357" s="1" t="n">
        <v>45938.32828703704</v>
      </c>
      <c r="C357" s="1" t="n">
        <v>46168</v>
      </c>
      <c r="D357" t="inlineStr">
        <is>
          <t>VÄSTERBOTTENS LÄN</t>
        </is>
      </c>
      <c r="E357" t="inlineStr">
        <is>
          <t>ROBERTSFORS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49158-2025</t>
        </is>
      </c>
      <c r="B358" s="1" t="n">
        <v>45938.34753472222</v>
      </c>
      <c r="C358" s="1" t="n">
        <v>46168</v>
      </c>
      <c r="D358" t="inlineStr">
        <is>
          <t>VÄSTERBOTTENS LÄN</t>
        </is>
      </c>
      <c r="E358" t="inlineStr">
        <is>
          <t>ROBERTSFORS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49637-2025</t>
        </is>
      </c>
      <c r="B359" s="1" t="n">
        <v>45939.61072916666</v>
      </c>
      <c r="C359" s="1" t="n">
        <v>46168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7873-2023</t>
        </is>
      </c>
      <c r="B360" s="1" t="n">
        <v>44973</v>
      </c>
      <c r="C360" s="1" t="n">
        <v>46168</v>
      </c>
      <c r="D360" t="inlineStr">
        <is>
          <t>VÄSTERBOTTENS LÄN</t>
        </is>
      </c>
      <c r="E360" t="inlineStr">
        <is>
          <t>ROBERTSFORS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49628-2025</t>
        </is>
      </c>
      <c r="B361" s="1" t="n">
        <v>45939.59528935186</v>
      </c>
      <c r="C361" s="1" t="n">
        <v>46168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35313-2023</t>
        </is>
      </c>
      <c r="B362" s="1" t="n">
        <v>45146.38486111111</v>
      </c>
      <c r="C362" s="1" t="n">
        <v>46168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5902-2024</t>
        </is>
      </c>
      <c r="B363" s="1" t="n">
        <v>45335</v>
      </c>
      <c r="C363" s="1" t="n">
        <v>46168</v>
      </c>
      <c r="D363" t="inlineStr">
        <is>
          <t>VÄSTERBOTTENS LÄN</t>
        </is>
      </c>
      <c r="E363" t="inlineStr">
        <is>
          <t>ROBERTSFORS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25572-2023</t>
        </is>
      </c>
      <c r="B364" s="1" t="n">
        <v>45082</v>
      </c>
      <c r="C364" s="1" t="n">
        <v>46168</v>
      </c>
      <c r="D364" t="inlineStr">
        <is>
          <t>VÄSTERBOTTENS LÄN</t>
        </is>
      </c>
      <c r="E364" t="inlineStr">
        <is>
          <t>ROBERTSFORS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8681-2025</t>
        </is>
      </c>
      <c r="B365" s="1" t="n">
        <v>45712.44364583334</v>
      </c>
      <c r="C365" s="1" t="n">
        <v>46168</v>
      </c>
      <c r="D365" t="inlineStr">
        <is>
          <t>VÄSTERBOTTENS LÄN</t>
        </is>
      </c>
      <c r="E365" t="inlineStr">
        <is>
          <t>ROBERTSFORS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32434-2024</t>
        </is>
      </c>
      <c r="B366" s="1" t="n">
        <v>45512.92891203704</v>
      </c>
      <c r="C366" s="1" t="n">
        <v>46168</v>
      </c>
      <c r="D366" t="inlineStr">
        <is>
          <t>VÄSTERBOTTENS LÄN</t>
        </is>
      </c>
      <c r="E366" t="inlineStr">
        <is>
          <t>ROBERTSFORS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3042-2025</t>
        </is>
      </c>
      <c r="B367" s="1" t="n">
        <v>45678</v>
      </c>
      <c r="C367" s="1" t="n">
        <v>46168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57629-2023</t>
        </is>
      </c>
      <c r="B368" s="1" t="n">
        <v>45246.58361111111</v>
      </c>
      <c r="C368" s="1" t="n">
        <v>46168</v>
      </c>
      <c r="D368" t="inlineStr">
        <is>
          <t>VÄSTERBOTTENS LÄN</t>
        </is>
      </c>
      <c r="E368" t="inlineStr">
        <is>
          <t>ROBERTSFORS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41962-2023</t>
        </is>
      </c>
      <c r="B369" s="1" t="n">
        <v>45177</v>
      </c>
      <c r="C369" s="1" t="n">
        <v>46168</v>
      </c>
      <c r="D369" t="inlineStr">
        <is>
          <t>VÄSTERBOTTENS LÄN</t>
        </is>
      </c>
      <c r="E369" t="inlineStr">
        <is>
          <t>ROBERTSFORS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21397-2025</t>
        </is>
      </c>
      <c r="B370" s="1" t="n">
        <v>45782</v>
      </c>
      <c r="C370" s="1" t="n">
        <v>46168</v>
      </c>
      <c r="D370" t="inlineStr">
        <is>
          <t>VÄSTERBOTTENS LÄN</t>
        </is>
      </c>
      <c r="E370" t="inlineStr">
        <is>
          <t>ROBERTSFORS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52650-2024</t>
        </is>
      </c>
      <c r="B371" s="1" t="n">
        <v>45610.34976851852</v>
      </c>
      <c r="C371" s="1" t="n">
        <v>46168</v>
      </c>
      <c r="D371" t="inlineStr">
        <is>
          <t>VÄSTERBOTTENS LÄN</t>
        </is>
      </c>
      <c r="E371" t="inlineStr">
        <is>
          <t>ROBERTSFORS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43095-2023</t>
        </is>
      </c>
      <c r="B372" s="1" t="n">
        <v>45182</v>
      </c>
      <c r="C372" s="1" t="n">
        <v>46168</v>
      </c>
      <c r="D372" t="inlineStr">
        <is>
          <t>VÄSTERBOTTENS LÄN</t>
        </is>
      </c>
      <c r="E372" t="inlineStr">
        <is>
          <t>ROBERTSFORS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300-2026</t>
        </is>
      </c>
      <c r="B373" s="1" t="n">
        <v>46027.5158912037</v>
      </c>
      <c r="C373" s="1" t="n">
        <v>46168</v>
      </c>
      <c r="D373" t="inlineStr">
        <is>
          <t>VÄSTERBOTTENS LÄN</t>
        </is>
      </c>
      <c r="E373" t="inlineStr">
        <is>
          <t>ROBERTSFORS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50995-2025</t>
        </is>
      </c>
      <c r="B374" s="1" t="n">
        <v>45947.34706018519</v>
      </c>
      <c r="C374" s="1" t="n">
        <v>46168</v>
      </c>
      <c r="D374" t="inlineStr">
        <is>
          <t>VÄSTERBOTTENS LÄN</t>
        </is>
      </c>
      <c r="E374" t="inlineStr">
        <is>
          <t>ROBERTSFORS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51419-2025</t>
        </is>
      </c>
      <c r="B375" s="1" t="n">
        <v>45950.51460648148</v>
      </c>
      <c r="C375" s="1" t="n">
        <v>46168</v>
      </c>
      <c r="D375" t="inlineStr">
        <is>
          <t>VÄSTERBOTTENS LÄN</t>
        </is>
      </c>
      <c r="E375" t="inlineStr">
        <is>
          <t>ROBERTSFORS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39789-2024</t>
        </is>
      </c>
      <c r="B376" s="1" t="n">
        <v>45553</v>
      </c>
      <c r="C376" s="1" t="n">
        <v>46168</v>
      </c>
      <c r="D376" t="inlineStr">
        <is>
          <t>VÄSTERBOTTENS LÄN</t>
        </is>
      </c>
      <c r="E376" t="inlineStr">
        <is>
          <t>ROBERTSFORS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6994-2025</t>
        </is>
      </c>
      <c r="B377" s="1" t="n">
        <v>45701</v>
      </c>
      <c r="C377" s="1" t="n">
        <v>46168</v>
      </c>
      <c r="D377" t="inlineStr">
        <is>
          <t>VÄSTERBOTTENS LÄN</t>
        </is>
      </c>
      <c r="E377" t="inlineStr">
        <is>
          <t>ROBERTSFORS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31731-2024</t>
        </is>
      </c>
      <c r="B378" s="1" t="n">
        <v>45509.36456018518</v>
      </c>
      <c r="C378" s="1" t="n">
        <v>46168</v>
      </c>
      <c r="D378" t="inlineStr">
        <is>
          <t>VÄSTERBOTTENS LÄN</t>
        </is>
      </c>
      <c r="E378" t="inlineStr">
        <is>
          <t>ROBERTSFORS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45157-2023</t>
        </is>
      </c>
      <c r="B379" s="1" t="n">
        <v>45191.48872685185</v>
      </c>
      <c r="C379" s="1" t="n">
        <v>46168</v>
      </c>
      <c r="D379" t="inlineStr">
        <is>
          <t>VÄSTERBOTTENS LÄN</t>
        </is>
      </c>
      <c r="E379" t="inlineStr">
        <is>
          <t>ROBERTSFORS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51778-2025</t>
        </is>
      </c>
      <c r="B380" s="1" t="n">
        <v>45951.65707175926</v>
      </c>
      <c r="C380" s="1" t="n">
        <v>46168</v>
      </c>
      <c r="D380" t="inlineStr">
        <is>
          <t>VÄSTERBOTTENS LÄN</t>
        </is>
      </c>
      <c r="E380" t="inlineStr">
        <is>
          <t>ROBERTSFORS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1206-2026</t>
        </is>
      </c>
      <c r="B381" s="1" t="n">
        <v>46031.38577546296</v>
      </c>
      <c r="C381" s="1" t="n">
        <v>46168</v>
      </c>
      <c r="D381" t="inlineStr">
        <is>
          <t>VÄSTERBOTTENS LÄN</t>
        </is>
      </c>
      <c r="E381" t="inlineStr">
        <is>
          <t>ROBERTSFORS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2707-2022</t>
        </is>
      </c>
      <c r="B382" s="1" t="n">
        <v>44580</v>
      </c>
      <c r="C382" s="1" t="n">
        <v>46168</v>
      </c>
      <c r="D382" t="inlineStr">
        <is>
          <t>VÄSTERBOTTENS LÄN</t>
        </is>
      </c>
      <c r="E382" t="inlineStr">
        <is>
          <t>ROBERTSFORS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43424-2024</t>
        </is>
      </c>
      <c r="B383" s="1" t="n">
        <v>45568</v>
      </c>
      <c r="C383" s="1" t="n">
        <v>46168</v>
      </c>
      <c r="D383" t="inlineStr">
        <is>
          <t>VÄSTERBOTTENS LÄN</t>
        </is>
      </c>
      <c r="E383" t="inlineStr">
        <is>
          <t>ROBERTSFORS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1424-2026</t>
        </is>
      </c>
      <c r="B384" s="1" t="n">
        <v>46031</v>
      </c>
      <c r="C384" s="1" t="n">
        <v>46168</v>
      </c>
      <c r="D384" t="inlineStr">
        <is>
          <t>VÄSTERBOTTENS LÄN</t>
        </is>
      </c>
      <c r="E384" t="inlineStr">
        <is>
          <t>ROBERTSFORS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51875-2024</t>
        </is>
      </c>
      <c r="B385" s="1" t="n">
        <v>45607.55600694445</v>
      </c>
      <c r="C385" s="1" t="n">
        <v>46168</v>
      </c>
      <c r="D385" t="inlineStr">
        <is>
          <t>VÄSTERBOTTENS LÄN</t>
        </is>
      </c>
      <c r="E385" t="inlineStr">
        <is>
          <t>ROBERTSFORS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52835-2024</t>
        </is>
      </c>
      <c r="B386" s="1" t="n">
        <v>45610.59471064815</v>
      </c>
      <c r="C386" s="1" t="n">
        <v>46168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SCA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17848-2022</t>
        </is>
      </c>
      <c r="B387" s="1" t="n">
        <v>44683.46040509259</v>
      </c>
      <c r="C387" s="1" t="n">
        <v>46168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2709-2025</t>
        </is>
      </c>
      <c r="B388" s="1" t="n">
        <v>45674</v>
      </c>
      <c r="C388" s="1" t="n">
        <v>46168</v>
      </c>
      <c r="D388" t="inlineStr">
        <is>
          <t>VÄSTERBOTTENS LÄN</t>
        </is>
      </c>
      <c r="E388" t="inlineStr">
        <is>
          <t>ROBERTSFORS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2651-2026</t>
        </is>
      </c>
      <c r="B389" s="1" t="n">
        <v>46037.62767361111</v>
      </c>
      <c r="C389" s="1" t="n">
        <v>46168</v>
      </c>
      <c r="D389" t="inlineStr">
        <is>
          <t>VÄSTERBOTTENS LÄN</t>
        </is>
      </c>
      <c r="E389" t="inlineStr">
        <is>
          <t>ROBERTSFORS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51949-2024</t>
        </is>
      </c>
      <c r="B390" s="1" t="n">
        <v>45607.63787037037</v>
      </c>
      <c r="C390" s="1" t="n">
        <v>46168</v>
      </c>
      <c r="D390" t="inlineStr">
        <is>
          <t>VÄSTERBOTTENS LÄN</t>
        </is>
      </c>
      <c r="E390" t="inlineStr">
        <is>
          <t>ROBERTSFORS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56502-2024</t>
        </is>
      </c>
      <c r="B391" s="1" t="n">
        <v>45625.50078703704</v>
      </c>
      <c r="C391" s="1" t="n">
        <v>46168</v>
      </c>
      <c r="D391" t="inlineStr">
        <is>
          <t>VÄSTERBOTTENS LÄN</t>
        </is>
      </c>
      <c r="E391" t="inlineStr">
        <is>
          <t>ROBERTSFORS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30722-2024</t>
        </is>
      </c>
      <c r="B392" s="1" t="n">
        <v>45496</v>
      </c>
      <c r="C392" s="1" t="n">
        <v>46168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52723-2025</t>
        </is>
      </c>
      <c r="B393" s="1" t="n">
        <v>45957.3458912037</v>
      </c>
      <c r="C393" s="1" t="n">
        <v>46168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52934-2025</t>
        </is>
      </c>
      <c r="B394" s="1" t="n">
        <v>45957.62625</v>
      </c>
      <c r="C394" s="1" t="n">
        <v>46168</v>
      </c>
      <c r="D394" t="inlineStr">
        <is>
          <t>VÄSTERBOTTENS LÄN</t>
        </is>
      </c>
      <c r="E394" t="inlineStr">
        <is>
          <t>ROBERTSFORS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3576-2026</t>
        </is>
      </c>
      <c r="B395" s="1" t="n">
        <v>46042.71438657407</v>
      </c>
      <c r="C395" s="1" t="n">
        <v>46168</v>
      </c>
      <c r="D395" t="inlineStr">
        <is>
          <t>VÄSTERBOTTENS LÄN</t>
        </is>
      </c>
      <c r="E395" t="inlineStr">
        <is>
          <t>ROBERTSFORS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53218-2025</t>
        </is>
      </c>
      <c r="B396" s="1" t="n">
        <v>45958.60057870371</v>
      </c>
      <c r="C396" s="1" t="n">
        <v>46168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50448-2024</t>
        </is>
      </c>
      <c r="B397" s="1" t="n">
        <v>45601.43474537037</v>
      </c>
      <c r="C397" s="1" t="n">
        <v>46168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52746-2025</t>
        </is>
      </c>
      <c r="B398" s="1" t="n">
        <v>45957.38414351852</v>
      </c>
      <c r="C398" s="1" t="n">
        <v>46168</v>
      </c>
      <c r="D398" t="inlineStr">
        <is>
          <t>VÄSTERBOTTENS LÄN</t>
        </is>
      </c>
      <c r="E398" t="inlineStr">
        <is>
          <t>ROBERTSFORS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46168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53485-2025</t>
        </is>
      </c>
      <c r="B400" s="1" t="n">
        <v>45959.895625</v>
      </c>
      <c r="C400" s="1" t="n">
        <v>46168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53320-2025</t>
        </is>
      </c>
      <c r="B401" s="1" t="n">
        <v>45959.35769675926</v>
      </c>
      <c r="C401" s="1" t="n">
        <v>46168</v>
      </c>
      <c r="D401" t="inlineStr">
        <is>
          <t>VÄSTERBOTTENS LÄN</t>
        </is>
      </c>
      <c r="E401" t="inlineStr">
        <is>
          <t>ROBERTSFORS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41271-2024</t>
        </is>
      </c>
      <c r="B402" s="1" t="n">
        <v>45559</v>
      </c>
      <c r="C402" s="1" t="n">
        <v>46168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Sveaskog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3590-2026</t>
        </is>
      </c>
      <c r="B403" s="1" t="n">
        <v>46042.76789351852</v>
      </c>
      <c r="C403" s="1" t="n">
        <v>46168</v>
      </c>
      <c r="D403" t="inlineStr">
        <is>
          <t>VÄSTERBOTTENS LÄN</t>
        </is>
      </c>
      <c r="E403" t="inlineStr">
        <is>
          <t>ROBERTSFORS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4614-2025</t>
        </is>
      </c>
      <c r="B404" s="1" t="n">
        <v>45687</v>
      </c>
      <c r="C404" s="1" t="n">
        <v>46168</v>
      </c>
      <c r="D404" t="inlineStr">
        <is>
          <t>VÄSTERBOTTENS LÄN</t>
        </is>
      </c>
      <c r="E404" t="inlineStr">
        <is>
          <t>ROBERTSFORS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5997-2025</t>
        </is>
      </c>
      <c r="B405" s="1" t="n">
        <v>45695.57164351852</v>
      </c>
      <c r="C405" s="1" t="n">
        <v>46168</v>
      </c>
      <c r="D405" t="inlineStr">
        <is>
          <t>VÄSTERBOTTENS LÄN</t>
        </is>
      </c>
      <c r="E405" t="inlineStr">
        <is>
          <t>ROBERTSFORS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8238-2025</t>
        </is>
      </c>
      <c r="B406" s="1" t="n">
        <v>45708.47898148148</v>
      </c>
      <c r="C406" s="1" t="n">
        <v>46168</v>
      </c>
      <c r="D406" t="inlineStr">
        <is>
          <t>VÄSTERBOTTENS LÄN</t>
        </is>
      </c>
      <c r="E406" t="inlineStr">
        <is>
          <t>ROBERTSFORS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53806-2025</t>
        </is>
      </c>
      <c r="B407" s="1" t="n">
        <v>45960.83863425926</v>
      </c>
      <c r="C407" s="1" t="n">
        <v>46168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53824-2025</t>
        </is>
      </c>
      <c r="B408" s="1" t="n">
        <v>45961.33986111111</v>
      </c>
      <c r="C408" s="1" t="n">
        <v>46168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5474-2026</t>
        </is>
      </c>
      <c r="B409" s="1" t="n">
        <v>46048</v>
      </c>
      <c r="C409" s="1" t="n">
        <v>46168</v>
      </c>
      <c r="D409" t="inlineStr">
        <is>
          <t>VÄSTERBOTTENS LÄN</t>
        </is>
      </c>
      <c r="E409" t="inlineStr">
        <is>
          <t>ROBERTSFORS</t>
        </is>
      </c>
      <c r="G409" t="n">
        <v>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4376-2022</t>
        </is>
      </c>
      <c r="B410" s="1" t="n">
        <v>44588</v>
      </c>
      <c r="C410" s="1" t="n">
        <v>46168</v>
      </c>
      <c r="D410" t="inlineStr">
        <is>
          <t>VÄSTERBOTTENS LÄN</t>
        </is>
      </c>
      <c r="E410" t="inlineStr">
        <is>
          <t>ROBERTSFORS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54589-2025</t>
        </is>
      </c>
      <c r="B411" s="1" t="n">
        <v>45965.74070601852</v>
      </c>
      <c r="C411" s="1" t="n">
        <v>46168</v>
      </c>
      <c r="D411" t="inlineStr">
        <is>
          <t>VÄSTERBOTTENS LÄN</t>
        </is>
      </c>
      <c r="E411" t="inlineStr">
        <is>
          <t>ROBERTSFORS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54607-2025</t>
        </is>
      </c>
      <c r="B412" s="1" t="n">
        <v>45966.30361111111</v>
      </c>
      <c r="C412" s="1" t="n">
        <v>46168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10173-2022</t>
        </is>
      </c>
      <c r="B413" s="1" t="n">
        <v>44622</v>
      </c>
      <c r="C413" s="1" t="n">
        <v>46168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54311-2025</t>
        </is>
      </c>
      <c r="B414" s="1" t="n">
        <v>45965.31461805556</v>
      </c>
      <c r="C414" s="1" t="n">
        <v>46168</v>
      </c>
      <c r="D414" t="inlineStr">
        <is>
          <t>VÄSTERBOTTENS LÄN</t>
        </is>
      </c>
      <c r="E414" t="inlineStr">
        <is>
          <t>ROBERTSFORS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289-2025</t>
        </is>
      </c>
      <c r="B415" s="1" t="n">
        <v>45653</v>
      </c>
      <c r="C415" s="1" t="n">
        <v>46168</v>
      </c>
      <c r="D415" t="inlineStr">
        <is>
          <t>VÄSTERBOTTENS LÄN</t>
        </is>
      </c>
      <c r="E415" t="inlineStr">
        <is>
          <t>ROBERTSFORS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672-2025</t>
        </is>
      </c>
      <c r="B416" s="1" t="n">
        <v>45664</v>
      </c>
      <c r="C416" s="1" t="n">
        <v>46168</v>
      </c>
      <c r="D416" t="inlineStr">
        <is>
          <t>VÄSTERBOTTENS LÄN</t>
        </is>
      </c>
      <c r="E416" t="inlineStr">
        <is>
          <t>ROBERTSFORS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2696-2025</t>
        </is>
      </c>
      <c r="B417" s="1" t="n">
        <v>45674</v>
      </c>
      <c r="C417" s="1" t="n">
        <v>46168</v>
      </c>
      <c r="D417" t="inlineStr">
        <is>
          <t>VÄSTERBOTTENS LÄN</t>
        </is>
      </c>
      <c r="E417" t="inlineStr">
        <is>
          <t>ROBERTSFORS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55417-2023</t>
        </is>
      </c>
      <c r="B418" s="1" t="n">
        <v>45238.41365740741</v>
      </c>
      <c r="C418" s="1" t="n">
        <v>46168</v>
      </c>
      <c r="D418" t="inlineStr">
        <is>
          <t>VÄSTERBOTTENS LÄN</t>
        </is>
      </c>
      <c r="E418" t="inlineStr">
        <is>
          <t>ROBERTSFORS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54588-2025</t>
        </is>
      </c>
      <c r="B419" s="1" t="n">
        <v>45965.73465277778</v>
      </c>
      <c r="C419" s="1" t="n">
        <v>46168</v>
      </c>
      <c r="D419" t="inlineStr">
        <is>
          <t>VÄSTERBOTTENS LÄN</t>
        </is>
      </c>
      <c r="E419" t="inlineStr">
        <is>
          <t>ROBERTSFORS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54594-2025</t>
        </is>
      </c>
      <c r="B420" s="1" t="n">
        <v>45965.7542824074</v>
      </c>
      <c r="C420" s="1" t="n">
        <v>46168</v>
      </c>
      <c r="D420" t="inlineStr">
        <is>
          <t>VÄSTERBOTTENS LÄN</t>
        </is>
      </c>
      <c r="E420" t="inlineStr">
        <is>
          <t>ROBERTSFORS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20519-2022</t>
        </is>
      </c>
      <c r="B421" s="1" t="n">
        <v>44699</v>
      </c>
      <c r="C421" s="1" t="n">
        <v>46168</v>
      </c>
      <c r="D421" t="inlineStr">
        <is>
          <t>VÄSTERBOTTENS LÄN</t>
        </is>
      </c>
      <c r="E421" t="inlineStr">
        <is>
          <t>ROBERTSFORS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5285-2026</t>
        </is>
      </c>
      <c r="B422" s="1" t="n">
        <v>46050</v>
      </c>
      <c r="C422" s="1" t="n">
        <v>46168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5288-2026</t>
        </is>
      </c>
      <c r="B423" s="1" t="n">
        <v>46050</v>
      </c>
      <c r="C423" s="1" t="n">
        <v>46168</v>
      </c>
      <c r="D423" t="inlineStr">
        <is>
          <t>VÄSTERBOTTENS LÄN</t>
        </is>
      </c>
      <c r="E423" t="inlineStr">
        <is>
          <t>ROBERTSFORS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55241-2025</t>
        </is>
      </c>
      <c r="B424" s="1" t="n">
        <v>45968</v>
      </c>
      <c r="C424" s="1" t="n">
        <v>46168</v>
      </c>
      <c r="D424" t="inlineStr">
        <is>
          <t>VÄSTERBOTTENS LÄN</t>
        </is>
      </c>
      <c r="E424" t="inlineStr">
        <is>
          <t>ROBERTSFORS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4973-2026</t>
        </is>
      </c>
      <c r="B425" s="1" t="n">
        <v>46049</v>
      </c>
      <c r="C425" s="1" t="n">
        <v>46168</v>
      </c>
      <c r="D425" t="inlineStr">
        <is>
          <t>VÄSTERBOTTENS LÄN</t>
        </is>
      </c>
      <c r="E425" t="inlineStr">
        <is>
          <t>ROBERTSFORS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5281-2026</t>
        </is>
      </c>
      <c r="B426" s="1" t="n">
        <v>46050.34427083333</v>
      </c>
      <c r="C426" s="1" t="n">
        <v>46168</v>
      </c>
      <c r="D426" t="inlineStr">
        <is>
          <t>VÄSTERBOTTENS LÄN</t>
        </is>
      </c>
      <c r="E426" t="inlineStr">
        <is>
          <t>ROBERTSFORS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5282-2026</t>
        </is>
      </c>
      <c r="B427" s="1" t="n">
        <v>46050.34429398148</v>
      </c>
      <c r="C427" s="1" t="n">
        <v>46168</v>
      </c>
      <c r="D427" t="inlineStr">
        <is>
          <t>VÄSTERBOTTENS LÄN</t>
        </is>
      </c>
      <c r="E427" t="inlineStr">
        <is>
          <t>ROBERTSFORS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5284-2026</t>
        </is>
      </c>
      <c r="B428" s="1" t="n">
        <v>46050.34435185185</v>
      </c>
      <c r="C428" s="1" t="n">
        <v>46168</v>
      </c>
      <c r="D428" t="inlineStr">
        <is>
          <t>VÄSTERBOTTENS LÄN</t>
        </is>
      </c>
      <c r="E428" t="inlineStr">
        <is>
          <t>ROBERTSFORS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5289-2026</t>
        </is>
      </c>
      <c r="B429" s="1" t="n">
        <v>46050.34459490741</v>
      </c>
      <c r="C429" s="1" t="n">
        <v>46168</v>
      </c>
      <c r="D429" t="inlineStr">
        <is>
          <t>VÄSTERBOTTENS LÄN</t>
        </is>
      </c>
      <c r="E429" t="inlineStr">
        <is>
          <t>ROBERTSFORS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32104-2024</t>
        </is>
      </c>
      <c r="B430" s="1" t="n">
        <v>45511.4325925926</v>
      </c>
      <c r="C430" s="1" t="n">
        <v>46168</v>
      </c>
      <c r="D430" t="inlineStr">
        <is>
          <t>VÄSTERBOTTENS LÄN</t>
        </is>
      </c>
      <c r="E430" t="inlineStr">
        <is>
          <t>ROBERTSFORS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5795-2026</t>
        </is>
      </c>
      <c r="B431" s="1" t="n">
        <v>46051.70982638889</v>
      </c>
      <c r="C431" s="1" t="n">
        <v>46168</v>
      </c>
      <c r="D431" t="inlineStr">
        <is>
          <t>VÄSTERBOTTENS LÄN</t>
        </is>
      </c>
      <c r="E431" t="inlineStr">
        <is>
          <t>ROBERTSFORS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164-2025</t>
        </is>
      </c>
      <c r="B432" s="1" t="n">
        <v>45659.63700231481</v>
      </c>
      <c r="C432" s="1" t="n">
        <v>46168</v>
      </c>
      <c r="D432" t="inlineStr">
        <is>
          <t>VÄSTERBOTTENS LÄN</t>
        </is>
      </c>
      <c r="E432" t="inlineStr">
        <is>
          <t>ROBERTSFORS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17547-2025</t>
        </is>
      </c>
      <c r="B433" s="1" t="n">
        <v>45757.60878472222</v>
      </c>
      <c r="C433" s="1" t="n">
        <v>46168</v>
      </c>
      <c r="D433" t="inlineStr">
        <is>
          <t>VÄSTERBOTTENS LÄN</t>
        </is>
      </c>
      <c r="E433" t="inlineStr">
        <is>
          <t>ROBERTSFORS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53564-2024</t>
        </is>
      </c>
      <c r="B434" s="1" t="n">
        <v>45611</v>
      </c>
      <c r="C434" s="1" t="n">
        <v>46168</v>
      </c>
      <c r="D434" t="inlineStr">
        <is>
          <t>VÄSTERBOTTENS LÄN</t>
        </is>
      </c>
      <c r="E434" t="inlineStr">
        <is>
          <t>ROBERTSFORS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56231-2025</t>
        </is>
      </c>
      <c r="B435" s="1" t="n">
        <v>45974.53111111111</v>
      </c>
      <c r="C435" s="1" t="n">
        <v>46168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1573-2025</t>
        </is>
      </c>
      <c r="B436" s="1" t="n">
        <v>45670</v>
      </c>
      <c r="C436" s="1" t="n">
        <v>46168</v>
      </c>
      <c r="D436" t="inlineStr">
        <is>
          <t>VÄSTERBOTTENS LÄN</t>
        </is>
      </c>
      <c r="E436" t="inlineStr">
        <is>
          <t>ROBERTSFORS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44026-2022</t>
        </is>
      </c>
      <c r="B437" s="1" t="n">
        <v>44838.92494212963</v>
      </c>
      <c r="C437" s="1" t="n">
        <v>46168</v>
      </c>
      <c r="D437" t="inlineStr">
        <is>
          <t>VÄSTERBOTTENS LÄN</t>
        </is>
      </c>
      <c r="E437" t="inlineStr">
        <is>
          <t>ROBERTSFORS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22339-2024</t>
        </is>
      </c>
      <c r="B438" s="1" t="n">
        <v>45446</v>
      </c>
      <c r="C438" s="1" t="n">
        <v>46168</v>
      </c>
      <c r="D438" t="inlineStr">
        <is>
          <t>VÄSTERBOTTENS LÄN</t>
        </is>
      </c>
      <c r="E438" t="inlineStr">
        <is>
          <t>ROBERTSFORS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6725-2025</t>
        </is>
      </c>
      <c r="B439" s="1" t="n">
        <v>45700</v>
      </c>
      <c r="C439" s="1" t="n">
        <v>46168</v>
      </c>
      <c r="D439" t="inlineStr">
        <is>
          <t>VÄSTERBOTTENS LÄN</t>
        </is>
      </c>
      <c r="E439" t="inlineStr">
        <is>
          <t>ROBERTSFORS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58030-2024</t>
        </is>
      </c>
      <c r="B440" s="1" t="n">
        <v>45631</v>
      </c>
      <c r="C440" s="1" t="n">
        <v>46168</v>
      </c>
      <c r="D440" t="inlineStr">
        <is>
          <t>VÄSTERBOTTENS LÄN</t>
        </is>
      </c>
      <c r="E440" t="inlineStr">
        <is>
          <t>ROBERTSFORS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56604-2025</t>
        </is>
      </c>
      <c r="B441" s="1" t="n">
        <v>45975.57861111111</v>
      </c>
      <c r="C441" s="1" t="n">
        <v>46168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57979-2021</t>
        </is>
      </c>
      <c r="B442" s="1" t="n">
        <v>44487</v>
      </c>
      <c r="C442" s="1" t="n">
        <v>46168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48547-2023</t>
        </is>
      </c>
      <c r="B443" s="1" t="n">
        <v>45202</v>
      </c>
      <c r="C443" s="1" t="n">
        <v>46168</v>
      </c>
      <c r="D443" t="inlineStr">
        <is>
          <t>VÄSTERBOTTENS LÄN</t>
        </is>
      </c>
      <c r="E443" t="inlineStr">
        <is>
          <t>ROBERTSFORS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7170-2026</t>
        </is>
      </c>
      <c r="B444" s="1" t="n">
        <v>46058.45982638889</v>
      </c>
      <c r="C444" s="1" t="n">
        <v>46168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7499-2026</t>
        </is>
      </c>
      <c r="B445" s="1" t="n">
        <v>46059.55626157407</v>
      </c>
      <c r="C445" s="1" t="n">
        <v>46168</v>
      </c>
      <c r="D445" t="inlineStr">
        <is>
          <t>VÄSTERBOTTENS LÄN</t>
        </is>
      </c>
      <c r="E445" t="inlineStr">
        <is>
          <t>ROBERTSFORS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7482-2026</t>
        </is>
      </c>
      <c r="B446" s="1" t="n">
        <v>46059.51925925926</v>
      </c>
      <c r="C446" s="1" t="n">
        <v>46168</v>
      </c>
      <c r="D446" t="inlineStr">
        <is>
          <t>VÄSTERBOTTENS LÄN</t>
        </is>
      </c>
      <c r="E446" t="inlineStr">
        <is>
          <t>ROBERTSFORS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57793-2025</t>
        </is>
      </c>
      <c r="B447" s="1" t="n">
        <v>45981.57976851852</v>
      </c>
      <c r="C447" s="1" t="n">
        <v>46168</v>
      </c>
      <c r="D447" t="inlineStr">
        <is>
          <t>VÄSTERBOTTENS LÄN</t>
        </is>
      </c>
      <c r="E447" t="inlineStr">
        <is>
          <t>ROBERTSFORS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36933-2024</t>
        </is>
      </c>
      <c r="B448" s="1" t="n">
        <v>45538</v>
      </c>
      <c r="C448" s="1" t="n">
        <v>46168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57698-2025</t>
        </is>
      </c>
      <c r="B449" s="1" t="n">
        <v>45981.45725694444</v>
      </c>
      <c r="C449" s="1" t="n">
        <v>46168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8090-2026</t>
        </is>
      </c>
      <c r="B450" s="1" t="n">
        <v>46063.7046412037</v>
      </c>
      <c r="C450" s="1" t="n">
        <v>46168</v>
      </c>
      <c r="D450" t="inlineStr">
        <is>
          <t>VÄSTERBOTTENS LÄN</t>
        </is>
      </c>
      <c r="E450" t="inlineStr">
        <is>
          <t>ROBERTSFORS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57737-2025</t>
        </is>
      </c>
      <c r="B451" s="1" t="n">
        <v>45981.51613425926</v>
      </c>
      <c r="C451" s="1" t="n">
        <v>46168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7968-2026</t>
        </is>
      </c>
      <c r="B452" s="1" t="n">
        <v>46063.46484953703</v>
      </c>
      <c r="C452" s="1" t="n">
        <v>46168</v>
      </c>
      <c r="D452" t="inlineStr">
        <is>
          <t>VÄSTERBOTTENS LÄN</t>
        </is>
      </c>
      <c r="E452" t="inlineStr">
        <is>
          <t>ROBERTSFORS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8484-2026</t>
        </is>
      </c>
      <c r="B453" s="1" t="n">
        <v>46065.47174768519</v>
      </c>
      <c r="C453" s="1" t="n">
        <v>46168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8472-2026</t>
        </is>
      </c>
      <c r="B454" s="1" t="n">
        <v>46065.45136574074</v>
      </c>
      <c r="C454" s="1" t="n">
        <v>46168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10145-2025</t>
        </is>
      </c>
      <c r="B455" s="1" t="n">
        <v>45719.63577546296</v>
      </c>
      <c r="C455" s="1" t="n">
        <v>46168</v>
      </c>
      <c r="D455" t="inlineStr">
        <is>
          <t>VÄSTERBOTTENS LÄN</t>
        </is>
      </c>
      <c r="E455" t="inlineStr">
        <is>
          <t>ROBERTSFORS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63390-2023</t>
        </is>
      </c>
      <c r="B456" s="1" t="n">
        <v>45274</v>
      </c>
      <c r="C456" s="1" t="n">
        <v>46168</v>
      </c>
      <c r="D456" t="inlineStr">
        <is>
          <t>VÄSTERBOTTENS LÄN</t>
        </is>
      </c>
      <c r="E456" t="inlineStr">
        <is>
          <t>ROBERTSFORS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58850-2025</t>
        </is>
      </c>
      <c r="B457" s="1" t="n">
        <v>45987.40146990741</v>
      </c>
      <c r="C457" s="1" t="n">
        <v>46168</v>
      </c>
      <c r="D457" t="inlineStr">
        <is>
          <t>VÄSTERBOTTENS LÄN</t>
        </is>
      </c>
      <c r="E457" t="inlineStr">
        <is>
          <t>ROBERTSFORS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59855-2025</t>
        </is>
      </c>
      <c r="B458" s="1" t="n">
        <v>45992.73780092593</v>
      </c>
      <c r="C458" s="1" t="n">
        <v>46168</v>
      </c>
      <c r="D458" t="inlineStr">
        <is>
          <t>VÄSTERBOTTENS LÄN</t>
        </is>
      </c>
      <c r="E458" t="inlineStr">
        <is>
          <t>ROBERTSFORS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60738-2022</t>
        </is>
      </c>
      <c r="B459" s="1" t="n">
        <v>44913.89579861111</v>
      </c>
      <c r="C459" s="1" t="n">
        <v>46168</v>
      </c>
      <c r="D459" t="inlineStr">
        <is>
          <t>VÄSTERBOTTENS LÄN</t>
        </is>
      </c>
      <c r="E459" t="inlineStr">
        <is>
          <t>ROBERTSFORS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8256-2025</t>
        </is>
      </c>
      <c r="B460" s="1" t="n">
        <v>45708.49795138889</v>
      </c>
      <c r="C460" s="1" t="n">
        <v>46168</v>
      </c>
      <c r="D460" t="inlineStr">
        <is>
          <t>VÄSTERBOTTENS LÄN</t>
        </is>
      </c>
      <c r="E460" t="inlineStr">
        <is>
          <t>ROBERTSFORS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38494-2023</t>
        </is>
      </c>
      <c r="B461" s="1" t="n">
        <v>45162</v>
      </c>
      <c r="C461" s="1" t="n">
        <v>46168</v>
      </c>
      <c r="D461" t="inlineStr">
        <is>
          <t>VÄSTERBOTTENS LÄN</t>
        </is>
      </c>
      <c r="E461" t="inlineStr">
        <is>
          <t>ROBERTSFORS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17210-2025</t>
        </is>
      </c>
      <c r="B462" s="1" t="n">
        <v>45756.4359375</v>
      </c>
      <c r="C462" s="1" t="n">
        <v>46168</v>
      </c>
      <c r="D462" t="inlineStr">
        <is>
          <t>VÄSTERBOTTENS LÄN</t>
        </is>
      </c>
      <c r="E462" t="inlineStr">
        <is>
          <t>ROBERTSFORS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3046-2025</t>
        </is>
      </c>
      <c r="B463" s="1" t="n">
        <v>45678</v>
      </c>
      <c r="C463" s="1" t="n">
        <v>46168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8.9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32581-2022</t>
        </is>
      </c>
      <c r="B464" s="1" t="n">
        <v>44783</v>
      </c>
      <c r="C464" s="1" t="n">
        <v>46168</v>
      </c>
      <c r="D464" t="inlineStr">
        <is>
          <t>VÄSTERBOTTENS LÄN</t>
        </is>
      </c>
      <c r="E464" t="inlineStr">
        <is>
          <t>ROBERTSFORS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59574-2025</t>
        </is>
      </c>
      <c r="B465" s="1" t="n">
        <v>45992.29917824074</v>
      </c>
      <c r="C465" s="1" t="n">
        <v>46168</v>
      </c>
      <c r="D465" t="inlineStr">
        <is>
          <t>VÄSTERBOTTENS LÄN</t>
        </is>
      </c>
      <c r="E465" t="inlineStr">
        <is>
          <t>ROBERTSFORS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25446-2024</t>
        </is>
      </c>
      <c r="B466" s="1" t="n">
        <v>45463</v>
      </c>
      <c r="C466" s="1" t="n">
        <v>46168</v>
      </c>
      <c r="D466" t="inlineStr">
        <is>
          <t>VÄSTERBOTTENS LÄN</t>
        </is>
      </c>
      <c r="E466" t="inlineStr">
        <is>
          <t>ROBERTSFORS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60127-2025</t>
        </is>
      </c>
      <c r="B467" s="1" t="n">
        <v>45994.34417824074</v>
      </c>
      <c r="C467" s="1" t="n">
        <v>46168</v>
      </c>
      <c r="D467" t="inlineStr">
        <is>
          <t>VÄSTERBOTTENS LÄN</t>
        </is>
      </c>
      <c r="E467" t="inlineStr">
        <is>
          <t>ROBERTSFORS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14418-2025</t>
        </is>
      </c>
      <c r="B468" s="1" t="n">
        <v>45741</v>
      </c>
      <c r="C468" s="1" t="n">
        <v>46168</v>
      </c>
      <c r="D468" t="inlineStr">
        <is>
          <t>VÄSTERBOTTENS LÄN</t>
        </is>
      </c>
      <c r="E468" t="inlineStr">
        <is>
          <t>ROBERTSFORS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10258-2026</t>
        </is>
      </c>
      <c r="B469" s="1" t="n">
        <v>46076.56410879629</v>
      </c>
      <c r="C469" s="1" t="n">
        <v>46168</v>
      </c>
      <c r="D469" t="inlineStr">
        <is>
          <t>VÄSTERBOTTENS LÄN</t>
        </is>
      </c>
      <c r="E469" t="inlineStr">
        <is>
          <t>ROBERTSFORS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53984-2022</t>
        </is>
      </c>
      <c r="B470" s="1" t="n">
        <v>44876</v>
      </c>
      <c r="C470" s="1" t="n">
        <v>46168</v>
      </c>
      <c r="D470" t="inlineStr">
        <is>
          <t>VÄSTERBOTTENS LÄN</t>
        </is>
      </c>
      <c r="E470" t="inlineStr">
        <is>
          <t>ROBERTSFORS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991-2024</t>
        </is>
      </c>
      <c r="B471" s="1" t="n">
        <v>45301</v>
      </c>
      <c r="C471" s="1" t="n">
        <v>46168</v>
      </c>
      <c r="D471" t="inlineStr">
        <is>
          <t>VÄSTERBOTTENS LÄN</t>
        </is>
      </c>
      <c r="E471" t="inlineStr">
        <is>
          <t>ROBERTSFORS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60647-2025</t>
        </is>
      </c>
      <c r="B472" s="1" t="n">
        <v>45995</v>
      </c>
      <c r="C472" s="1" t="n">
        <v>46168</v>
      </c>
      <c r="D472" t="inlineStr">
        <is>
          <t>VÄSTERBOTTENS LÄN</t>
        </is>
      </c>
      <c r="E472" t="inlineStr">
        <is>
          <t>ROBERTSFORS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60693-2025</t>
        </is>
      </c>
      <c r="B473" s="1" t="n">
        <v>45996.59361111111</v>
      </c>
      <c r="C473" s="1" t="n">
        <v>46168</v>
      </c>
      <c r="D473" t="inlineStr">
        <is>
          <t>VÄSTERBOTTENS LÄN</t>
        </is>
      </c>
      <c r="E473" t="inlineStr">
        <is>
          <t>ROBERTSFORS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58542-2023</t>
        </is>
      </c>
      <c r="B474" s="1" t="n">
        <v>45246</v>
      </c>
      <c r="C474" s="1" t="n">
        <v>46168</v>
      </c>
      <c r="D474" t="inlineStr">
        <is>
          <t>VÄSTERBOTTENS LÄN</t>
        </is>
      </c>
      <c r="E474" t="inlineStr">
        <is>
          <t>ROBERTSFORS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61249-2025</t>
        </is>
      </c>
      <c r="B475" s="1" t="n">
        <v>45999</v>
      </c>
      <c r="C475" s="1" t="n">
        <v>46168</v>
      </c>
      <c r="D475" t="inlineStr">
        <is>
          <t>VÄSTERBOTTENS LÄN</t>
        </is>
      </c>
      <c r="E475" t="inlineStr">
        <is>
          <t>ROBERTSFORS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21811-2024</t>
        </is>
      </c>
      <c r="B476" s="1" t="n">
        <v>45442</v>
      </c>
      <c r="C476" s="1" t="n">
        <v>46168</v>
      </c>
      <c r="D476" t="inlineStr">
        <is>
          <t>VÄSTERBOTTENS LÄN</t>
        </is>
      </c>
      <c r="E476" t="inlineStr">
        <is>
          <t>ROBERTSFORS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41752-2023</t>
        </is>
      </c>
      <c r="B477" s="1" t="n">
        <v>45176</v>
      </c>
      <c r="C477" s="1" t="n">
        <v>46168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61114-2025</t>
        </is>
      </c>
      <c r="B478" s="1" t="n">
        <v>46000.45891203704</v>
      </c>
      <c r="C478" s="1" t="n">
        <v>46168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Sveaskog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38270-2023</t>
        </is>
      </c>
      <c r="B479" s="1" t="n">
        <v>45160</v>
      </c>
      <c r="C479" s="1" t="n">
        <v>46168</v>
      </c>
      <c r="D479" t="inlineStr">
        <is>
          <t>VÄSTERBOTTENS LÄN</t>
        </is>
      </c>
      <c r="E479" t="inlineStr">
        <is>
          <t>ROBERTSFORS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11421-2026</t>
        </is>
      </c>
      <c r="B480" s="1" t="n">
        <v>46083.47828703704</v>
      </c>
      <c r="C480" s="1" t="n">
        <v>46168</v>
      </c>
      <c r="D480" t="inlineStr">
        <is>
          <t>VÄSTERBOTTENS LÄN</t>
        </is>
      </c>
      <c r="E480" t="inlineStr">
        <is>
          <t>ROBERTSFORS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61261-2025</t>
        </is>
      </c>
      <c r="B481" s="1" t="n">
        <v>45999</v>
      </c>
      <c r="C481" s="1" t="n">
        <v>46168</v>
      </c>
      <c r="D481" t="inlineStr">
        <is>
          <t>VÄSTERBOTTENS LÄN</t>
        </is>
      </c>
      <c r="E481" t="inlineStr">
        <is>
          <t>ROBERTSFORS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11224-2026</t>
        </is>
      </c>
      <c r="B482" s="1" t="n">
        <v>46080.48056712963</v>
      </c>
      <c r="C482" s="1" t="n">
        <v>46168</v>
      </c>
      <c r="D482" t="inlineStr">
        <is>
          <t>VÄSTERBOTTENS LÄN</t>
        </is>
      </c>
      <c r="E482" t="inlineStr">
        <is>
          <t>ROBERTSFORS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14671-2023</t>
        </is>
      </c>
      <c r="B483" s="1" t="n">
        <v>45013</v>
      </c>
      <c r="C483" s="1" t="n">
        <v>46168</v>
      </c>
      <c r="D483" t="inlineStr">
        <is>
          <t>VÄSTERBOTTENS LÄN</t>
        </is>
      </c>
      <c r="E483" t="inlineStr">
        <is>
          <t>ROBERTSFORS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18404-2026</t>
        </is>
      </c>
      <c r="B484" s="1" t="n">
        <v>46126.67255787037</v>
      </c>
      <c r="C484" s="1" t="n">
        <v>46168</v>
      </c>
      <c r="D484" t="inlineStr">
        <is>
          <t>VÄSTERBOTTENS LÄN</t>
        </is>
      </c>
      <c r="E484" t="inlineStr">
        <is>
          <t>ROBERTSFORS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61185-2025</t>
        </is>
      </c>
      <c r="B485" s="1" t="n">
        <v>46000.5859837963</v>
      </c>
      <c r="C485" s="1" t="n">
        <v>46168</v>
      </c>
      <c r="D485" t="inlineStr">
        <is>
          <t>VÄSTERBOTTENS LÄN</t>
        </is>
      </c>
      <c r="E485" t="inlineStr">
        <is>
          <t>ROBERTSFORS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18276-2026</t>
        </is>
      </c>
      <c r="B486" s="1" t="n">
        <v>46126.40335648148</v>
      </c>
      <c r="C486" s="1" t="n">
        <v>46168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61092-2025</t>
        </is>
      </c>
      <c r="B487" s="1" t="n">
        <v>46000.43319444444</v>
      </c>
      <c r="C487" s="1" t="n">
        <v>46168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61107-2025</t>
        </is>
      </c>
      <c r="B488" s="1" t="n">
        <v>46000.44934027778</v>
      </c>
      <c r="C488" s="1" t="n">
        <v>46168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Sveaskog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61608-2025</t>
        </is>
      </c>
      <c r="B489" s="1" t="n">
        <v>46002.37701388889</v>
      </c>
      <c r="C489" s="1" t="n">
        <v>46168</v>
      </c>
      <c r="D489" t="inlineStr">
        <is>
          <t>VÄSTERBOTTENS LÄN</t>
        </is>
      </c>
      <c r="E489" t="inlineStr">
        <is>
          <t>ROBERTSFORS</t>
        </is>
      </c>
      <c r="G489" t="n">
        <v>30.4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62020-2025</t>
        </is>
      </c>
      <c r="B490" s="1" t="n">
        <v>46003.69472222222</v>
      </c>
      <c r="C490" s="1" t="n">
        <v>46168</v>
      </c>
      <c r="D490" t="inlineStr">
        <is>
          <t>VÄSTERBOTTENS LÄN</t>
        </is>
      </c>
      <c r="E490" t="inlineStr">
        <is>
          <t>ROBERTSFORS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8363-2024</t>
        </is>
      </c>
      <c r="B491" s="1" t="n">
        <v>45352</v>
      </c>
      <c r="C491" s="1" t="n">
        <v>46168</v>
      </c>
      <c r="D491" t="inlineStr">
        <is>
          <t>VÄSTERBOTTENS LÄN</t>
        </is>
      </c>
      <c r="E491" t="inlineStr">
        <is>
          <t>ROBERTSFORS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62980-2023</t>
        </is>
      </c>
      <c r="B492" s="1" t="n">
        <v>45272</v>
      </c>
      <c r="C492" s="1" t="n">
        <v>46168</v>
      </c>
      <c r="D492" t="inlineStr">
        <is>
          <t>VÄSTERBOTTENS LÄN</t>
        </is>
      </c>
      <c r="E492" t="inlineStr">
        <is>
          <t>ROBERTSFORS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18289-2026</t>
        </is>
      </c>
      <c r="B493" s="1" t="n">
        <v>46126.43004629629</v>
      </c>
      <c r="C493" s="1" t="n">
        <v>46168</v>
      </c>
      <c r="D493" t="inlineStr">
        <is>
          <t>VÄSTERBOTTENS LÄN</t>
        </is>
      </c>
      <c r="E493" t="inlineStr">
        <is>
          <t>ROBERTSFORS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18294-2026</t>
        </is>
      </c>
      <c r="B494" s="1" t="n">
        <v>46126.4396875</v>
      </c>
      <c r="C494" s="1" t="n">
        <v>46168</v>
      </c>
      <c r="D494" t="inlineStr">
        <is>
          <t>VÄSTERBOTTENS LÄN</t>
        </is>
      </c>
      <c r="E494" t="inlineStr">
        <is>
          <t>ROBERTSFORS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16106-2025</t>
        </is>
      </c>
      <c r="B495" s="1" t="n">
        <v>45750.33010416666</v>
      </c>
      <c r="C495" s="1" t="n">
        <v>46168</v>
      </c>
      <c r="D495" t="inlineStr">
        <is>
          <t>VÄSTERBOTTENS LÄN</t>
        </is>
      </c>
      <c r="E495" t="inlineStr">
        <is>
          <t>ROBERTSFORS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15108-2025</t>
        </is>
      </c>
      <c r="B496" s="1" t="n">
        <v>45744</v>
      </c>
      <c r="C496" s="1" t="n">
        <v>46168</v>
      </c>
      <c r="D496" t="inlineStr">
        <is>
          <t>VÄSTERBOTTENS LÄN</t>
        </is>
      </c>
      <c r="E496" t="inlineStr">
        <is>
          <t>ROBERTSFORS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36477-2024</t>
        </is>
      </c>
      <c r="B497" s="1" t="n">
        <v>45537.36497685185</v>
      </c>
      <c r="C497" s="1" t="n">
        <v>46168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39750-2023</t>
        </is>
      </c>
      <c r="B498" s="1" t="n">
        <v>45166</v>
      </c>
      <c r="C498" s="1" t="n">
        <v>46168</v>
      </c>
      <c r="D498" t="inlineStr">
        <is>
          <t>VÄSTERBOTTENS LÄN</t>
        </is>
      </c>
      <c r="E498" t="inlineStr">
        <is>
          <t>ROBERTSFORS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1922-2023</t>
        </is>
      </c>
      <c r="B499" s="1" t="n">
        <v>44938</v>
      </c>
      <c r="C499" s="1" t="n">
        <v>46168</v>
      </c>
      <c r="D499" t="inlineStr">
        <is>
          <t>VÄSTERBOTTENS LÄN</t>
        </is>
      </c>
      <c r="E499" t="inlineStr">
        <is>
          <t>ROBERTSFORS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61553-2023</t>
        </is>
      </c>
      <c r="B500" s="1" t="n">
        <v>45261</v>
      </c>
      <c r="C500" s="1" t="n">
        <v>46168</v>
      </c>
      <c r="D500" t="inlineStr">
        <is>
          <t>VÄSTERBOTTENS LÄN</t>
        </is>
      </c>
      <c r="E500" t="inlineStr">
        <is>
          <t>ROBERTSFORS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58604-2022</t>
        </is>
      </c>
      <c r="B501" s="1" t="n">
        <v>44894</v>
      </c>
      <c r="C501" s="1" t="n">
        <v>46168</v>
      </c>
      <c r="D501" t="inlineStr">
        <is>
          <t>VÄSTERBOTTENS LÄN</t>
        </is>
      </c>
      <c r="E501" t="inlineStr">
        <is>
          <t>ROBERTSFORS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58426-2022</t>
        </is>
      </c>
      <c r="B502" s="1" t="n">
        <v>44901</v>
      </c>
      <c r="C502" s="1" t="n">
        <v>46168</v>
      </c>
      <c r="D502" t="inlineStr">
        <is>
          <t>VÄSTERBOTTENS LÄN</t>
        </is>
      </c>
      <c r="E502" t="inlineStr">
        <is>
          <t>ROBERTSFORS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18199-2024</t>
        </is>
      </c>
      <c r="B503" s="1" t="n">
        <v>45420</v>
      </c>
      <c r="C503" s="1" t="n">
        <v>46168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19103-2026</t>
        </is>
      </c>
      <c r="B504" s="1" t="n">
        <v>46132.44097222222</v>
      </c>
      <c r="C504" s="1" t="n">
        <v>46168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19077-2026</t>
        </is>
      </c>
      <c r="B505" s="1" t="n">
        <v>46132.38697916667</v>
      </c>
      <c r="C505" s="1" t="n">
        <v>46168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9135-2024</t>
        </is>
      </c>
      <c r="B506" s="1" t="n">
        <v>45357</v>
      </c>
      <c r="C506" s="1" t="n">
        <v>46168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26368-2024</t>
        </is>
      </c>
      <c r="B507" s="1" t="n">
        <v>45468</v>
      </c>
      <c r="C507" s="1" t="n">
        <v>46168</v>
      </c>
      <c r="D507" t="inlineStr">
        <is>
          <t>VÄSTERBOTTENS LÄN</t>
        </is>
      </c>
      <c r="E507" t="inlineStr">
        <is>
          <t>ROBERTSFORS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19126-2026</t>
        </is>
      </c>
      <c r="B508" s="1" t="n">
        <v>46132.48385416667</v>
      </c>
      <c r="C508" s="1" t="n">
        <v>46168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62933-2023</t>
        </is>
      </c>
      <c r="B509" s="1" t="n">
        <v>45271</v>
      </c>
      <c r="C509" s="1" t="n">
        <v>46168</v>
      </c>
      <c r="D509" t="inlineStr">
        <is>
          <t>VÄSTERBOTTENS LÄN</t>
        </is>
      </c>
      <c r="E509" t="inlineStr">
        <is>
          <t>ROBERTSFORS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60882-2024</t>
        </is>
      </c>
      <c r="B510" s="1" t="n">
        <v>45644</v>
      </c>
      <c r="C510" s="1" t="n">
        <v>46168</v>
      </c>
      <c r="D510" t="inlineStr">
        <is>
          <t>VÄSTERBOTTENS LÄN</t>
        </is>
      </c>
      <c r="E510" t="inlineStr">
        <is>
          <t>ROBERTSFORS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19294-2026</t>
        </is>
      </c>
      <c r="B511" s="1" t="n">
        <v>46133.33016203704</v>
      </c>
      <c r="C511" s="1" t="n">
        <v>46168</v>
      </c>
      <c r="D511" t="inlineStr">
        <is>
          <t>VÄSTERBOTTENS LÄN</t>
        </is>
      </c>
      <c r="E511" t="inlineStr">
        <is>
          <t>ROBERTSFORS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31905-2024</t>
        </is>
      </c>
      <c r="B512" s="1" t="n">
        <v>45510.34210648148</v>
      </c>
      <c r="C512" s="1" t="n">
        <v>46168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55717-2024</t>
        </is>
      </c>
      <c r="B513" s="1" t="n">
        <v>45622</v>
      </c>
      <c r="C513" s="1" t="n">
        <v>46168</v>
      </c>
      <c r="D513" t="inlineStr">
        <is>
          <t>VÄSTERBOTTENS LÄN</t>
        </is>
      </c>
      <c r="E513" t="inlineStr">
        <is>
          <t>ROBERTSFORS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1859-2025</t>
        </is>
      </c>
      <c r="B514" s="1" t="n">
        <v>45671</v>
      </c>
      <c r="C514" s="1" t="n">
        <v>46168</v>
      </c>
      <c r="D514" t="inlineStr">
        <is>
          <t>VÄSTERBOTTENS LÄN</t>
        </is>
      </c>
      <c r="E514" t="inlineStr">
        <is>
          <t>ROBERTSFORS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1815-2025</t>
        </is>
      </c>
      <c r="B515" s="1" t="n">
        <v>45671</v>
      </c>
      <c r="C515" s="1" t="n">
        <v>46168</v>
      </c>
      <c r="D515" t="inlineStr">
        <is>
          <t>VÄSTERBOTTENS LÄN</t>
        </is>
      </c>
      <c r="E515" t="inlineStr">
        <is>
          <t>ROBERTSFORS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9305-2023</t>
        </is>
      </c>
      <c r="B516" s="1" t="n">
        <v>44980</v>
      </c>
      <c r="C516" s="1" t="n">
        <v>46168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19732-2026</t>
        </is>
      </c>
      <c r="B517" s="1" t="n">
        <v>46135.30538194445</v>
      </c>
      <c r="C517" s="1" t="n">
        <v>46168</v>
      </c>
      <c r="D517" t="inlineStr">
        <is>
          <t>VÄSTERBOTTENS LÄN</t>
        </is>
      </c>
      <c r="E517" t="inlineStr">
        <is>
          <t>ROBERTSFORS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19730-2026</t>
        </is>
      </c>
      <c r="B518" s="1" t="n">
        <v>46135.30063657407</v>
      </c>
      <c r="C518" s="1" t="n">
        <v>46168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46300-2024</t>
        </is>
      </c>
      <c r="B519" s="1" t="n">
        <v>45581.67887731481</v>
      </c>
      <c r="C519" s="1" t="n">
        <v>46168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19828-2026</t>
        </is>
      </c>
      <c r="B520" s="1" t="n">
        <v>46135.59028935185</v>
      </c>
      <c r="C520" s="1" t="n">
        <v>46168</v>
      </c>
      <c r="D520" t="inlineStr">
        <is>
          <t>VÄSTERBOTTENS LÄN</t>
        </is>
      </c>
      <c r="E520" t="inlineStr">
        <is>
          <t>ROBERTSFORS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19734-2026</t>
        </is>
      </c>
      <c r="B521" s="1" t="n">
        <v>46135.31821759259</v>
      </c>
      <c r="C521" s="1" t="n">
        <v>46168</v>
      </c>
      <c r="D521" t="inlineStr">
        <is>
          <t>VÄSTERBOTTENS LÄN</t>
        </is>
      </c>
      <c r="E521" t="inlineStr">
        <is>
          <t>ROBERTSFORS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54366-2024</t>
        </is>
      </c>
      <c r="B522" s="1" t="n">
        <v>45617</v>
      </c>
      <c r="C522" s="1" t="n">
        <v>46168</v>
      </c>
      <c r="D522" t="inlineStr">
        <is>
          <t>VÄSTERBOTTENS LÄN</t>
        </is>
      </c>
      <c r="E522" t="inlineStr">
        <is>
          <t>ROBERTSFORS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64138-2025</t>
        </is>
      </c>
      <c r="B523" s="1" t="n">
        <v>46022</v>
      </c>
      <c r="C523" s="1" t="n">
        <v>46168</v>
      </c>
      <c r="D523" t="inlineStr">
        <is>
          <t>VÄSTERBOTTENS LÄN</t>
        </is>
      </c>
      <c r="E523" t="inlineStr">
        <is>
          <t>ROBERTSFORS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38951-2024</t>
        </is>
      </c>
      <c r="B524" s="1" t="n">
        <v>45548</v>
      </c>
      <c r="C524" s="1" t="n">
        <v>46168</v>
      </c>
      <c r="D524" t="inlineStr">
        <is>
          <t>VÄSTERBOTTENS LÄN</t>
        </is>
      </c>
      <c r="E524" t="inlineStr">
        <is>
          <t>ROBERTSFORS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19925-2026</t>
        </is>
      </c>
      <c r="B525" s="1" t="n">
        <v>46136.37065972222</v>
      </c>
      <c r="C525" s="1" t="n">
        <v>46168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41914-2024</t>
        </is>
      </c>
      <c r="B526" s="1" t="n">
        <v>45561.55239583334</v>
      </c>
      <c r="C526" s="1" t="n">
        <v>46168</v>
      </c>
      <c r="D526" t="inlineStr">
        <is>
          <t>VÄSTERBOTTENS LÄN</t>
        </is>
      </c>
      <c r="E526" t="inlineStr">
        <is>
          <t>ROBERTSFORS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5864-2025</t>
        </is>
      </c>
      <c r="B527" s="1" t="n">
        <v>45695.35236111111</v>
      </c>
      <c r="C527" s="1" t="n">
        <v>46168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65772-2021</t>
        </is>
      </c>
      <c r="B528" s="1" t="n">
        <v>44516</v>
      </c>
      <c r="C528" s="1" t="n">
        <v>46168</v>
      </c>
      <c r="D528" t="inlineStr">
        <is>
          <t>VÄSTERBOTTENS LÄN</t>
        </is>
      </c>
      <c r="E528" t="inlineStr">
        <is>
          <t>ROBERTSFORS</t>
        </is>
      </c>
      <c r="G528" t="n">
        <v>18.2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16993-2023</t>
        </is>
      </c>
      <c r="B529" s="1" t="n">
        <v>45033.92583333333</v>
      </c>
      <c r="C529" s="1" t="n">
        <v>46168</v>
      </c>
      <c r="D529" t="inlineStr">
        <is>
          <t>VÄSTERBOTTENS LÄN</t>
        </is>
      </c>
      <c r="E529" t="inlineStr">
        <is>
          <t>ROBERTSFORS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19160-2023</t>
        </is>
      </c>
      <c r="B530" s="1" t="n">
        <v>45048</v>
      </c>
      <c r="C530" s="1" t="n">
        <v>46168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13382-2026</t>
        </is>
      </c>
      <c r="B531" s="1" t="n">
        <v>46094.42815972222</v>
      </c>
      <c r="C531" s="1" t="n">
        <v>46168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20355-2026</t>
        </is>
      </c>
      <c r="B532" s="1" t="n">
        <v>46139.65346064815</v>
      </c>
      <c r="C532" s="1" t="n">
        <v>46168</v>
      </c>
      <c r="D532" t="inlineStr">
        <is>
          <t>VÄSTERBOTTENS LÄN</t>
        </is>
      </c>
      <c r="E532" t="inlineStr">
        <is>
          <t>ROBERTSFORS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13397-2026</t>
        </is>
      </c>
      <c r="B533" s="1" t="n">
        <v>46094.44425925926</v>
      </c>
      <c r="C533" s="1" t="n">
        <v>46168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1348-2023</t>
        </is>
      </c>
      <c r="B534" s="1" t="n">
        <v>44936</v>
      </c>
      <c r="C534" s="1" t="n">
        <v>46168</v>
      </c>
      <c r="D534" t="inlineStr">
        <is>
          <t>VÄSTERBOTTENS LÄN</t>
        </is>
      </c>
      <c r="E534" t="inlineStr">
        <is>
          <t>ROBERTSFORS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20377-2026</t>
        </is>
      </c>
      <c r="B535" s="1" t="n">
        <v>46139.68752314815</v>
      </c>
      <c r="C535" s="1" t="n">
        <v>46168</v>
      </c>
      <c r="D535" t="inlineStr">
        <is>
          <t>VÄSTERBOTTENS LÄN</t>
        </is>
      </c>
      <c r="E535" t="inlineStr">
        <is>
          <t>ROBERTSFORS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19776-2024</t>
        </is>
      </c>
      <c r="B536" s="1" t="n">
        <v>45432</v>
      </c>
      <c r="C536" s="1" t="n">
        <v>46168</v>
      </c>
      <c r="D536" t="inlineStr">
        <is>
          <t>VÄSTERBOTTENS LÄN</t>
        </is>
      </c>
      <c r="E536" t="inlineStr">
        <is>
          <t>ROBERTSFORS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20423-2026</t>
        </is>
      </c>
      <c r="B537" s="1" t="n">
        <v>46140.36487268518</v>
      </c>
      <c r="C537" s="1" t="n">
        <v>46168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38092-2022</t>
        </is>
      </c>
      <c r="B538" s="1" t="n">
        <v>44811.93648148148</v>
      </c>
      <c r="C538" s="1" t="n">
        <v>46168</v>
      </c>
      <c r="D538" t="inlineStr">
        <is>
          <t>VÄSTERBOTTENS LÄN</t>
        </is>
      </c>
      <c r="E538" t="inlineStr">
        <is>
          <t>ROBERTSFORS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20363-2026</t>
        </is>
      </c>
      <c r="B539" s="1" t="n">
        <v>46139.67206018518</v>
      </c>
      <c r="C539" s="1" t="n">
        <v>46168</v>
      </c>
      <c r="D539" t="inlineStr">
        <is>
          <t>VÄSTERBOTTENS LÄN</t>
        </is>
      </c>
      <c r="E539" t="inlineStr">
        <is>
          <t>ROBERTSFORS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14096-2026</t>
        </is>
      </c>
      <c r="B540" s="1" t="n">
        <v>46099.40140046296</v>
      </c>
      <c r="C540" s="1" t="n">
        <v>46168</v>
      </c>
      <c r="D540" t="inlineStr">
        <is>
          <t>VÄSTERBOTTENS LÄN</t>
        </is>
      </c>
      <c r="E540" t="inlineStr">
        <is>
          <t>ROBERTSFORS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20644-2026</t>
        </is>
      </c>
      <c r="B541" s="1" t="n">
        <v>46141.38436342592</v>
      </c>
      <c r="C541" s="1" t="n">
        <v>46168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62084-2022</t>
        </is>
      </c>
      <c r="B542" s="1" t="n">
        <v>44919</v>
      </c>
      <c r="C542" s="1" t="n">
        <v>46168</v>
      </c>
      <c r="D542" t="inlineStr">
        <is>
          <t>VÄSTERBOTTENS LÄN</t>
        </is>
      </c>
      <c r="E542" t="inlineStr">
        <is>
          <t>ROBERTSFORS</t>
        </is>
      </c>
      <c r="G542" t="n">
        <v>64.7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14098-2026</t>
        </is>
      </c>
      <c r="B543" s="1" t="n">
        <v>46099.40527777778</v>
      </c>
      <c r="C543" s="1" t="n">
        <v>46168</v>
      </c>
      <c r="D543" t="inlineStr">
        <is>
          <t>VÄSTERBOTTENS LÄN</t>
        </is>
      </c>
      <c r="E543" t="inlineStr">
        <is>
          <t>ROBERTSFORS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43354-2024</t>
        </is>
      </c>
      <c r="B544" s="1" t="n">
        <v>45568.56800925926</v>
      </c>
      <c r="C544" s="1" t="n">
        <v>46168</v>
      </c>
      <c r="D544" t="inlineStr">
        <is>
          <t>VÄSTERBOTTENS LÄN</t>
        </is>
      </c>
      <c r="E544" t="inlineStr">
        <is>
          <t>ROBERTSFORS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52434-2023</t>
        </is>
      </c>
      <c r="B545" s="1" t="n">
        <v>45225.33805555556</v>
      </c>
      <c r="C545" s="1" t="n">
        <v>46168</v>
      </c>
      <c r="D545" t="inlineStr">
        <is>
          <t>VÄSTERBOTTENS LÄN</t>
        </is>
      </c>
      <c r="E545" t="inlineStr">
        <is>
          <t>ROBERTSFORS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51966-2024</t>
        </is>
      </c>
      <c r="B546" s="1" t="n">
        <v>45607.65512731481</v>
      </c>
      <c r="C546" s="1" t="n">
        <v>46168</v>
      </c>
      <c r="D546" t="inlineStr">
        <is>
          <t>VÄSTERBOTTENS LÄN</t>
        </is>
      </c>
      <c r="E546" t="inlineStr">
        <is>
          <t>ROBERTSFORS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1883-2025</t>
        </is>
      </c>
      <c r="B547" s="1" t="n">
        <v>45671</v>
      </c>
      <c r="C547" s="1" t="n">
        <v>46168</v>
      </c>
      <c r="D547" t="inlineStr">
        <is>
          <t>VÄSTERBOTTENS LÄN</t>
        </is>
      </c>
      <c r="E547" t="inlineStr">
        <is>
          <t>ROBERTSFORS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62187-2021</t>
        </is>
      </c>
      <c r="B548" s="1" t="n">
        <v>44502.91891203704</v>
      </c>
      <c r="C548" s="1" t="n">
        <v>46168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2708-2022</t>
        </is>
      </c>
      <c r="B549" s="1" t="n">
        <v>44580</v>
      </c>
      <c r="C549" s="1" t="n">
        <v>46168</v>
      </c>
      <c r="D549" t="inlineStr">
        <is>
          <t>VÄSTERBOTTENS LÄN</t>
        </is>
      </c>
      <c r="E549" t="inlineStr">
        <is>
          <t>ROBERTSFORS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15015-2026</t>
        </is>
      </c>
      <c r="B550" s="1" t="n">
        <v>46104.6215625</v>
      </c>
      <c r="C550" s="1" t="n">
        <v>46168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14538-2023</t>
        </is>
      </c>
      <c r="B551" s="1" t="n">
        <v>45013</v>
      </c>
      <c r="C551" s="1" t="n">
        <v>46168</v>
      </c>
      <c r="D551" t="inlineStr">
        <is>
          <t>VÄSTERBOTTENS LÄN</t>
        </is>
      </c>
      <c r="E551" t="inlineStr">
        <is>
          <t>ROBERTSFORS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16653-2023</t>
        </is>
      </c>
      <c r="B552" s="1" t="n">
        <v>45030.5209375</v>
      </c>
      <c r="C552" s="1" t="n">
        <v>46168</v>
      </c>
      <c r="D552" t="inlineStr">
        <is>
          <t>VÄSTERBOTTENS LÄN</t>
        </is>
      </c>
      <c r="E552" t="inlineStr">
        <is>
          <t>ROBERTSFORS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59051-2024</t>
        </is>
      </c>
      <c r="B553" s="1" t="n">
        <v>45636.78251157407</v>
      </c>
      <c r="C553" s="1" t="n">
        <v>46168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15302-2026</t>
        </is>
      </c>
      <c r="B554" s="1" t="n">
        <v>46105.6370949074</v>
      </c>
      <c r="C554" s="1" t="n">
        <v>46168</v>
      </c>
      <c r="D554" t="inlineStr">
        <is>
          <t>VÄSTERBOTTENS LÄN</t>
        </is>
      </c>
      <c r="E554" t="inlineStr">
        <is>
          <t>ROBERTSFORS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35497-2023</t>
        </is>
      </c>
      <c r="B555" s="1" t="n">
        <v>45146</v>
      </c>
      <c r="C555" s="1" t="n">
        <v>46168</v>
      </c>
      <c r="D555" t="inlineStr">
        <is>
          <t>VÄSTERBOTTENS LÄN</t>
        </is>
      </c>
      <c r="E555" t="inlineStr">
        <is>
          <t>ROBERTSFORS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21030-2026</t>
        </is>
      </c>
      <c r="B556" s="1" t="n">
        <v>46146.32375</v>
      </c>
      <c r="C556" s="1" t="n">
        <v>46168</v>
      </c>
      <c r="D556" t="inlineStr">
        <is>
          <t>VÄSTERBOTTENS LÄN</t>
        </is>
      </c>
      <c r="E556" t="inlineStr">
        <is>
          <t>ROBERTSFORS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59596-2023</t>
        </is>
      </c>
      <c r="B557" s="1" t="n">
        <v>45254</v>
      </c>
      <c r="C557" s="1" t="n">
        <v>46168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21512-2026</t>
        </is>
      </c>
      <c r="B558" s="1" t="n">
        <v>46148.60244212963</v>
      </c>
      <c r="C558" s="1" t="n">
        <v>46168</v>
      </c>
      <c r="D558" t="inlineStr">
        <is>
          <t>VÄSTERBOTTENS LÄN</t>
        </is>
      </c>
      <c r="E558" t="inlineStr">
        <is>
          <t>ROBERTSFORS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53271-2021</t>
        </is>
      </c>
      <c r="B559" s="1" t="n">
        <v>44467</v>
      </c>
      <c r="C559" s="1" t="n">
        <v>46168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45924-2024</t>
        </is>
      </c>
      <c r="B560" s="1" t="n">
        <v>45580.47027777778</v>
      </c>
      <c r="C560" s="1" t="n">
        <v>46168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30733-2024</t>
        </is>
      </c>
      <c r="B561" s="1" t="n">
        <v>45496.62179398148</v>
      </c>
      <c r="C561" s="1" t="n">
        <v>46168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22011-2026</t>
        </is>
      </c>
      <c r="B562" s="1" t="n">
        <v>46153.38734953704</v>
      </c>
      <c r="C562" s="1" t="n">
        <v>46168</v>
      </c>
      <c r="D562" t="inlineStr">
        <is>
          <t>VÄSTERBOTTENS LÄN</t>
        </is>
      </c>
      <c r="E562" t="inlineStr">
        <is>
          <t>ROBERTSFORS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21995-2026</t>
        </is>
      </c>
      <c r="B563" s="1" t="n">
        <v>46153.3477199074</v>
      </c>
      <c r="C563" s="1" t="n">
        <v>46168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13164-2024</t>
        </is>
      </c>
      <c r="B564" s="1" t="n">
        <v>45386</v>
      </c>
      <c r="C564" s="1" t="n">
        <v>46168</v>
      </c>
      <c r="D564" t="inlineStr">
        <is>
          <t>VÄSTERBOTTENS LÄN</t>
        </is>
      </c>
      <c r="E564" t="inlineStr">
        <is>
          <t>ROBERTSFORS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16008-2026</t>
        </is>
      </c>
      <c r="B565" s="1" t="n">
        <v>46108.41924768518</v>
      </c>
      <c r="C565" s="1" t="n">
        <v>46168</v>
      </c>
      <c r="D565" t="inlineStr">
        <is>
          <t>VÄSTERBOTTENS LÄN</t>
        </is>
      </c>
      <c r="E565" t="inlineStr">
        <is>
          <t>ROBERTSFORS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54968-2024</t>
        </is>
      </c>
      <c r="B566" s="1" t="n">
        <v>45620.4262962963</v>
      </c>
      <c r="C566" s="1" t="n">
        <v>46168</v>
      </c>
      <c r="D566" t="inlineStr">
        <is>
          <t>VÄSTERBOTTENS LÄN</t>
        </is>
      </c>
      <c r="E566" t="inlineStr">
        <is>
          <t>ROBERTSFORS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21971-2026</t>
        </is>
      </c>
      <c r="B567" s="1" t="n">
        <v>46153.30535879629</v>
      </c>
      <c r="C567" s="1" t="n">
        <v>46168</v>
      </c>
      <c r="D567" t="inlineStr">
        <is>
          <t>VÄSTERBOTTENS LÄN</t>
        </is>
      </c>
      <c r="E567" t="inlineStr">
        <is>
          <t>ROBERTSFORS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22076-2026</t>
        </is>
      </c>
      <c r="B568" s="1" t="n">
        <v>46153.51082175926</v>
      </c>
      <c r="C568" s="1" t="n">
        <v>46168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26894-2024</t>
        </is>
      </c>
      <c r="B569" s="1" t="n">
        <v>45470.66340277778</v>
      </c>
      <c r="C569" s="1" t="n">
        <v>46168</v>
      </c>
      <c r="D569" t="inlineStr">
        <is>
          <t>VÄSTERBOTTENS LÄN</t>
        </is>
      </c>
      <c r="E569" t="inlineStr">
        <is>
          <t>ROBERTSFORS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15799-2024</t>
        </is>
      </c>
      <c r="B570" s="1" t="n">
        <v>45404.63964120371</v>
      </c>
      <c r="C570" s="1" t="n">
        <v>46168</v>
      </c>
      <c r="D570" t="inlineStr">
        <is>
          <t>VÄSTERBOTTENS LÄN</t>
        </is>
      </c>
      <c r="E570" t="inlineStr">
        <is>
          <t>ROBERTSFORS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16921-2023</t>
        </is>
      </c>
      <c r="B571" s="1" t="n">
        <v>45029</v>
      </c>
      <c r="C571" s="1" t="n">
        <v>46168</v>
      </c>
      <c r="D571" t="inlineStr">
        <is>
          <t>VÄSTERBOTTENS LÄN</t>
        </is>
      </c>
      <c r="E571" t="inlineStr">
        <is>
          <t>ROBERTSFORS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62937-2023</t>
        </is>
      </c>
      <c r="B572" s="1" t="n">
        <v>45271</v>
      </c>
      <c r="C572" s="1" t="n">
        <v>46168</v>
      </c>
      <c r="D572" t="inlineStr">
        <is>
          <t>VÄSTERBOTTENS LÄN</t>
        </is>
      </c>
      <c r="E572" t="inlineStr">
        <is>
          <t>ROBERTSFORS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4478-2023</t>
        </is>
      </c>
      <c r="B573" s="1" t="n">
        <v>44952</v>
      </c>
      <c r="C573" s="1" t="n">
        <v>46168</v>
      </c>
      <c r="D573" t="inlineStr">
        <is>
          <t>VÄSTERBOTTENS LÄN</t>
        </is>
      </c>
      <c r="E573" t="inlineStr">
        <is>
          <t>ROBERTSFORS</t>
        </is>
      </c>
      <c r="G573" t="n">
        <v>16.1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56703-2024</t>
        </is>
      </c>
      <c r="B574" s="1" t="n">
        <v>45627</v>
      </c>
      <c r="C574" s="1" t="n">
        <v>46168</v>
      </c>
      <c r="D574" t="inlineStr">
        <is>
          <t>VÄSTERBOTTENS LÄN</t>
        </is>
      </c>
      <c r="E574" t="inlineStr">
        <is>
          <t>ROBERTSFORS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24241-2022</t>
        </is>
      </c>
      <c r="B575" s="1" t="n">
        <v>44725</v>
      </c>
      <c r="C575" s="1" t="n">
        <v>46168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26038-2022</t>
        </is>
      </c>
      <c r="B576" s="1" t="n">
        <v>44734.58537037037</v>
      </c>
      <c r="C576" s="1" t="n">
        <v>46168</v>
      </c>
      <c r="D576" t="inlineStr">
        <is>
          <t>VÄSTERBOTTENS LÄN</t>
        </is>
      </c>
      <c r="E576" t="inlineStr">
        <is>
          <t>ROBERTSFORS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22657-2026</t>
        </is>
      </c>
      <c r="B577" s="1" t="n">
        <v>46155.6840625</v>
      </c>
      <c r="C577" s="1" t="n">
        <v>46168</v>
      </c>
      <c r="D577" t="inlineStr">
        <is>
          <t>VÄSTERBOTTENS LÄN</t>
        </is>
      </c>
      <c r="E577" t="inlineStr">
        <is>
          <t>ROBERTSFORS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3222-2025</t>
        </is>
      </c>
      <c r="B578" s="1" t="n">
        <v>45679</v>
      </c>
      <c r="C578" s="1" t="n">
        <v>46168</v>
      </c>
      <c r="D578" t="inlineStr">
        <is>
          <t>VÄSTERBOTTENS LÄN</t>
        </is>
      </c>
      <c r="E578" t="inlineStr">
        <is>
          <t>ROBERTSFORS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16482-2026</t>
        </is>
      </c>
      <c r="B579" s="1" t="n">
        <v>46112.40325231481</v>
      </c>
      <c r="C579" s="1" t="n">
        <v>46168</v>
      </c>
      <c r="D579" t="inlineStr">
        <is>
          <t>VÄSTERBOTTENS LÄN</t>
        </is>
      </c>
      <c r="E579" t="inlineStr">
        <is>
          <t>ROBERTSFORS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16866-2026</t>
        </is>
      </c>
      <c r="B580" s="1" t="n">
        <v>46113.57355324074</v>
      </c>
      <c r="C580" s="1" t="n">
        <v>46168</v>
      </c>
      <c r="D580" t="inlineStr">
        <is>
          <t>VÄSTERBOTTENS LÄN</t>
        </is>
      </c>
      <c r="E580" t="inlineStr">
        <is>
          <t>ROBERTSFORS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9315-2023</t>
        </is>
      </c>
      <c r="B581" s="1" t="n">
        <v>44980.68075231482</v>
      </c>
      <c r="C581" s="1" t="n">
        <v>46168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22436-2026</t>
        </is>
      </c>
      <c r="B582" s="1" t="n">
        <v>46155.31197916667</v>
      </c>
      <c r="C582" s="1" t="n">
        <v>46168</v>
      </c>
      <c r="D582" t="inlineStr">
        <is>
          <t>VÄSTERBOTTENS LÄN</t>
        </is>
      </c>
      <c r="E582" t="inlineStr">
        <is>
          <t>ROBERTSFORS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24136-2023</t>
        </is>
      </c>
      <c r="B583" s="1" t="n">
        <v>45076</v>
      </c>
      <c r="C583" s="1" t="n">
        <v>46168</v>
      </c>
      <c r="D583" t="inlineStr">
        <is>
          <t>VÄSTERBOTTENS LÄN</t>
        </is>
      </c>
      <c r="E583" t="inlineStr">
        <is>
          <t>ROBERTSFORS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16872-2026</t>
        </is>
      </c>
      <c r="B584" s="1" t="n">
        <v>46113.58436342593</v>
      </c>
      <c r="C584" s="1" t="n">
        <v>46168</v>
      </c>
      <c r="D584" t="inlineStr">
        <is>
          <t>VÄSTERBOTTENS LÄN</t>
        </is>
      </c>
      <c r="E584" t="inlineStr">
        <is>
          <t>ROBERTSFORS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47329-2024</t>
        </is>
      </c>
      <c r="B585" s="1" t="n">
        <v>45587.38643518519</v>
      </c>
      <c r="C585" s="1" t="n">
        <v>46168</v>
      </c>
      <c r="D585" t="inlineStr">
        <is>
          <t>VÄSTERBOTTENS LÄN</t>
        </is>
      </c>
      <c r="E585" t="inlineStr">
        <is>
          <t>ROBERTSFORS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38949-2024</t>
        </is>
      </c>
      <c r="B586" s="1" t="n">
        <v>45548</v>
      </c>
      <c r="C586" s="1" t="n">
        <v>46168</v>
      </c>
      <c r="D586" t="inlineStr">
        <is>
          <t>VÄSTERBOTTENS LÄN</t>
        </is>
      </c>
      <c r="E586" t="inlineStr">
        <is>
          <t>ROBERTSFORS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33438-2023</t>
        </is>
      </c>
      <c r="B587" s="1" t="n">
        <v>45129.5255787037</v>
      </c>
      <c r="C587" s="1" t="n">
        <v>46168</v>
      </c>
      <c r="D587" t="inlineStr">
        <is>
          <t>VÄSTERBOTTENS LÄN</t>
        </is>
      </c>
      <c r="E587" t="inlineStr">
        <is>
          <t>ROBERTSFORS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63771-2023</t>
        </is>
      </c>
      <c r="B588" s="1" t="n">
        <v>45278</v>
      </c>
      <c r="C588" s="1" t="n">
        <v>46168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Sveaskog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49031-2024</t>
        </is>
      </c>
      <c r="B589" s="1" t="n">
        <v>45594.53015046296</v>
      </c>
      <c r="C589" s="1" t="n">
        <v>46168</v>
      </c>
      <c r="D589" t="inlineStr">
        <is>
          <t>VÄSTERBOTTENS LÄN</t>
        </is>
      </c>
      <c r="E589" t="inlineStr">
        <is>
          <t>ROBERTSFORS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22880-2026</t>
        </is>
      </c>
      <c r="B590" s="1" t="n">
        <v>46160.45793981481</v>
      </c>
      <c r="C590" s="1" t="n">
        <v>46168</v>
      </c>
      <c r="D590" t="inlineStr">
        <is>
          <t>VÄSTERBOTTENS LÄN</t>
        </is>
      </c>
      <c r="E590" t="inlineStr">
        <is>
          <t>ROBERTSFORS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22934-2026</t>
        </is>
      </c>
      <c r="B591" s="1" t="n">
        <v>46160.56555555556</v>
      </c>
      <c r="C591" s="1" t="n">
        <v>46168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22929-2026</t>
        </is>
      </c>
      <c r="B592" s="1" t="n">
        <v>46160.55351851852</v>
      </c>
      <c r="C592" s="1" t="n">
        <v>46168</v>
      </c>
      <c r="D592" t="inlineStr">
        <is>
          <t>VÄSTERBOTTENS LÄN</t>
        </is>
      </c>
      <c r="E592" t="inlineStr">
        <is>
          <t>ROBERTSFORS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25575-2022</t>
        </is>
      </c>
      <c r="B593" s="1" t="n">
        <v>44732</v>
      </c>
      <c r="C593" s="1" t="n">
        <v>46168</v>
      </c>
      <c r="D593" t="inlineStr">
        <is>
          <t>VÄSTERBOTTENS LÄN</t>
        </is>
      </c>
      <c r="E593" t="inlineStr">
        <is>
          <t>ROBERTSFORS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37901-2023</t>
        </is>
      </c>
      <c r="B594" s="1" t="n">
        <v>45160.4729050926</v>
      </c>
      <c r="C594" s="1" t="n">
        <v>46168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25569-2023</t>
        </is>
      </c>
      <c r="B595" s="1" t="n">
        <v>45089</v>
      </c>
      <c r="C595" s="1" t="n">
        <v>46168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45927-2024</t>
        </is>
      </c>
      <c r="B596" s="1" t="n">
        <v>45580</v>
      </c>
      <c r="C596" s="1" t="n">
        <v>46168</v>
      </c>
      <c r="D596" t="inlineStr">
        <is>
          <t>VÄSTERBOTTENS LÄN</t>
        </is>
      </c>
      <c r="E596" t="inlineStr">
        <is>
          <t>ROBERTSFORS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50046-2024</t>
        </is>
      </c>
      <c r="B597" s="1" t="n">
        <v>45600.31105324074</v>
      </c>
      <c r="C597" s="1" t="n">
        <v>46168</v>
      </c>
      <c r="D597" t="inlineStr">
        <is>
          <t>VÄSTERBOTTENS LÄN</t>
        </is>
      </c>
      <c r="E597" t="inlineStr">
        <is>
          <t>ROBERTSFORS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15159-2025</t>
        </is>
      </c>
      <c r="B598" s="1" t="n">
        <v>45744.47206018519</v>
      </c>
      <c r="C598" s="1" t="n">
        <v>46168</v>
      </c>
      <c r="D598" t="inlineStr">
        <is>
          <t>VÄSTERBOTTENS LÄN</t>
        </is>
      </c>
      <c r="E598" t="inlineStr">
        <is>
          <t>ROBERTSFORS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17449-2026</t>
        </is>
      </c>
      <c r="B599" s="1" t="n">
        <v>46120</v>
      </c>
      <c r="C599" s="1" t="n">
        <v>46168</v>
      </c>
      <c r="D599" t="inlineStr">
        <is>
          <t>VÄSTERBOTTENS LÄN</t>
        </is>
      </c>
      <c r="E599" t="inlineStr">
        <is>
          <t>ROBERTSFORS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21176-2026</t>
        </is>
      </c>
      <c r="B600" s="1" t="n">
        <v>46146</v>
      </c>
      <c r="C600" s="1" t="n">
        <v>46168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21907-2026</t>
        </is>
      </c>
      <c r="B601" s="1" t="n">
        <v>46150</v>
      </c>
      <c r="C601" s="1" t="n">
        <v>46168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52997-2024</t>
        </is>
      </c>
      <c r="B602" s="1" t="n">
        <v>45611.38657407407</v>
      </c>
      <c r="C602" s="1" t="n">
        <v>46168</v>
      </c>
      <c r="D602" t="inlineStr">
        <is>
          <t>VÄSTERBOTTENS LÄN</t>
        </is>
      </c>
      <c r="E602" t="inlineStr">
        <is>
          <t>ROBERTSFORS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40633-2023</t>
        </is>
      </c>
      <c r="B603" s="1" t="n">
        <v>45170</v>
      </c>
      <c r="C603" s="1" t="n">
        <v>46168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43547-2023</t>
        </is>
      </c>
      <c r="B604" s="1" t="n">
        <v>45184.56421296296</v>
      </c>
      <c r="C604" s="1" t="n">
        <v>46168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58565-2023</t>
        </is>
      </c>
      <c r="B605" s="1" t="n">
        <v>45246</v>
      </c>
      <c r="C605" s="1" t="n">
        <v>46168</v>
      </c>
      <c r="D605" t="inlineStr">
        <is>
          <t>VÄSTERBOTTENS LÄN</t>
        </is>
      </c>
      <c r="E605" t="inlineStr">
        <is>
          <t>ROBERTSFORS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55469-2021</t>
        </is>
      </c>
      <c r="B606" s="1" t="n">
        <v>44475</v>
      </c>
      <c r="C606" s="1" t="n">
        <v>46168</v>
      </c>
      <c r="D606" t="inlineStr">
        <is>
          <t>VÄSTERBOTTENS LÄN</t>
        </is>
      </c>
      <c r="E606" t="inlineStr">
        <is>
          <t>ROBERTSFORS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26797-2023</t>
        </is>
      </c>
      <c r="B607" s="1" t="n">
        <v>45090</v>
      </c>
      <c r="C607" s="1" t="n">
        <v>46168</v>
      </c>
      <c r="D607" t="inlineStr">
        <is>
          <t>VÄSTERBOTTENS LÄN</t>
        </is>
      </c>
      <c r="E607" t="inlineStr">
        <is>
          <t>ROBERTSFORS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41269-2024</t>
        </is>
      </c>
      <c r="B608" s="1" t="n">
        <v>45559</v>
      </c>
      <c r="C608" s="1" t="n">
        <v>46168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Sveaskog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17780-2026</t>
        </is>
      </c>
      <c r="B609" s="1" t="n">
        <v>46122.37253472222</v>
      </c>
      <c r="C609" s="1" t="n">
        <v>46168</v>
      </c>
      <c r="D609" t="inlineStr">
        <is>
          <t>VÄSTERBOTTENS LÄN</t>
        </is>
      </c>
      <c r="E609" t="inlineStr">
        <is>
          <t>ROBERTSFORS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17753-2026</t>
        </is>
      </c>
      <c r="B610" s="1" t="n">
        <v>46122.34603009259</v>
      </c>
      <c r="C610" s="1" t="n">
        <v>46168</v>
      </c>
      <c r="D610" t="inlineStr">
        <is>
          <t>VÄSTERBOTTENS LÄN</t>
        </is>
      </c>
      <c r="E610" t="inlineStr">
        <is>
          <t>ROBERTSFORS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59256-2022</t>
        </is>
      </c>
      <c r="B611" s="1" t="n">
        <v>44904.57989583333</v>
      </c>
      <c r="C611" s="1" t="n">
        <v>46168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14176-2023</t>
        </is>
      </c>
      <c r="B612" s="1" t="n">
        <v>45009</v>
      </c>
      <c r="C612" s="1" t="n">
        <v>46168</v>
      </c>
      <c r="D612" t="inlineStr">
        <is>
          <t>VÄSTERBOTTENS LÄN</t>
        </is>
      </c>
      <c r="E612" t="inlineStr">
        <is>
          <t>ROBERTSFORS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8686-2025</t>
        </is>
      </c>
      <c r="B613" s="1" t="n">
        <v>45712.45840277777</v>
      </c>
      <c r="C613" s="1" t="n">
        <v>46168</v>
      </c>
      <c r="D613" t="inlineStr">
        <is>
          <t>VÄSTERBOTTENS LÄN</t>
        </is>
      </c>
      <c r="E613" t="inlineStr">
        <is>
          <t>ROBERTSFORS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58624-2023</t>
        </is>
      </c>
      <c r="B614" s="1" t="n">
        <v>45251</v>
      </c>
      <c r="C614" s="1" t="n">
        <v>46168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59306-2023</t>
        </is>
      </c>
      <c r="B615" s="1" t="n">
        <v>45253.59967592593</v>
      </c>
      <c r="C615" s="1" t="n">
        <v>46168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41299-2024</t>
        </is>
      </c>
      <c r="B616" s="1" t="n">
        <v>45559.61635416667</v>
      </c>
      <c r="C616" s="1" t="n">
        <v>46168</v>
      </c>
      <c r="D616" t="inlineStr">
        <is>
          <t>VÄSTERBOTTENS LÄN</t>
        </is>
      </c>
      <c r="E616" t="inlineStr">
        <is>
          <t>ROBERTSFORS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51873-2024</t>
        </is>
      </c>
      <c r="B617" s="1" t="n">
        <v>45607</v>
      </c>
      <c r="C617" s="1" t="n">
        <v>46168</v>
      </c>
      <c r="D617" t="inlineStr">
        <is>
          <t>VÄSTERBOTTENS LÄN</t>
        </is>
      </c>
      <c r="E617" t="inlineStr">
        <is>
          <t>ROBERTSFORS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17765-2026</t>
        </is>
      </c>
      <c r="B618" s="1" t="n">
        <v>46122.35976851852</v>
      </c>
      <c r="C618" s="1" t="n">
        <v>46168</v>
      </c>
      <c r="D618" t="inlineStr">
        <is>
          <t>VÄSTERBOTTENS LÄN</t>
        </is>
      </c>
      <c r="E618" t="inlineStr">
        <is>
          <t>ROBERTSFORS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60510-2022</t>
        </is>
      </c>
      <c r="B619" s="1" t="n">
        <v>44911</v>
      </c>
      <c r="C619" s="1" t="n">
        <v>46168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Sveaskog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1814-2025</t>
        </is>
      </c>
      <c r="B620" s="1" t="n">
        <v>45671</v>
      </c>
      <c r="C620" s="1" t="n">
        <v>46168</v>
      </c>
      <c r="D620" t="inlineStr">
        <is>
          <t>VÄSTERBOTTENS LÄN</t>
        </is>
      </c>
      <c r="E620" t="inlineStr">
        <is>
          <t>ROBERTSFORS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5689-2023</t>
        </is>
      </c>
      <c r="B621" s="1" t="n">
        <v>44960</v>
      </c>
      <c r="C621" s="1" t="n">
        <v>46168</v>
      </c>
      <c r="D621" t="inlineStr">
        <is>
          <t>VÄSTERBOTTENS LÄN</t>
        </is>
      </c>
      <c r="E621" t="inlineStr">
        <is>
          <t>ROBERTSFORS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5690-2023</t>
        </is>
      </c>
      <c r="B622" s="1" t="n">
        <v>44960</v>
      </c>
      <c r="C622" s="1" t="n">
        <v>46168</v>
      </c>
      <c r="D622" t="inlineStr">
        <is>
          <t>VÄSTERBOTTENS LÄN</t>
        </is>
      </c>
      <c r="E622" t="inlineStr">
        <is>
          <t>ROBERTSFORS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5691-2023</t>
        </is>
      </c>
      <c r="B623" s="1" t="n">
        <v>44960</v>
      </c>
      <c r="C623" s="1" t="n">
        <v>46168</v>
      </c>
      <c r="D623" t="inlineStr">
        <is>
          <t>VÄSTERBOTTENS LÄN</t>
        </is>
      </c>
      <c r="E623" t="inlineStr">
        <is>
          <t>ROBERTSFORS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8309-2025</t>
        </is>
      </c>
      <c r="B624" s="1" t="n">
        <v>45708.60898148148</v>
      </c>
      <c r="C624" s="1" t="n">
        <v>46168</v>
      </c>
      <c r="D624" t="inlineStr">
        <is>
          <t>VÄSTERBOTTENS LÄN</t>
        </is>
      </c>
      <c r="E624" t="inlineStr">
        <is>
          <t>ROBERTSFORS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35221-2024</t>
        </is>
      </c>
      <c r="B625" s="1" t="n">
        <v>45530.50326388889</v>
      </c>
      <c r="C625" s="1" t="n">
        <v>46168</v>
      </c>
      <c r="D625" t="inlineStr">
        <is>
          <t>VÄSTERBOTTENS LÄN</t>
        </is>
      </c>
      <c r="E625" t="inlineStr">
        <is>
          <t>ROBERTSFORS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35222-2024</t>
        </is>
      </c>
      <c r="B626" s="1" t="n">
        <v>45530.50581018518</v>
      </c>
      <c r="C626" s="1" t="n">
        <v>46168</v>
      </c>
      <c r="D626" t="inlineStr">
        <is>
          <t>VÄSTERBOTTENS LÄN</t>
        </is>
      </c>
      <c r="E626" t="inlineStr">
        <is>
          <t>ROBERTSFORS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24295-2023</t>
        </is>
      </c>
      <c r="B627" s="1" t="n">
        <v>45079</v>
      </c>
      <c r="C627" s="1" t="n">
        <v>46168</v>
      </c>
      <c r="D627" t="inlineStr">
        <is>
          <t>VÄSTERBOTTENS LÄN</t>
        </is>
      </c>
      <c r="E627" t="inlineStr">
        <is>
          <t>ROBERTSFORS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42494-2024</t>
        </is>
      </c>
      <c r="B628" s="1" t="n">
        <v>45565.49755787037</v>
      </c>
      <c r="C628" s="1" t="n">
        <v>46168</v>
      </c>
      <c r="D628" t="inlineStr">
        <is>
          <t>VÄSTERBOTTENS LÄN</t>
        </is>
      </c>
      <c r="E628" t="inlineStr">
        <is>
          <t>ROBERTSFORS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1713-2024</t>
        </is>
      </c>
      <c r="B629" s="1" t="n">
        <v>45307</v>
      </c>
      <c r="C629" s="1" t="n">
        <v>46168</v>
      </c>
      <c r="D629" t="inlineStr">
        <is>
          <t>VÄSTERBOTTENS LÄN</t>
        </is>
      </c>
      <c r="E629" t="inlineStr">
        <is>
          <t>ROBERTSFORS</t>
        </is>
      </c>
      <c r="G629" t="n">
        <v>12.1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15528-2023</t>
        </is>
      </c>
      <c r="B630" s="1" t="n">
        <v>45020</v>
      </c>
      <c r="C630" s="1" t="n">
        <v>46168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Sveaskog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12034-2025</t>
        </is>
      </c>
      <c r="B631" s="1" t="n">
        <v>45728.64752314815</v>
      </c>
      <c r="C631" s="1" t="n">
        <v>46168</v>
      </c>
      <c r="D631" t="inlineStr">
        <is>
          <t>VÄSTERBOTTENS LÄN</t>
        </is>
      </c>
      <c r="E631" t="inlineStr">
        <is>
          <t>ROBERTSFORS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4016-2023</t>
        </is>
      </c>
      <c r="B632" s="1" t="n">
        <v>44952.54068287037</v>
      </c>
      <c r="C632" s="1" t="n">
        <v>46168</v>
      </c>
      <c r="D632" t="inlineStr">
        <is>
          <t>VÄSTERBOTTENS LÄN</t>
        </is>
      </c>
      <c r="E632" t="inlineStr">
        <is>
          <t>ROBERTSFORS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46388-2023</t>
        </is>
      </c>
      <c r="B633" s="1" t="n">
        <v>45197.47825231482</v>
      </c>
      <c r="C633" s="1" t="n">
        <v>46168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40600-2022</t>
        </is>
      </c>
      <c r="B634" s="1" t="n">
        <v>44823</v>
      </c>
      <c r="C634" s="1" t="n">
        <v>46168</v>
      </c>
      <c r="D634" t="inlineStr">
        <is>
          <t>VÄSTERBOTTENS LÄN</t>
        </is>
      </c>
      <c r="E634" t="inlineStr">
        <is>
          <t>ROBERTSFORS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647-2025</t>
        </is>
      </c>
      <c r="B635" s="1" t="n">
        <v>45661</v>
      </c>
      <c r="C635" s="1" t="n">
        <v>46168</v>
      </c>
      <c r="D635" t="inlineStr">
        <is>
          <t>VÄSTERBOTTENS LÄN</t>
        </is>
      </c>
      <c r="E635" t="inlineStr">
        <is>
          <t>ROBERTSFORS</t>
        </is>
      </c>
      <c r="G635" t="n">
        <v>34.3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676-2025</t>
        </is>
      </c>
      <c r="B636" s="1" t="n">
        <v>45664</v>
      </c>
      <c r="C636" s="1" t="n">
        <v>46168</v>
      </c>
      <c r="D636" t="inlineStr">
        <is>
          <t>VÄSTERBOTTENS LÄN</t>
        </is>
      </c>
      <c r="E636" t="inlineStr">
        <is>
          <t>ROBERTSFORS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176-2025</t>
        </is>
      </c>
      <c r="B637" s="1" t="n">
        <v>45659</v>
      </c>
      <c r="C637" s="1" t="n">
        <v>46168</v>
      </c>
      <c r="D637" t="inlineStr">
        <is>
          <t>VÄSTERBOTTENS LÄN</t>
        </is>
      </c>
      <c r="E637" t="inlineStr">
        <is>
          <t>ROBERTSFORS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65771-2021</t>
        </is>
      </c>
      <c r="B638" s="1" t="n">
        <v>44516</v>
      </c>
      <c r="C638" s="1" t="n">
        <v>46168</v>
      </c>
      <c r="D638" t="inlineStr">
        <is>
          <t>VÄSTERBOTTENS LÄN</t>
        </is>
      </c>
      <c r="E638" t="inlineStr">
        <is>
          <t>ROBERTSFORS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26788-2023</t>
        </is>
      </c>
      <c r="B639" s="1" t="n">
        <v>45090</v>
      </c>
      <c r="C639" s="1" t="n">
        <v>46168</v>
      </c>
      <c r="D639" t="inlineStr">
        <is>
          <t>VÄSTERBOTTENS LÄN</t>
        </is>
      </c>
      <c r="E639" t="inlineStr">
        <is>
          <t>ROBERTSFORS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54477-2023</t>
        </is>
      </c>
      <c r="B640" s="1" t="n">
        <v>45226</v>
      </c>
      <c r="C640" s="1" t="n">
        <v>46168</v>
      </c>
      <c r="D640" t="inlineStr">
        <is>
          <t>VÄSTERBOTTENS LÄN</t>
        </is>
      </c>
      <c r="E640" t="inlineStr">
        <is>
          <t>ROBERTSFORS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54484-2023</t>
        </is>
      </c>
      <c r="B641" s="1" t="n">
        <v>45233</v>
      </c>
      <c r="C641" s="1" t="n">
        <v>46168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61399-2024</t>
        </is>
      </c>
      <c r="B642" s="1" t="n">
        <v>45646.42921296296</v>
      </c>
      <c r="C642" s="1" t="n">
        <v>46168</v>
      </c>
      <c r="D642" t="inlineStr">
        <is>
          <t>VÄSTERBOTTENS LÄN</t>
        </is>
      </c>
      <c r="E642" t="inlineStr">
        <is>
          <t>ROBERTSFORS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10058-2025</t>
        </is>
      </c>
      <c r="B643" s="1" t="n">
        <v>45719.53226851852</v>
      </c>
      <c r="C643" s="1" t="n">
        <v>46168</v>
      </c>
      <c r="D643" t="inlineStr">
        <is>
          <t>VÄSTERBOTTENS LÄN</t>
        </is>
      </c>
      <c r="E643" t="inlineStr">
        <is>
          <t>ROBERTSFORS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48259-2023</t>
        </is>
      </c>
      <c r="B644" s="1" t="n">
        <v>45205.53640046297</v>
      </c>
      <c r="C644" s="1" t="n">
        <v>46168</v>
      </c>
      <c r="D644" t="inlineStr">
        <is>
          <t>VÄSTERBOTTENS LÄN</t>
        </is>
      </c>
      <c r="E644" t="inlineStr">
        <is>
          <t>ROBERTSFORS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58526-2023</t>
        </is>
      </c>
      <c r="B645" s="1" t="n">
        <v>45251.38590277778</v>
      </c>
      <c r="C645" s="1" t="n">
        <v>46168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57270-2023</t>
        </is>
      </c>
      <c r="B646" s="1" t="n">
        <v>45245</v>
      </c>
      <c r="C646" s="1" t="n">
        <v>46168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35787-2023</t>
        </is>
      </c>
      <c r="B647" s="1" t="n">
        <v>45148.37356481481</v>
      </c>
      <c r="C647" s="1" t="n">
        <v>46168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46842-2023</t>
        </is>
      </c>
      <c r="B648" s="1" t="n">
        <v>45199.72377314815</v>
      </c>
      <c r="C648" s="1" t="n">
        <v>46168</v>
      </c>
      <c r="D648" t="inlineStr">
        <is>
          <t>VÄSTERBOTTENS LÄN</t>
        </is>
      </c>
      <c r="E648" t="inlineStr">
        <is>
          <t>ROBERTSFORS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9369-2025</t>
        </is>
      </c>
      <c r="B649" s="1" t="n">
        <v>45715.32680555555</v>
      </c>
      <c r="C649" s="1" t="n">
        <v>46168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156-2025</t>
        </is>
      </c>
      <c r="B650" s="1" t="n">
        <v>45659</v>
      </c>
      <c r="C650" s="1" t="n">
        <v>46168</v>
      </c>
      <c r="D650" t="inlineStr">
        <is>
          <t>VÄSTERBOTTENS LÄN</t>
        </is>
      </c>
      <c r="E650" t="inlineStr">
        <is>
          <t>ROBERTSFORS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175-2025</t>
        </is>
      </c>
      <c r="B651" s="1" t="n">
        <v>45659</v>
      </c>
      <c r="C651" s="1" t="n">
        <v>46168</v>
      </c>
      <c r="D651" t="inlineStr">
        <is>
          <t>VÄSTERBOTTENS LÄN</t>
        </is>
      </c>
      <c r="E651" t="inlineStr">
        <is>
          <t>ROBERTSFORS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34434-2024</t>
        </is>
      </c>
      <c r="B652" s="1" t="n">
        <v>45525.53164351852</v>
      </c>
      <c r="C652" s="1" t="n">
        <v>46168</v>
      </c>
      <c r="D652" t="inlineStr">
        <is>
          <t>VÄSTERBOTTENS LÄN</t>
        </is>
      </c>
      <c r="E652" t="inlineStr">
        <is>
          <t>ROBERTSFORS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1311-2025</t>
        </is>
      </c>
      <c r="B653" s="1" t="n">
        <v>45667</v>
      </c>
      <c r="C653" s="1" t="n">
        <v>46168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23579-2024</t>
        </is>
      </c>
      <c r="B654" s="1" t="n">
        <v>45454</v>
      </c>
      <c r="C654" s="1" t="n">
        <v>46168</v>
      </c>
      <c r="D654" t="inlineStr">
        <is>
          <t>VÄSTERBOTTENS LÄN</t>
        </is>
      </c>
      <c r="E654" t="inlineStr">
        <is>
          <t>ROBERTSFORS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46041-2024</t>
        </is>
      </c>
      <c r="B655" s="1" t="n">
        <v>45580.79371527778</v>
      </c>
      <c r="C655" s="1" t="n">
        <v>46168</v>
      </c>
      <c r="D655" t="inlineStr">
        <is>
          <t>VÄSTERBOTTENS LÄN</t>
        </is>
      </c>
      <c r="E655" t="inlineStr">
        <is>
          <t>ROBERTSFORS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61386-2024</t>
        </is>
      </c>
      <c r="B656" s="1" t="n">
        <v>45646.41387731482</v>
      </c>
      <c r="C656" s="1" t="n">
        <v>46168</v>
      </c>
      <c r="D656" t="inlineStr">
        <is>
          <t>VÄSTERBOTTENS LÄN</t>
        </is>
      </c>
      <c r="E656" t="inlineStr">
        <is>
          <t>ROBERTSFORS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19724-2023</t>
        </is>
      </c>
      <c r="B657" s="1" t="n">
        <v>45051</v>
      </c>
      <c r="C657" s="1" t="n">
        <v>46168</v>
      </c>
      <c r="D657" t="inlineStr">
        <is>
          <t>VÄSTERBOTTENS LÄN</t>
        </is>
      </c>
      <c r="E657" t="inlineStr">
        <is>
          <t>ROBERTSFORS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38480-2023</t>
        </is>
      </c>
      <c r="B658" s="1" t="n">
        <v>45162</v>
      </c>
      <c r="C658" s="1" t="n">
        <v>46168</v>
      </c>
      <c r="D658" t="inlineStr">
        <is>
          <t>VÄSTERBOTTENS LÄN</t>
        </is>
      </c>
      <c r="E658" t="inlineStr">
        <is>
          <t>ROBERTSFORS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10234-2024</t>
        </is>
      </c>
      <c r="B659" s="1" t="n">
        <v>45365.3278125</v>
      </c>
      <c r="C659" s="1" t="n">
        <v>46168</v>
      </c>
      <c r="D659" t="inlineStr">
        <is>
          <t>VÄSTERBOTTENS LÄN</t>
        </is>
      </c>
      <c r="E659" t="inlineStr">
        <is>
          <t>ROBERTSFORS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10330-2024</t>
        </is>
      </c>
      <c r="B660" s="1" t="n">
        <v>45365</v>
      </c>
      <c r="C660" s="1" t="n">
        <v>46168</v>
      </c>
      <c r="D660" t="inlineStr">
        <is>
          <t>VÄSTERBOTTENS LÄN</t>
        </is>
      </c>
      <c r="E660" t="inlineStr">
        <is>
          <t>ROBERTSFORS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52832-2024</t>
        </is>
      </c>
      <c r="B661" s="1" t="n">
        <v>45610.59431712963</v>
      </c>
      <c r="C661" s="1" t="n">
        <v>46168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SCA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10334-2023</t>
        </is>
      </c>
      <c r="B662" s="1" t="n">
        <v>44980</v>
      </c>
      <c r="C662" s="1" t="n">
        <v>46168</v>
      </c>
      <c r="D662" t="inlineStr">
        <is>
          <t>VÄSTERBOTTENS LÄN</t>
        </is>
      </c>
      <c r="E662" t="inlineStr">
        <is>
          <t>ROBERTSFORS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50187-2023</t>
        </is>
      </c>
      <c r="B663" s="1" t="n">
        <v>45215.78850694445</v>
      </c>
      <c r="C663" s="1" t="n">
        <v>46168</v>
      </c>
      <c r="D663" t="inlineStr">
        <is>
          <t>VÄSTERBOTTENS LÄN</t>
        </is>
      </c>
      <c r="E663" t="inlineStr">
        <is>
          <t>ROBERTSFORS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4618-2025</t>
        </is>
      </c>
      <c r="B664" s="1" t="n">
        <v>45687.60042824074</v>
      </c>
      <c r="C664" s="1" t="n">
        <v>46168</v>
      </c>
      <c r="D664" t="inlineStr">
        <is>
          <t>VÄSTERBOTTENS LÄN</t>
        </is>
      </c>
      <c r="E664" t="inlineStr">
        <is>
          <t>ROBERTSFORS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53432-2024</t>
        </is>
      </c>
      <c r="B665" s="1" t="n">
        <v>45614.52643518519</v>
      </c>
      <c r="C665" s="1" t="n">
        <v>46168</v>
      </c>
      <c r="D665" t="inlineStr">
        <is>
          <t>VÄSTERBOTTENS LÄN</t>
        </is>
      </c>
      <c r="E665" t="inlineStr">
        <is>
          <t>ROBERTSFORS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6535-2025</t>
        </is>
      </c>
      <c r="B666" s="1" t="n">
        <v>45699.67743055556</v>
      </c>
      <c r="C666" s="1" t="n">
        <v>46168</v>
      </c>
      <c r="D666" t="inlineStr">
        <is>
          <t>VÄSTERBOTTENS LÄN</t>
        </is>
      </c>
      <c r="E666" t="inlineStr">
        <is>
          <t>ROBERTSFORS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38120-2024</t>
        </is>
      </c>
      <c r="B667" s="1" t="n">
        <v>45545.40222222222</v>
      </c>
      <c r="C667" s="1" t="n">
        <v>46168</v>
      </c>
      <c r="D667" t="inlineStr">
        <is>
          <t>VÄSTERBOTTENS LÄN</t>
        </is>
      </c>
      <c r="E667" t="inlineStr">
        <is>
          <t>ROBERTSFORS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1691-2025</t>
        </is>
      </c>
      <c r="B668" s="1" t="n">
        <v>45670</v>
      </c>
      <c r="C668" s="1" t="n">
        <v>46168</v>
      </c>
      <c r="D668" t="inlineStr">
        <is>
          <t>VÄSTERBOTTENS LÄN</t>
        </is>
      </c>
      <c r="E668" t="inlineStr">
        <is>
          <t>ROBERTSFORS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1693-2025</t>
        </is>
      </c>
      <c r="B669" s="1" t="n">
        <v>45670</v>
      </c>
      <c r="C669" s="1" t="n">
        <v>46168</v>
      </c>
      <c r="D669" t="inlineStr">
        <is>
          <t>VÄSTERBOTTENS LÄN</t>
        </is>
      </c>
      <c r="E669" t="inlineStr">
        <is>
          <t>ROBERTSFORS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58679-2024</t>
        </is>
      </c>
      <c r="B670" s="1" t="n">
        <v>45635.61375</v>
      </c>
      <c r="C670" s="1" t="n">
        <v>46168</v>
      </c>
      <c r="D670" t="inlineStr">
        <is>
          <t>VÄSTERBOTTENS LÄN</t>
        </is>
      </c>
      <c r="E670" t="inlineStr">
        <is>
          <t>ROBERTSFORS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56724-2024</t>
        </is>
      </c>
      <c r="B671" s="1" t="n">
        <v>45628</v>
      </c>
      <c r="C671" s="1" t="n">
        <v>46168</v>
      </c>
      <c r="D671" t="inlineStr">
        <is>
          <t>VÄSTERBOTTENS LÄN</t>
        </is>
      </c>
      <c r="E671" t="inlineStr">
        <is>
          <t>ROBERTSFORS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61380-2024</t>
        </is>
      </c>
      <c r="B672" s="1" t="n">
        <v>45646.40557870371</v>
      </c>
      <c r="C672" s="1" t="n">
        <v>46168</v>
      </c>
      <c r="D672" t="inlineStr">
        <is>
          <t>VÄSTERBOTTENS LÄN</t>
        </is>
      </c>
      <c r="E672" t="inlineStr">
        <is>
          <t>ROBERTSFORS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59211-2023</t>
        </is>
      </c>
      <c r="B673" s="1" t="n">
        <v>45251</v>
      </c>
      <c r="C673" s="1" t="n">
        <v>46168</v>
      </c>
      <c r="D673" t="inlineStr">
        <is>
          <t>VÄSTERBOTTENS LÄN</t>
        </is>
      </c>
      <c r="E673" t="inlineStr">
        <is>
          <t>ROBERTSFORS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61406-2024</t>
        </is>
      </c>
      <c r="B674" s="1" t="n">
        <v>45646.43638888889</v>
      </c>
      <c r="C674" s="1" t="n">
        <v>46168</v>
      </c>
      <c r="D674" t="inlineStr">
        <is>
          <t>VÄSTERBOTTENS LÄN</t>
        </is>
      </c>
      <c r="E674" t="inlineStr">
        <is>
          <t>ROBERTSFORS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17479-2024</t>
        </is>
      </c>
      <c r="B675" s="1" t="n">
        <v>45415</v>
      </c>
      <c r="C675" s="1" t="n">
        <v>46168</v>
      </c>
      <c r="D675" t="inlineStr">
        <is>
          <t>VÄSTERBOTTENS LÄN</t>
        </is>
      </c>
      <c r="E675" t="inlineStr">
        <is>
          <t>ROBERTSFORS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60570-2024</t>
        </is>
      </c>
      <c r="B676" s="1" t="n">
        <v>45644.32280092593</v>
      </c>
      <c r="C676" s="1" t="n">
        <v>46168</v>
      </c>
      <c r="D676" t="inlineStr">
        <is>
          <t>VÄSTERBOTTENS LÄN</t>
        </is>
      </c>
      <c r="E676" t="inlineStr">
        <is>
          <t>ROBERTSFORS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57008-2024</t>
        </is>
      </c>
      <c r="B677" s="1" t="n">
        <v>45628</v>
      </c>
      <c r="C677" s="1" t="n">
        <v>46168</v>
      </c>
      <c r="D677" t="inlineStr">
        <is>
          <t>VÄSTERBOTTENS LÄN</t>
        </is>
      </c>
      <c r="E677" t="inlineStr">
        <is>
          <t>ROBERTSFORS</t>
        </is>
      </c>
      <c r="G677" t="n">
        <v>12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38083-2023</t>
        </is>
      </c>
      <c r="B678" s="1" t="n">
        <v>45160</v>
      </c>
      <c r="C678" s="1" t="n">
        <v>46168</v>
      </c>
      <c r="D678" t="inlineStr">
        <is>
          <t>VÄSTERBOTTENS LÄN</t>
        </is>
      </c>
      <c r="E678" t="inlineStr">
        <is>
          <t>ROBERTSFORS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38352-2023</t>
        </is>
      </c>
      <c r="B679" s="1" t="n">
        <v>45161</v>
      </c>
      <c r="C679" s="1" t="n">
        <v>46168</v>
      </c>
      <c r="D679" t="inlineStr">
        <is>
          <t>VÄSTERBOTTENS LÄN</t>
        </is>
      </c>
      <c r="E679" t="inlineStr">
        <is>
          <t>ROBERTSFORS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58579-2023</t>
        </is>
      </c>
      <c r="B680" s="1" t="n">
        <v>45246</v>
      </c>
      <c r="C680" s="1" t="n">
        <v>46168</v>
      </c>
      <c r="D680" t="inlineStr">
        <is>
          <t>VÄSTERBOTTENS LÄN</t>
        </is>
      </c>
      <c r="E680" t="inlineStr">
        <is>
          <t>ROBERTSFORS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58582-2023</t>
        </is>
      </c>
      <c r="B681" s="1" t="n">
        <v>45246</v>
      </c>
      <c r="C681" s="1" t="n">
        <v>46168</v>
      </c>
      <c r="D681" t="inlineStr">
        <is>
          <t>VÄSTERBOTTENS LÄN</t>
        </is>
      </c>
      <c r="E681" t="inlineStr">
        <is>
          <t>ROBERTSFORS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21148-2025</t>
        </is>
      </c>
      <c r="B682" s="1" t="n">
        <v>45779.34300925926</v>
      </c>
      <c r="C682" s="1" t="n">
        <v>46168</v>
      </c>
      <c r="D682" t="inlineStr">
        <is>
          <t>VÄSTERBOTTENS LÄN</t>
        </is>
      </c>
      <c r="E682" t="inlineStr">
        <is>
          <t>ROBERTSFORS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21144-2025</t>
        </is>
      </c>
      <c r="B683" s="1" t="n">
        <v>45779.33128472222</v>
      </c>
      <c r="C683" s="1" t="n">
        <v>46168</v>
      </c>
      <c r="D683" t="inlineStr">
        <is>
          <t>VÄSTERBOTTENS LÄN</t>
        </is>
      </c>
      <c r="E683" t="inlineStr">
        <is>
          <t>ROBERTSFORS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22032-2025</t>
        </is>
      </c>
      <c r="B684" s="1" t="n">
        <v>45784</v>
      </c>
      <c r="C684" s="1" t="n">
        <v>46168</v>
      </c>
      <c r="D684" t="inlineStr">
        <is>
          <t>VÄSTERBOTTENS LÄN</t>
        </is>
      </c>
      <c r="E684" t="inlineStr">
        <is>
          <t>ROBERTSFORS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2026-05-26T10:52:14Z</dcterms:created>
  <dcterms:modified xmlns:dcterms="http://purl.org/dc/terms/" xmlns:xsi="http://www.w3.org/2001/XMLSchema-instance" xsi:type="dcterms:W3CDTF">2026-05-26T10:52:15Z</dcterms:modified>
</cp:coreProperties>
</file>