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46282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46282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46282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46282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46282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46282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46282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46282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46282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46282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46282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46282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46282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46282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46282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46282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46282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46282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46282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46282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46282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46282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46282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46282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46282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46282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46282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46282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46282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46282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46282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46282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46282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46282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46282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46282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46282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46282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46282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5285-2026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46282</v>
      </c>
      <c r="F47" t="inlineStr">
        <is>
          <t>VÄSTERBOTTENS LÄN</t>
        </is>
      </c>
      <c r="G47" t="inlineStr">
        <is>
          <t>ROBERTSFORS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HYPERLINK("https://klasma.github.io/Logging_2409/artfynd/A 5285-2026 artfynd.xlsx", "A 5285-2026")</f>
        <v/>
      </c>
      <c r="X47">
        <f>HYPERLINK("https://klasma.github.io/Logging_2409/kartor/A 5285-2026 karta.png", "A 5285-2026")</f>
        <v/>
      </c>
      <c r="Y47">
        <f>HYPERLINK("https://klasma.github.io/Logging_2409/kartor_geotiff/A 5285-2026 georefererad karta.tif", "A 5285-2026")</f>
        <v/>
      </c>
      <c r="AA47">
        <f>HYPERLINK("https://klasma.github.io/Logging_2409/klagomål/A 5285-2026 FSC-klagomål.docx", "A 5285-2026")</f>
        <v/>
      </c>
      <c r="AB47">
        <f>HYPERLINK("https://klasma.github.io/Logging_2409/klagomålsmail/A 5285-2026 FSC-klagomål mail.docx", "A 5285-2026")</f>
        <v/>
      </c>
      <c r="AC47">
        <f>HYPERLINK("https://klasma.github.io/Logging_2409/tillsyn/A 5285-2026 tillsynsbegäran.docx", "A 5285-2026")</f>
        <v/>
      </c>
      <c r="AD47">
        <f>HYPERLINK("https://klasma.github.io/Logging_2409/tillsynsmail/A 5285-2026 tillsynsbegäran mail.docx", "A 5285-2026")</f>
        <v/>
      </c>
      <c r="AE47">
        <f>HYPERLINK("https://klasma.github.io/Logging_2409/fåglar/A 5285-2026 prioriterade fågelarter.docx", "A 5285-2026")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46282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Björktrast</t>
        </is>
      </c>
      <c r="W48">
        <f>HYPERLINK("https://klasma.github.io/Logging_2409/artfynd/A 5289-2026 artfynd.xlsx", "A 5289-2026")</f>
        <v/>
      </c>
      <c r="X48">
        <f>HYPERLINK("https://klasma.github.io/Logging_2409/kartor/A 5289-2026 karta.png", "A 5289-2026")</f>
        <v/>
      </c>
      <c r="Y48">
        <f>HYPERLINK("https://klasma.github.io/Logging_2409/kartor_geotiff/A 5289-2026 georefererad karta.tif", "A 5289-2026")</f>
        <v/>
      </c>
      <c r="AA48">
        <f>HYPERLINK("https://klasma.github.io/Logging_2409/klagomål/A 5289-2026 FSC-klagomål.docx", "A 5289-2026")</f>
        <v/>
      </c>
      <c r="AB48">
        <f>HYPERLINK("https://klasma.github.io/Logging_2409/klagomålsmail/A 5289-2026 FSC-klagomål mail.docx", "A 5289-2026")</f>
        <v/>
      </c>
      <c r="AC48">
        <f>HYPERLINK("https://klasma.github.io/Logging_2409/tillsyn/A 5289-2026 tillsynsbegäran.docx", "A 5289-2026")</f>
        <v/>
      </c>
      <c r="AD48">
        <f>HYPERLINK("https://klasma.github.io/Logging_2409/tillsynsmail/A 5289-2026 tillsynsbegäran mail.docx", "A 5289-2026")</f>
        <v/>
      </c>
      <c r="AE48">
        <f>HYPERLINK("https://klasma.github.io/Logging_2409/fåglar/A 5289-2026 prioriterade fågelarter.docx", "A 5289-2026")</f>
        <v/>
      </c>
    </row>
    <row r="49" ht="15" customHeight="1">
      <c r="A49" t="inlineStr">
        <is>
          <t>A 5284-2026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46282</v>
      </c>
      <c r="F49" t="inlineStr">
        <is>
          <t>VÄSTERBOTTENS LÄN</t>
        </is>
      </c>
      <c r="G49" t="inlineStr">
        <is>
          <t>ROBERTSFORS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HYPERLINK("https://klasma.github.io/Logging_2409/artfynd/A 5284-2026 artfynd.xlsx", "A 5284-2026")</f>
        <v/>
      </c>
      <c r="X49">
        <f>HYPERLINK("https://klasma.github.io/Logging_2409/kartor/A 5284-2026 karta.png", "A 5284-2026")</f>
        <v/>
      </c>
      <c r="Y49">
        <f>HYPERLINK("https://klasma.github.io/Logging_2409/kartor_geotiff/A 5284-2026 georefererad karta.tif", "A 5284-2026")</f>
        <v/>
      </c>
      <c r="AA49">
        <f>HYPERLINK("https://klasma.github.io/Logging_2409/klagomål/A 5284-2026 FSC-klagomål.docx", "A 5284-2026")</f>
        <v/>
      </c>
      <c r="AB49">
        <f>HYPERLINK("https://klasma.github.io/Logging_2409/klagomålsmail/A 5284-2026 FSC-klagomål mail.docx", "A 5284-2026")</f>
        <v/>
      </c>
      <c r="AC49">
        <f>HYPERLINK("https://klasma.github.io/Logging_2409/tillsyn/A 5284-2026 tillsynsbegäran.docx", "A 5284-2026")</f>
        <v/>
      </c>
      <c r="AD49">
        <f>HYPERLINK("https://klasma.github.io/Logging_2409/tillsynsmail/A 5284-2026 tillsynsbegäran mail.docx", "A 5284-2026")</f>
        <v/>
      </c>
      <c r="AE49">
        <f>HYPERLINK("https://klasma.github.io/Logging_2409/fåglar/A 5284-2026 prioriterade fågelarter.docx", "A 5284-2026")</f>
        <v/>
      </c>
    </row>
    <row r="50" ht="15" customHeight="1">
      <c r="A50" t="inlineStr">
        <is>
          <t>A 54484-2023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46282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Sveaskog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1</v>
      </c>
      <c r="V50" s="2" t="inlineStr">
        <is>
          <t>Dropptaggsvamp</t>
        </is>
      </c>
      <c r="W50">
        <f>HYPERLINK("https://klasma.github.io/Logging_2409/artfynd/A 54484-2023 artfynd.xlsx", "A 54484-2023")</f>
        <v/>
      </c>
      <c r="X50">
        <f>HYPERLINK("https://klasma.github.io/Logging_2409/kartor/A 54484-2023 karta.png", "A 54484-2023")</f>
        <v/>
      </c>
      <c r="Y50">
        <f>HYPERLINK("https://klasma.github.io/Logging_2409/kartor_geotiff/A 54484-2023 georefererad karta.tif", "A 54484-2023")</f>
        <v/>
      </c>
      <c r="AA50">
        <f>HYPERLINK("https://klasma.github.io/Logging_2409/klagomål/A 54484-2023 FSC-klagomål.docx", "A 54484-2023")</f>
        <v/>
      </c>
      <c r="AB50">
        <f>HYPERLINK("https://klasma.github.io/Logging_2409/klagomålsmail/A 54484-2023 FSC-klagomål mail.docx", "A 54484-2023")</f>
        <v/>
      </c>
      <c r="AC50">
        <f>HYPERLINK("https://klasma.github.io/Logging_2409/tillsyn/A 54484-2023 tillsynsbegäran.docx", "A 54484-2023")</f>
        <v/>
      </c>
      <c r="AD50">
        <f>HYPERLINK("https://klasma.github.io/Logging_2409/tillsynsmail/A 54484-2023 tillsynsbegäran mail.docx", "A 54484-2023")</f>
        <v/>
      </c>
    </row>
    <row r="51" ht="15" customHeight="1">
      <c r="A51" t="inlineStr">
        <is>
          <t>A 57284-2023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45245</v>
      </c>
      <c r="E51" s="1" t="n">
        <v>46282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HYPERLINK("https://klasma.github.io/Logging_2409/artfynd/A 57284-2023 artfynd.xlsx", "A 57284-2023")</f>
        <v/>
      </c>
      <c r="X51">
        <f>HYPERLINK("https://klasma.github.io/Logging_2409/kartor/A 57284-2023 karta.png", "A 57284-2023")</f>
        <v/>
      </c>
      <c r="Y51">
        <f>HYPERLINK("https://klasma.github.io/Logging_2409/kartor_geotiff/A 57284-2023 georefererad karta.tif", "A 57284-2023")</f>
        <v/>
      </c>
      <c r="AA51">
        <f>HYPERLINK("https://klasma.github.io/Logging_2409/klagomål/A 57284-2023 FSC-klagomål.docx", "A 57284-2023")</f>
        <v/>
      </c>
      <c r="AB51">
        <f>HYPERLINK("https://klasma.github.io/Logging_2409/klagomålsmail/A 57284-2023 FSC-klagomål mail.docx", "A 57284-2023")</f>
        <v/>
      </c>
      <c r="AC51">
        <f>HYPERLINK("https://klasma.github.io/Logging_2409/tillsyn/A 57284-2023 tillsynsbegäran.docx", "A 57284-2023")</f>
        <v/>
      </c>
      <c r="AD51">
        <f>HYPERLINK("https://klasma.github.io/Logging_2409/tillsynsmail/A 57284-2023 tillsynsbegäran mail.docx", "A 57284-2023")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46282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46282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46282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46282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35551-2025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46282</v>
      </c>
      <c r="F56" t="inlineStr">
        <is>
          <t>VÄSTERBOTTENS LÄN</t>
        </is>
      </c>
      <c r="G56" t="inlineStr">
        <is>
          <t>ROBERTSFORS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HYPERLINK("https://klasma.github.io/Logging_2409/artfynd/A 35551-2025 artfynd.xlsx", "A 35551-2025")</f>
        <v/>
      </c>
      <c r="X56">
        <f>HYPERLINK("https://klasma.github.io/Logging_2409/kartor/A 35551-2025 karta.png", "A 35551-2025")</f>
        <v/>
      </c>
      <c r="Y56">
        <f>HYPERLINK("https://klasma.github.io/Logging_2409/kartor_geotiff/A 35551-2025 georefererad karta.tif", "A 35551-2025")</f>
        <v/>
      </c>
      <c r="AA56">
        <f>HYPERLINK("https://klasma.github.io/Logging_2409/klagomål/A 35551-2025 FSC-klagomål.docx", "A 35551-2025")</f>
        <v/>
      </c>
      <c r="AB56">
        <f>HYPERLINK("https://klasma.github.io/Logging_2409/klagomålsmail/A 35551-2025 FSC-klagomål mail.docx", "A 35551-2025")</f>
        <v/>
      </c>
      <c r="AC56">
        <f>HYPERLINK("https://klasma.github.io/Logging_2409/tillsyn/A 35551-2025 tillsynsbegäran.docx", "A 35551-2025")</f>
        <v/>
      </c>
      <c r="AD56">
        <f>HYPERLINK("https://klasma.github.io/Logging_2409/tillsynsmail/A 35551-2025 tillsynsbegäran mail.docx", "A 35551-2025")</f>
        <v/>
      </c>
      <c r="AE56">
        <f>HYPERLINK("https://klasma.github.io/Logging_2409/fåglar/A 35551-2025 prioriterade fågelarter.docx", "A 35551-2025")</f>
        <v/>
      </c>
    </row>
    <row r="57" ht="15" customHeight="1">
      <c r="A57" t="inlineStr">
        <is>
          <t>A 38777-2023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45163</v>
      </c>
      <c r="E57" s="1" t="n">
        <v>46282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5.9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HYPERLINK("https://klasma.github.io/Logging_2409/artfynd/A 38777-2023 artfynd.xlsx", "A 38777-2023")</f>
        <v/>
      </c>
      <c r="X57">
        <f>HYPERLINK("https://klasma.github.io/Logging_2409/kartor/A 38777-2023 karta.png", "A 38777-2023")</f>
        <v/>
      </c>
      <c r="Y57">
        <f>HYPERLINK("https://klasma.github.io/Logging_2409/kartor_geotiff/A 38777-2023 georefererad karta.tif", "A 38777-2023")</f>
        <v/>
      </c>
      <c r="AA57">
        <f>HYPERLINK("https://klasma.github.io/Logging_2409/klagomål/A 38777-2023 FSC-klagomål.docx", "A 38777-2023")</f>
        <v/>
      </c>
      <c r="AB57">
        <f>HYPERLINK("https://klasma.github.io/Logging_2409/klagomålsmail/A 38777-2023 FSC-klagomål mail.docx", "A 38777-2023")</f>
        <v/>
      </c>
      <c r="AC57">
        <f>HYPERLINK("https://klasma.github.io/Logging_2409/tillsyn/A 38777-2023 tillsynsbegäran.docx", "A 38777-2023")</f>
        <v/>
      </c>
      <c r="AD57">
        <f>HYPERLINK("https://klasma.github.io/Logging_2409/tillsynsmail/A 38777-2023 tillsynsbegäran mail.docx", "A 38777-2023")</f>
        <v/>
      </c>
      <c r="AE57">
        <f>HYPERLINK("https://klasma.github.io/Logging_2409/fåglar/A 38777-2023 prioriterade fågelarter.docx", "A 38777-2023")</f>
        <v/>
      </c>
    </row>
    <row r="58" ht="15" customHeight="1">
      <c r="A58" t="inlineStr">
        <is>
          <t>A 57653-2024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45630</v>
      </c>
      <c r="E58" s="1" t="n">
        <v>46282</v>
      </c>
      <c r="F58" t="inlineStr">
        <is>
          <t>VÄSTERBOTTENS LÄN</t>
        </is>
      </c>
      <c r="G58" t="inlineStr">
        <is>
          <t>ROBERTSFORS</t>
        </is>
      </c>
      <c r="I58" t="n">
        <v>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Blå kärrhök</t>
        </is>
      </c>
      <c r="W58">
        <f>HYPERLINK("https://klasma.github.io/Logging_2409/artfynd/A 57653-2024 artfynd.xlsx", "A 57653-2024")</f>
        <v/>
      </c>
      <c r="X58">
        <f>HYPERLINK("https://klasma.github.io/Logging_2409/kartor/A 57653-2024 karta.png", "A 57653-2024")</f>
        <v/>
      </c>
      <c r="Y58">
        <f>HYPERLINK("https://klasma.github.io/Logging_2409/kartor_geotiff/A 57653-2024 georefererad karta.tif", "A 57653-2024")</f>
        <v/>
      </c>
      <c r="AA58">
        <f>HYPERLINK("https://klasma.github.io/Logging_2409/klagomål/A 57653-2024 FSC-klagomål.docx", "A 57653-2024")</f>
        <v/>
      </c>
      <c r="AB58">
        <f>HYPERLINK("https://klasma.github.io/Logging_2409/klagomålsmail/A 57653-2024 FSC-klagomål mail.docx", "A 57653-2024")</f>
        <v/>
      </c>
      <c r="AC58">
        <f>HYPERLINK("https://klasma.github.io/Logging_2409/tillsyn/A 57653-2024 tillsynsbegäran.docx", "A 57653-2024")</f>
        <v/>
      </c>
      <c r="AD58">
        <f>HYPERLINK("https://klasma.github.io/Logging_2409/tillsynsmail/A 57653-2024 tillsynsbegäran mail.docx", "A 57653-2024")</f>
        <v/>
      </c>
      <c r="AE58">
        <f>HYPERLINK("https://klasma.github.io/Logging_2409/fåglar/A 57653-2024 prioriterade fågelarter.docx", "A 57653-2024")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46282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10145-2025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46282</v>
      </c>
      <c r="F60" t="inlineStr">
        <is>
          <t>VÄSTERBOTTENS LÄN</t>
        </is>
      </c>
      <c r="G60" t="inlineStr">
        <is>
          <t>ROBERTSFORS</t>
        </is>
      </c>
      <c r="I60" t="n">
        <v>5.3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HYPERLINK("https://klasma.github.io/Logging_2409/artfynd/A 10145-2025 artfynd.xlsx", "A 10145-2025")</f>
        <v/>
      </c>
      <c r="X60">
        <f>HYPERLINK("https://klasma.github.io/Logging_2409/kartor/A 10145-2025 karta.png", "A 10145-2025")</f>
        <v/>
      </c>
      <c r="Y60">
        <f>HYPERLINK("https://klasma.github.io/Logging_2409/kartor_geotiff/A 10145-2025 georefererad karta.tif", "A 10145-2025")</f>
        <v/>
      </c>
      <c r="AA60">
        <f>HYPERLINK("https://klasma.github.io/Logging_2409/klagomål/A 10145-2025 FSC-klagomål.docx", "A 10145-2025")</f>
        <v/>
      </c>
      <c r="AB60">
        <f>HYPERLINK("https://klasma.github.io/Logging_2409/klagomålsmail/A 10145-2025 FSC-klagomål mail.docx", "A 10145-2025")</f>
        <v/>
      </c>
      <c r="AC60">
        <f>HYPERLINK("https://klasma.github.io/Logging_2409/tillsyn/A 10145-2025 tillsynsbegäran.docx", "A 10145-2025")</f>
        <v/>
      </c>
      <c r="AD60">
        <f>HYPERLINK("https://klasma.github.io/Logging_2409/tillsynsmail/A 10145-2025 tillsynsbegäran mail.docx", "A 10145-2025")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46282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46282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28224-2026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46282</v>
      </c>
      <c r="F63" t="inlineStr">
        <is>
          <t>VÄSTERBOTTENS LÄN</t>
        </is>
      </c>
      <c r="G63" t="inlineStr">
        <is>
          <t>ROBERTSFORS</t>
        </is>
      </c>
      <c r="I63" t="n">
        <v>9.800000000000001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6</v>
      </c>
      <c r="U63" t="n">
        <v>0</v>
      </c>
      <c r="V63" s="2" t="inlineStr">
        <is>
          <t>Garnlav</t>
        </is>
      </c>
      <c r="W63">
        <f>HYPERLINK("https://klasma.github.io/Logging_2409/artfynd/A 28224-2026 artfynd.xlsx", "A 28224-2026")</f>
        <v/>
      </c>
      <c r="X63">
        <f>HYPERLINK("https://klasma.github.io/Logging_2409/kartor/A 28224-2026 karta.png", "A 28224-2026")</f>
        <v/>
      </c>
      <c r="Y63">
        <f>HYPERLINK("https://klasma.github.io/Logging_2409/kartor_geotiff/A 28224-2026 georefererad karta.tif", "A 28224-2026")</f>
        <v/>
      </c>
      <c r="AA63">
        <f>HYPERLINK("https://klasma.github.io/Logging_2409/klagomål/A 28224-2026 FSC-klagomål.docx", "A 28224-2026")</f>
        <v/>
      </c>
      <c r="AB63">
        <f>HYPERLINK("https://klasma.github.io/Logging_2409/klagomålsmail/A 28224-2026 FSC-klagomål mail.docx", "A 28224-2026")</f>
        <v/>
      </c>
      <c r="AC63">
        <f>HYPERLINK("https://klasma.github.io/Logging_2409/tillsyn/A 28224-2026 tillsynsbegäran.docx", "A 28224-2026")</f>
        <v/>
      </c>
      <c r="AD63">
        <f>HYPERLINK("https://klasma.github.io/Logging_2409/tillsynsmail/A 28224-2026 tillsynsbegäran mail.docx", "A 28224-2026")</f>
        <v/>
      </c>
    </row>
    <row r="64" ht="15" customHeight="1">
      <c r="A64" t="inlineStr">
        <is>
          <t>A 28750-2026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46282</v>
      </c>
      <c r="F64" t="inlineStr">
        <is>
          <t>VÄSTERBOTTENS LÄN</t>
        </is>
      </c>
      <c r="G64" t="inlineStr">
        <is>
          <t>ROBERTSFORS</t>
        </is>
      </c>
      <c r="I64" t="n">
        <v>0.7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28750-2026 artfynd.xlsx", "A 28750-2026")</f>
        <v/>
      </c>
      <c r="X64">
        <f>HYPERLINK("https://klasma.github.io/Logging_2409/kartor/A 28750-2026 karta.png", "A 28750-2026")</f>
        <v/>
      </c>
      <c r="Y64">
        <f>HYPERLINK("https://klasma.github.io/Logging_2409/kartor_geotiff/A 28750-2026 georefererad karta.tif", "A 28750-2026")</f>
        <v/>
      </c>
      <c r="AA64">
        <f>HYPERLINK("https://klasma.github.io/Logging_2409/klagomål/A 28750-2026 FSC-klagomål.docx", "A 28750-2026")</f>
        <v/>
      </c>
      <c r="AB64">
        <f>HYPERLINK("https://klasma.github.io/Logging_2409/klagomålsmail/A 28750-2026 FSC-klagomål mail.docx", "A 28750-2026")</f>
        <v/>
      </c>
      <c r="AC64">
        <f>HYPERLINK("https://klasma.github.io/Logging_2409/tillsyn/A 28750-2026 tillsynsbegäran.docx", "A 28750-2026")</f>
        <v/>
      </c>
      <c r="AD64">
        <f>HYPERLINK("https://klasma.github.io/Logging_2409/tillsynsmail/A 28750-2026 tillsynsbegäran mail.docx", "A 28750-2026")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46282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29583-2026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46282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SCA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Björksplintborre</t>
        </is>
      </c>
      <c r="W66">
        <f>HYPERLINK("https://klasma.github.io/Logging_2409/artfynd/A 29583-2026 artfynd.xlsx", "A 29583-2026")</f>
        <v/>
      </c>
      <c r="X66">
        <f>HYPERLINK("https://klasma.github.io/Logging_2409/kartor/A 29583-2026 karta.png", "A 29583-2026")</f>
        <v/>
      </c>
      <c r="Y66">
        <f>HYPERLINK("https://klasma.github.io/Logging_2409/kartor_geotiff/A 29583-2026 georefererad karta.tif", "A 29583-2026")</f>
        <v/>
      </c>
      <c r="AA66">
        <f>HYPERLINK("https://klasma.github.io/Logging_2409/klagomål/A 29583-2026 FSC-klagomål.docx", "A 29583-2026")</f>
        <v/>
      </c>
      <c r="AB66">
        <f>HYPERLINK("https://klasma.github.io/Logging_2409/klagomålsmail/A 29583-2026 FSC-klagomål mail.docx", "A 29583-2026")</f>
        <v/>
      </c>
      <c r="AC66">
        <f>HYPERLINK("https://klasma.github.io/Logging_2409/tillsyn/A 29583-2026 tillsynsbegäran.docx", "A 29583-2026")</f>
        <v/>
      </c>
      <c r="AD66">
        <f>HYPERLINK("https://klasma.github.io/Logging_2409/tillsynsmail/A 29583-2026 tillsynsbegäran mail.docx", "A 29583-2026")</f>
        <v/>
      </c>
    </row>
    <row r="67" ht="15" customHeight="1">
      <c r="A67" t="inlineStr">
        <is>
          <t>A 8753-2025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45712</v>
      </c>
      <c r="E67" s="1" t="n">
        <v>46282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Kommuner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Nattviol</t>
        </is>
      </c>
      <c r="W67">
        <f>HYPERLINK("https://klasma.github.io/Logging_2409/artfynd/A 8753-2025 artfynd.xlsx", "A 8753-2025")</f>
        <v/>
      </c>
      <c r="X67">
        <f>HYPERLINK("https://klasma.github.io/Logging_2409/kartor/A 8753-2025 karta.png", "A 8753-2025")</f>
        <v/>
      </c>
      <c r="Y67">
        <f>HYPERLINK("https://klasma.github.io/Logging_2409/kartor_geotiff/A 8753-2025 georefererad karta.tif", "A 8753-2025")</f>
        <v/>
      </c>
      <c r="AA67">
        <f>HYPERLINK("https://klasma.github.io/Logging_2409/klagomål/A 8753-2025 FSC-klagomål.docx", "A 8753-2025")</f>
        <v/>
      </c>
      <c r="AB67">
        <f>HYPERLINK("https://klasma.github.io/Logging_2409/klagomålsmail/A 8753-2025 FSC-klagomål mail.docx", "A 8753-2025")</f>
        <v/>
      </c>
      <c r="AC67">
        <f>HYPERLINK("https://klasma.github.io/Logging_2409/tillsyn/A 8753-2025 tillsynsbegäran.docx", "A 8753-2025")</f>
        <v/>
      </c>
      <c r="AD67">
        <f>HYPERLINK("https://klasma.github.io/Logging_2409/tillsynsmail/A 8753-2025 tillsynsbegäran mail.docx", "A 8753-2025")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46282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46282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46282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46282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46282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46282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46282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46282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46282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46282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46282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46282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46282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46282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46282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46282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46282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46282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46282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46282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46282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46282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46282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46282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46282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46282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46282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66503-2021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44519</v>
      </c>
      <c r="E95" s="1" t="n">
        <v>46282</v>
      </c>
      <c r="F95" t="inlineStr">
        <is>
          <t>VÄSTERBOTTENS LÄN</t>
        </is>
      </c>
      <c r="G95" t="inlineStr">
        <is>
          <t>ROBERTSFORS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44571</v>
      </c>
      <c r="E96" s="1" t="n">
        <v>46282</v>
      </c>
      <c r="F96" t="inlineStr">
        <is>
          <t>VÄSTERBOTTENS LÄN</t>
        </is>
      </c>
      <c r="G96" t="inlineStr">
        <is>
          <t>ROBERTSFORS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46282</v>
      </c>
      <c r="F97" t="inlineStr">
        <is>
          <t>VÄSTERBOTTENS LÄN</t>
        </is>
      </c>
      <c r="G97" t="inlineStr">
        <is>
          <t>ROBERTSFORS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69805-2021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46282</v>
      </c>
      <c r="F98" t="inlineStr">
        <is>
          <t>VÄSTERBOTTENS LÄN</t>
        </is>
      </c>
      <c r="G98" t="inlineStr">
        <is>
          <t>ROBERTSFORS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44844</v>
      </c>
      <c r="E99" s="1" t="n">
        <v>46282</v>
      </c>
      <c r="F99" t="inlineStr">
        <is>
          <t>VÄSTERBOTTENS LÄN</t>
        </is>
      </c>
      <c r="G99" t="inlineStr">
        <is>
          <t>ROBERTSFORS</t>
        </is>
      </c>
      <c r="H99" t="inlineStr">
        <is>
          <t>Holmen skog AB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44482</v>
      </c>
      <c r="E100" s="1" t="n">
        <v>46282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44612</v>
      </c>
      <c r="E101" s="1" t="n">
        <v>46282</v>
      </c>
      <c r="F101" t="inlineStr">
        <is>
          <t>VÄSTERBOTTENS LÄN</t>
        </is>
      </c>
      <c r="G101" t="inlineStr">
        <is>
          <t>ROBERTSFORS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44612</v>
      </c>
      <c r="E102" s="1" t="n">
        <v>46282</v>
      </c>
      <c r="F102" t="inlineStr">
        <is>
          <t>VÄSTERBOTTENS LÄN</t>
        </is>
      </c>
      <c r="G102" t="inlineStr">
        <is>
          <t>ROBERTSFORS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46282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44729</v>
      </c>
      <c r="E104" s="1" t="n">
        <v>46282</v>
      </c>
      <c r="F104" t="inlineStr">
        <is>
          <t>VÄSTERBOTTENS LÄN</t>
        </is>
      </c>
      <c r="G104" t="inlineStr">
        <is>
          <t>ROBERTSFORS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46282</v>
      </c>
      <c r="F105" t="inlineStr">
        <is>
          <t>VÄSTERBOTTENS LÄN</t>
        </is>
      </c>
      <c r="G105" t="inlineStr">
        <is>
          <t>ROBERTSFORS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15644-2022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46282</v>
      </c>
      <c r="F106" t="inlineStr">
        <is>
          <t>VÄSTERBOTTENS LÄN</t>
        </is>
      </c>
      <c r="G106" t="inlineStr">
        <is>
          <t>ROBERTSFORS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19962-2022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44697</v>
      </c>
      <c r="E107" s="1" t="n">
        <v>46282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46282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44827</v>
      </c>
      <c r="E109" s="1" t="n">
        <v>46282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46282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44824</v>
      </c>
      <c r="E111" s="1" t="n">
        <v>46282</v>
      </c>
      <c r="F111" t="inlineStr">
        <is>
          <t>VÄSTERBOTTENS LÄN</t>
        </is>
      </c>
      <c r="G111" t="inlineStr">
        <is>
          <t>ROBERTSFORS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55484-2021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46282</v>
      </c>
      <c r="F112" t="inlineStr">
        <is>
          <t>VÄSTERBOTTENS LÄN</t>
        </is>
      </c>
      <c r="G112" t="inlineStr">
        <is>
          <t>ROBERTSFORS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44580</v>
      </c>
      <c r="E113" s="1" t="n">
        <v>46282</v>
      </c>
      <c r="F113" t="inlineStr">
        <is>
          <t>VÄSTERBOTTENS LÄN</t>
        </is>
      </c>
      <c r="G113" t="inlineStr">
        <is>
          <t>ROBERTSFORS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46282</v>
      </c>
      <c r="F114" t="inlineStr">
        <is>
          <t>VÄSTERBOTTENS LÄN</t>
        </is>
      </c>
      <c r="G114" t="inlineStr">
        <is>
          <t>ROBERTSFORS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46282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44644</v>
      </c>
      <c r="E116" s="1" t="n">
        <v>46282</v>
      </c>
      <c r="F116" t="inlineStr">
        <is>
          <t>VÄSTERBOTTENS LÄN</t>
        </is>
      </c>
      <c r="G116" t="inlineStr">
        <is>
          <t>ROBERTSFORS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44817</v>
      </c>
      <c r="E117" s="1" t="n">
        <v>46282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46282</v>
      </c>
      <c r="F118" t="inlineStr">
        <is>
          <t>VÄSTERBOTTENS LÄN</t>
        </is>
      </c>
      <c r="G118" t="inlineStr">
        <is>
          <t>ROBERTSFORS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46282</v>
      </c>
      <c r="F119" t="inlineStr">
        <is>
          <t>VÄSTERBOTTENS LÄN</t>
        </is>
      </c>
      <c r="G119" t="inlineStr">
        <is>
          <t>ROBERTSFORS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46282</v>
      </c>
      <c r="F120" t="inlineStr">
        <is>
          <t>VÄSTERBOTTENS LÄN</t>
        </is>
      </c>
      <c r="G120" t="inlineStr">
        <is>
          <t>ROBERTSFORS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46282</v>
      </c>
      <c r="F121" t="inlineStr">
        <is>
          <t>VÄSTERBOTTENS LÄN</t>
        </is>
      </c>
      <c r="G121" t="inlineStr">
        <is>
          <t>ROBERTSFORS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44789</v>
      </c>
      <c r="E122" s="1" t="n">
        <v>46282</v>
      </c>
      <c r="F122" t="inlineStr">
        <is>
          <t>VÄSTERBOTTENS LÄN</t>
        </is>
      </c>
      <c r="G122" t="inlineStr">
        <is>
          <t>ROBERTSFORS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45687</v>
      </c>
      <c r="E123" s="1" t="n">
        <v>46282</v>
      </c>
      <c r="F123" t="inlineStr">
        <is>
          <t>VÄSTERBOTTENS LÄN</t>
        </is>
      </c>
      <c r="G123" t="inlineStr">
        <is>
          <t>ROBERTSFORS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45033</v>
      </c>
      <c r="E124" s="1" t="n">
        <v>46282</v>
      </c>
      <c r="F124" t="inlineStr">
        <is>
          <t>VÄSTERBOTTENS LÄN</t>
        </is>
      </c>
      <c r="G124" t="inlineStr">
        <is>
          <t>ROBERTSFORS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45079</v>
      </c>
      <c r="E125" s="1" t="n">
        <v>46282</v>
      </c>
      <c r="F125" t="inlineStr">
        <is>
          <t>VÄSTERBOTTENS LÄN</t>
        </is>
      </c>
      <c r="G125" t="inlineStr">
        <is>
          <t>ROBERTSFORS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46282</v>
      </c>
      <c r="F126" t="inlineStr">
        <is>
          <t>VÄSTERBOTTENS LÄN</t>
        </is>
      </c>
      <c r="G126" t="inlineStr">
        <is>
          <t>ROBERTSFORS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46282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46282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46282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45197</v>
      </c>
      <c r="E130" s="1" t="n">
        <v>46282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45048</v>
      </c>
      <c r="E131" s="1" t="n">
        <v>46282</v>
      </c>
      <c r="F131" t="inlineStr">
        <is>
          <t>VÄSTERBOTTENS LÄN</t>
        </is>
      </c>
      <c r="G131" t="inlineStr">
        <is>
          <t>ROBERTSFORS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45622</v>
      </c>
      <c r="E132" s="1" t="n">
        <v>46282</v>
      </c>
      <c r="F132" t="inlineStr">
        <is>
          <t>VÄSTERBOTTENS LÄN</t>
        </is>
      </c>
      <c r="G132" t="inlineStr">
        <is>
          <t>ROBERTSFORS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46282</v>
      </c>
      <c r="F133" t="inlineStr">
        <is>
          <t>VÄSTERBOTTENS LÄN</t>
        </is>
      </c>
      <c r="G133" t="inlineStr">
        <is>
          <t>ROBERTSFORS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46282</v>
      </c>
      <c r="F134" t="inlineStr">
        <is>
          <t>VÄSTERBOTTENS LÄN</t>
        </is>
      </c>
      <c r="G134" t="inlineStr">
        <is>
          <t>ROBERTSFORS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46282</v>
      </c>
      <c r="F135" t="inlineStr">
        <is>
          <t>VÄSTERBOTTENS LÄN</t>
        </is>
      </c>
      <c r="G135" t="inlineStr">
        <is>
          <t>ROBERTSFORS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46282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46282</v>
      </c>
      <c r="F137" t="inlineStr">
        <is>
          <t>VÄSTERBOTTENS LÄN</t>
        </is>
      </c>
      <c r="G137" t="inlineStr">
        <is>
          <t>ROBERTSFORS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15294-2023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45019</v>
      </c>
      <c r="E138" s="1" t="n">
        <v>46282</v>
      </c>
      <c r="F138" t="inlineStr">
        <is>
          <t>VÄSTERBOTTENS LÄN</t>
        </is>
      </c>
      <c r="G138" t="inlineStr">
        <is>
          <t>ROBERTSFORS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54366-2024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45617</v>
      </c>
      <c r="E139" s="1" t="n">
        <v>46282</v>
      </c>
      <c r="F139" t="inlineStr">
        <is>
          <t>VÄSTERBOTTENS LÄN</t>
        </is>
      </c>
      <c r="G139" t="inlineStr">
        <is>
          <t>ROBERTSFORS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45405</v>
      </c>
      <c r="E140" s="1" t="n">
        <v>46282</v>
      </c>
      <c r="F140" t="inlineStr">
        <is>
          <t>VÄSTERBOTTENS LÄN</t>
        </is>
      </c>
      <c r="G140" t="inlineStr">
        <is>
          <t>ROBERTSFORS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46282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45184</v>
      </c>
      <c r="E142" s="1" t="n">
        <v>46282</v>
      </c>
      <c r="F142" t="inlineStr">
        <is>
          <t>VÄSTERBOTTENS LÄN</t>
        </is>
      </c>
      <c r="G142" t="inlineStr">
        <is>
          <t>ROBERTSFORS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29622-2024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45484</v>
      </c>
      <c r="E143" s="1" t="n">
        <v>46282</v>
      </c>
      <c r="F143" t="inlineStr">
        <is>
          <t>VÄSTERBOTTENS LÄN</t>
        </is>
      </c>
      <c r="G143" t="inlineStr">
        <is>
          <t>ROBERTSFORS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46282</v>
      </c>
      <c r="F144" t="inlineStr">
        <is>
          <t>VÄSTERBOTTENS LÄN</t>
        </is>
      </c>
      <c r="G144" t="inlineStr">
        <is>
          <t>ROBERTSFORS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46282</v>
      </c>
      <c r="F145" t="inlineStr">
        <is>
          <t>VÄSTERBOTTENS LÄN</t>
        </is>
      </c>
      <c r="G145" t="inlineStr">
        <is>
          <t>ROBERTSFORS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45559</v>
      </c>
      <c r="E146" s="1" t="n">
        <v>46282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46282</v>
      </c>
      <c r="F147" t="inlineStr">
        <is>
          <t>VÄSTERBOTTENS LÄN</t>
        </is>
      </c>
      <c r="G147" t="inlineStr">
        <is>
          <t>ROBERTSFORS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45659</v>
      </c>
      <c r="E148" s="1" t="n">
        <v>46282</v>
      </c>
      <c r="F148" t="inlineStr">
        <is>
          <t>VÄSTERBOTTENS LÄN</t>
        </is>
      </c>
      <c r="G148" t="inlineStr">
        <is>
          <t>ROBERTSFORS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46282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46282</v>
      </c>
      <c r="F150" t="inlineStr">
        <is>
          <t>VÄSTERBOTTENS LÄN</t>
        </is>
      </c>
      <c r="G150" t="inlineStr">
        <is>
          <t>ROBERTSFORS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45461</v>
      </c>
      <c r="E151" s="1" t="n">
        <v>46282</v>
      </c>
      <c r="F151" t="inlineStr">
        <is>
          <t>VÄSTERBOTTENS LÄN</t>
        </is>
      </c>
      <c r="G151" t="inlineStr">
        <is>
          <t>ROBERTSFORS</t>
        </is>
      </c>
      <c r="I151" t="n">
        <v>14.3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46282</v>
      </c>
      <c r="F152" t="inlineStr">
        <is>
          <t>VÄSTERBOTTENS LÄN</t>
        </is>
      </c>
      <c r="G152" t="inlineStr">
        <is>
          <t>ROBERTSFORS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46282</v>
      </c>
      <c r="F153" t="inlineStr">
        <is>
          <t>VÄSTERBOTTENS LÄN</t>
        </is>
      </c>
      <c r="G153" t="inlineStr">
        <is>
          <t>ROBERTSFORS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46282</v>
      </c>
      <c r="F154" t="inlineStr">
        <is>
          <t>VÄSTERBOTTENS LÄN</t>
        </is>
      </c>
      <c r="G154" t="inlineStr">
        <is>
          <t>ROBERTSFORS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46282</v>
      </c>
      <c r="F155" t="inlineStr">
        <is>
          <t>VÄSTERBOTTENS LÄN</t>
        </is>
      </c>
      <c r="G155" t="inlineStr">
        <is>
          <t>ROBERTSFORS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45468</v>
      </c>
      <c r="E156" s="1" t="n">
        <v>46282</v>
      </c>
      <c r="F156" t="inlineStr">
        <is>
          <t>VÄSTERBOTTENS LÄN</t>
        </is>
      </c>
      <c r="G156" t="inlineStr">
        <is>
          <t>ROBERTSFORS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46282</v>
      </c>
      <c r="F157" t="inlineStr">
        <is>
          <t>VÄSTERBOTTENS LÄN</t>
        </is>
      </c>
      <c r="G157" t="inlineStr">
        <is>
          <t>ROBERTSFORS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45687</v>
      </c>
      <c r="E158" s="1" t="n">
        <v>46282</v>
      </c>
      <c r="F158" t="inlineStr">
        <is>
          <t>VÄSTERBOTTENS LÄN</t>
        </is>
      </c>
      <c r="G158" t="inlineStr">
        <is>
          <t>ROBERTSFORS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45811</v>
      </c>
      <c r="E159" s="1" t="n">
        <v>46282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12.7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46282</v>
      </c>
      <c r="F160" t="inlineStr">
        <is>
          <t>VÄSTERBOTTENS LÄN</t>
        </is>
      </c>
      <c r="G160" t="inlineStr">
        <is>
          <t>ROBERTSFORS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45636</v>
      </c>
      <c r="E161" s="1" t="n">
        <v>46282</v>
      </c>
      <c r="F161" t="inlineStr">
        <is>
          <t>VÄSTERBOTTENS LÄN</t>
        </is>
      </c>
      <c r="G161" t="inlineStr">
        <is>
          <t>ROBERTSFORS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46282</v>
      </c>
      <c r="F162" t="inlineStr">
        <is>
          <t>VÄSTERBOTTENS LÄN</t>
        </is>
      </c>
      <c r="G162" t="inlineStr">
        <is>
          <t>ROBERTSFORS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46282</v>
      </c>
      <c r="F163" t="inlineStr">
        <is>
          <t>VÄSTERBOTTENS LÄN</t>
        </is>
      </c>
      <c r="G163" t="inlineStr">
        <is>
          <t>ROBERTSFORS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46282</v>
      </c>
      <c r="F164" t="inlineStr">
        <is>
          <t>VÄSTERBOTTENS LÄN</t>
        </is>
      </c>
      <c r="G164" t="inlineStr">
        <is>
          <t>ROBERTSFORS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44960</v>
      </c>
      <c r="E165" s="1" t="n">
        <v>46282</v>
      </c>
      <c r="F165" t="inlineStr">
        <is>
          <t>VÄSTERBOTTENS LÄN</t>
        </is>
      </c>
      <c r="G165" t="inlineStr">
        <is>
          <t>ROBERTSFORS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44960</v>
      </c>
      <c r="E166" s="1" t="n">
        <v>46282</v>
      </c>
      <c r="F166" t="inlineStr">
        <is>
          <t>VÄSTERBOTTENS LÄN</t>
        </is>
      </c>
      <c r="G166" t="inlineStr">
        <is>
          <t>ROBERTSFORS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46282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46282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28330-2025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45818</v>
      </c>
      <c r="E169" s="1" t="n">
        <v>46282</v>
      </c>
      <c r="F169" t="inlineStr">
        <is>
          <t>VÄSTERBOTTENS LÄN</t>
        </is>
      </c>
      <c r="G169" t="inlineStr">
        <is>
          <t>ROBERTSFORS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46282</v>
      </c>
      <c r="F170" t="inlineStr">
        <is>
          <t>VÄSTERBOTTENS LÄN</t>
        </is>
      </c>
      <c r="G170" t="inlineStr">
        <is>
          <t>ROBERTSFORS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39982-2025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45893</v>
      </c>
      <c r="E171" s="1" t="n">
        <v>46282</v>
      </c>
      <c r="F171" t="inlineStr">
        <is>
          <t>VÄSTERBOTTENS LÄN</t>
        </is>
      </c>
      <c r="G171" t="inlineStr">
        <is>
          <t>ROBERTSFORS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44913</v>
      </c>
      <c r="E172" s="1" t="n">
        <v>46282</v>
      </c>
      <c r="F172" t="inlineStr">
        <is>
          <t>VÄSTERBOTTENS LÄN</t>
        </is>
      </c>
      <c r="G172" t="inlineStr">
        <is>
          <t>ROBERTSFORS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45070</v>
      </c>
      <c r="E173" s="1" t="n">
        <v>46282</v>
      </c>
      <c r="F173" t="inlineStr">
        <is>
          <t>VÄSTERBOTTENS LÄN</t>
        </is>
      </c>
      <c r="G173" t="inlineStr">
        <is>
          <t>ROBERTSFORS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46282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41898-2025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46282</v>
      </c>
      <c r="F175" t="inlineStr">
        <is>
          <t>VÄSTERBOTTENS LÄN</t>
        </is>
      </c>
      <c r="G175" t="inlineStr">
        <is>
          <t>ROBERTSFORS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46282</v>
      </c>
      <c r="F176" t="inlineStr">
        <is>
          <t>VÄSTERBOTTENS LÄN</t>
        </is>
      </c>
      <c r="G176" t="inlineStr">
        <is>
          <t>ROBERTSFORS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46282</v>
      </c>
      <c r="F177" t="inlineStr">
        <is>
          <t>VÄSTERBOTTENS LÄN</t>
        </is>
      </c>
      <c r="G177" t="inlineStr">
        <is>
          <t>ROBERTSFORS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44902</v>
      </c>
      <c r="E178" s="1" t="n">
        <v>46282</v>
      </c>
      <c r="F178" t="inlineStr">
        <is>
          <t>VÄSTERBOTTENS LÄN</t>
        </is>
      </c>
      <c r="G178" t="inlineStr">
        <is>
          <t>ROBERTSFORS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46331-2023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45197</v>
      </c>
      <c r="E179" s="1" t="n">
        <v>46282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46282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46282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46282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46282</v>
      </c>
      <c r="F183" t="inlineStr">
        <is>
          <t>VÄSTERBOTTENS LÄN</t>
        </is>
      </c>
      <c r="G183" t="inlineStr">
        <is>
          <t>ROBERTSFORS</t>
        </is>
      </c>
      <c r="I183" t="n">
        <v>12.7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46282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44860</v>
      </c>
      <c r="E185" s="1" t="n">
        <v>46282</v>
      </c>
      <c r="F185" t="inlineStr">
        <is>
          <t>VÄSTERBOTTENS LÄN</t>
        </is>
      </c>
      <c r="G185" t="inlineStr">
        <is>
          <t>ROBERTSFORS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45251</v>
      </c>
      <c r="E186" s="1" t="n">
        <v>46282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46282</v>
      </c>
      <c r="F187" t="inlineStr">
        <is>
          <t>VÄSTERBOTTENS LÄN</t>
        </is>
      </c>
      <c r="G187" t="inlineStr">
        <is>
          <t>ROBERTSFORS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46282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46282</v>
      </c>
      <c r="F189" t="inlineStr">
        <is>
          <t>VÄSTERBOTTENS LÄN</t>
        </is>
      </c>
      <c r="G189" t="inlineStr">
        <is>
          <t>ROBERTSFORS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44130-2025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45915</v>
      </c>
      <c r="E190" s="1" t="n">
        <v>46282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46282</v>
      </c>
      <c r="F191" t="inlineStr">
        <is>
          <t>VÄSTERBOTTENS LÄN</t>
        </is>
      </c>
      <c r="G191" t="inlineStr">
        <is>
          <t>ROBERTSFORS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46282</v>
      </c>
      <c r="F192" t="inlineStr">
        <is>
          <t>VÄSTERBOTTENS LÄN</t>
        </is>
      </c>
      <c r="G192" t="inlineStr">
        <is>
          <t>ROBERTSFORS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46282</v>
      </c>
      <c r="F193" t="inlineStr">
        <is>
          <t>VÄSTERBOTTENS LÄN</t>
        </is>
      </c>
      <c r="G193" t="inlineStr">
        <is>
          <t>ROBERTSFORS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46282</v>
      </c>
      <c r="F194" t="inlineStr">
        <is>
          <t>VÄSTERBOTTENS LÄN</t>
        </is>
      </c>
      <c r="G194" t="inlineStr">
        <is>
          <t>ROBERTSFORS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46282</v>
      </c>
      <c r="F195" t="inlineStr">
        <is>
          <t>VÄSTERBOTTENS LÄN</t>
        </is>
      </c>
      <c r="G195" t="inlineStr">
        <is>
          <t>ROBERTSFORS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16993-2023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45033</v>
      </c>
      <c r="E196" s="1" t="n">
        <v>46282</v>
      </c>
      <c r="F196" t="inlineStr">
        <is>
          <t>VÄSTERBOTTENS LÄN</t>
        </is>
      </c>
      <c r="G196" t="inlineStr">
        <is>
          <t>ROBERTSFORS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46282</v>
      </c>
      <c r="F197" t="inlineStr">
        <is>
          <t>VÄSTERBOTTENS LÄN</t>
        </is>
      </c>
      <c r="G197" t="inlineStr">
        <is>
          <t>ROBERTSFORS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46282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SCA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46282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46282</v>
      </c>
      <c r="F200" t="inlineStr">
        <is>
          <t>VÄSTERBOTTENS LÄN</t>
        </is>
      </c>
      <c r="G200" t="inlineStr">
        <is>
          <t>ROBERTSFORS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33368-2025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45841</v>
      </c>
      <c r="E201" s="1" t="n">
        <v>46282</v>
      </c>
      <c r="F201" t="inlineStr">
        <is>
          <t>VÄSTERBOTTENS LÄN</t>
        </is>
      </c>
      <c r="G201" t="inlineStr">
        <is>
          <t>ROBERTSFORS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33375-2025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45841</v>
      </c>
      <c r="E202" s="1" t="n">
        <v>46282</v>
      </c>
      <c r="F202" t="inlineStr">
        <is>
          <t>VÄSTERBOTTENS LÄN</t>
        </is>
      </c>
      <c r="G202" t="inlineStr">
        <is>
          <t>ROBERTSFORS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46282</v>
      </c>
      <c r="F203" t="inlineStr">
        <is>
          <t>VÄSTERBOTTENS LÄN</t>
        </is>
      </c>
      <c r="G203" t="inlineStr">
        <is>
          <t>ROBERTSFORS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46282</v>
      </c>
      <c r="F204" t="inlineStr">
        <is>
          <t>VÄSTERBOTTENS LÄN</t>
        </is>
      </c>
      <c r="G204" t="inlineStr">
        <is>
          <t>ROBERTSFORS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46168-2025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45924</v>
      </c>
      <c r="E205" s="1" t="n">
        <v>46282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46282</v>
      </c>
      <c r="F206" t="inlineStr">
        <is>
          <t>VÄSTERBOTTENS LÄN</t>
        </is>
      </c>
      <c r="G206" t="inlineStr">
        <is>
          <t>ROBERTSFORS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46282</v>
      </c>
      <c r="F207" t="inlineStr">
        <is>
          <t>VÄSTERBOTTENS LÄN</t>
        </is>
      </c>
      <c r="G207" t="inlineStr">
        <is>
          <t>ROBERTSFORS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46647-2025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46282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44953</v>
      </c>
      <c r="E209" s="1" t="n">
        <v>46282</v>
      </c>
      <c r="F209" t="inlineStr">
        <is>
          <t>VÄSTERBOTTENS LÄN</t>
        </is>
      </c>
      <c r="G209" t="inlineStr">
        <is>
          <t>ROBERTSFORS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46282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46282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45856</v>
      </c>
      <c r="E212" s="1" t="n">
        <v>46282</v>
      </c>
      <c r="F212" t="inlineStr">
        <is>
          <t>VÄSTERBOTTENS LÄN</t>
        </is>
      </c>
      <c r="G212" t="inlineStr">
        <is>
          <t>ROBERTSFORS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45856</v>
      </c>
      <c r="E213" s="1" t="n">
        <v>46282</v>
      </c>
      <c r="F213" t="inlineStr">
        <is>
          <t>VÄSTERBOTTENS LÄN</t>
        </is>
      </c>
      <c r="G213" t="inlineStr">
        <is>
          <t>ROBERTSFORS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45856</v>
      </c>
      <c r="E214" s="1" t="n">
        <v>46282</v>
      </c>
      <c r="F214" t="inlineStr">
        <is>
          <t>VÄSTERBOTTENS LÄN</t>
        </is>
      </c>
      <c r="G214" t="inlineStr">
        <is>
          <t>ROBERTSFORS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46282</v>
      </c>
      <c r="F215" t="inlineStr">
        <is>
          <t>VÄSTERBOTTENS LÄN</t>
        </is>
      </c>
      <c r="G215" t="inlineStr">
        <is>
          <t>ROBERTSFORS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45458</v>
      </c>
      <c r="E216" s="1" t="n">
        <v>46282</v>
      </c>
      <c r="F216" t="inlineStr">
        <is>
          <t>VÄSTERBOTTENS LÄN</t>
        </is>
      </c>
      <c r="G216" t="inlineStr">
        <is>
          <t>ROBERTSFORS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46042</v>
      </c>
      <c r="E217" s="1" t="n">
        <v>46282</v>
      </c>
      <c r="F217" t="inlineStr">
        <is>
          <t>VÄSTERBOTTENS LÄN</t>
        </is>
      </c>
      <c r="G217" t="inlineStr">
        <is>
          <t>ROBERTSFORS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45205</v>
      </c>
      <c r="E218" s="1" t="n">
        <v>46282</v>
      </c>
      <c r="F218" t="inlineStr">
        <is>
          <t>VÄSTERBOTTENS LÄN</t>
        </is>
      </c>
      <c r="G218" t="inlineStr">
        <is>
          <t>ROBERTSFORS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46042</v>
      </c>
      <c r="E219" s="1" t="n">
        <v>46282</v>
      </c>
      <c r="F219" t="inlineStr">
        <is>
          <t>VÄSTERBOTTENS LÄN</t>
        </is>
      </c>
      <c r="G219" t="inlineStr">
        <is>
          <t>ROBERTSFORS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45870</v>
      </c>
      <c r="E220" s="1" t="n">
        <v>46282</v>
      </c>
      <c r="F220" t="inlineStr">
        <is>
          <t>VÄSTERBOTTENS LÄN</t>
        </is>
      </c>
      <c r="G220" t="inlineStr">
        <is>
          <t>ROBERTSFORS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46282</v>
      </c>
      <c r="F221" t="inlineStr">
        <is>
          <t>VÄSTERBOTTENS LÄN</t>
        </is>
      </c>
      <c r="G221" t="inlineStr">
        <is>
          <t>ROBERTSFORS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46282</v>
      </c>
      <c r="F222" t="inlineStr">
        <is>
          <t>VÄSTERBOTTENS LÄN</t>
        </is>
      </c>
      <c r="G222" t="inlineStr">
        <is>
          <t>ROBERTSFORS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46282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45873</v>
      </c>
      <c r="E224" s="1" t="n">
        <v>46282</v>
      </c>
      <c r="F224" t="inlineStr">
        <is>
          <t>VÄSTERBOTTENS LÄN</t>
        </is>
      </c>
      <c r="G224" t="inlineStr">
        <is>
          <t>ROBERTSFORS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46282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45458</v>
      </c>
      <c r="E226" s="1" t="n">
        <v>46282</v>
      </c>
      <c r="F226" t="inlineStr">
        <is>
          <t>VÄSTERBOTTENS LÄN</t>
        </is>
      </c>
      <c r="G226" t="inlineStr">
        <is>
          <t>ROBERTSFORS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46282</v>
      </c>
      <c r="F227" t="inlineStr">
        <is>
          <t>VÄSTERBOTTENS LÄN</t>
        </is>
      </c>
      <c r="G227" t="inlineStr">
        <is>
          <t>ROBERTSFORS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46282</v>
      </c>
      <c r="F228" t="inlineStr">
        <is>
          <t>VÄSTERBOTTENS LÄN</t>
        </is>
      </c>
      <c r="G228" t="inlineStr">
        <is>
          <t>ROBERTSFORS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46048</v>
      </c>
      <c r="E229" s="1" t="n">
        <v>46282</v>
      </c>
      <c r="F229" t="inlineStr">
        <is>
          <t>VÄSTERBOTTENS LÄN</t>
        </is>
      </c>
      <c r="G229" t="inlineStr">
        <is>
          <t>ROBERTSFORS</t>
        </is>
      </c>
      <c r="I229" t="n">
        <v>9.9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46282</v>
      </c>
      <c r="F230" t="inlineStr">
        <is>
          <t>VÄSTERBOTTENS LÄN</t>
        </is>
      </c>
      <c r="G230" t="inlineStr">
        <is>
          <t>ROBERTSFORS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46282</v>
      </c>
      <c r="F231" t="inlineStr">
        <is>
          <t>VÄSTERBOTTENS LÄN</t>
        </is>
      </c>
      <c r="G231" t="inlineStr">
        <is>
          <t>ROBERTSFORS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46050</v>
      </c>
      <c r="E232" s="1" t="n">
        <v>46282</v>
      </c>
      <c r="F232" t="inlineStr">
        <is>
          <t>VÄSTERBOTTENS LÄN</t>
        </is>
      </c>
      <c r="G232" t="inlineStr">
        <is>
          <t>ROBERTSFORS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46282</v>
      </c>
      <c r="F233" t="inlineStr">
        <is>
          <t>VÄSTERBOTTENS LÄN</t>
        </is>
      </c>
      <c r="G233" t="inlineStr">
        <is>
          <t>ROBERTSFORS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45029</v>
      </c>
      <c r="E234" s="1" t="n">
        <v>46282</v>
      </c>
      <c r="F234" t="inlineStr">
        <is>
          <t>VÄSTERBOTTENS LÄN</t>
        </is>
      </c>
      <c r="G234" t="inlineStr">
        <is>
          <t>ROBERTSFORS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46282</v>
      </c>
      <c r="F235" t="inlineStr">
        <is>
          <t>VÄSTERBOTTENS LÄN</t>
        </is>
      </c>
      <c r="G235" t="inlineStr">
        <is>
          <t>ROBERTSFORS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45958</v>
      </c>
      <c r="E236" s="1" t="n">
        <v>46282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53320-2025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45959</v>
      </c>
      <c r="E237" s="1" t="n">
        <v>46282</v>
      </c>
      <c r="F237" t="inlineStr">
        <is>
          <t>VÄSTERBOTTENS LÄN</t>
        </is>
      </c>
      <c r="G237" t="inlineStr">
        <is>
          <t>ROBERTSFORS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46282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65771-2021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44516</v>
      </c>
      <c r="E239" s="1" t="n">
        <v>46282</v>
      </c>
      <c r="F239" t="inlineStr">
        <is>
          <t>VÄSTERBOTTENS LÄN</t>
        </is>
      </c>
      <c r="G239" t="inlineStr">
        <is>
          <t>ROBERTSFORS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46282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45480</v>
      </c>
      <c r="E241" s="1" t="n">
        <v>46282</v>
      </c>
      <c r="F241" t="inlineStr">
        <is>
          <t>VÄSTERBOTTENS LÄN</t>
        </is>
      </c>
      <c r="G241" t="inlineStr">
        <is>
          <t>ROBERTSFORS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46282</v>
      </c>
      <c r="F242" t="inlineStr">
        <is>
          <t>VÄSTERBOTTENS LÄN</t>
        </is>
      </c>
      <c r="G242" t="inlineStr">
        <is>
          <t>ROBERTSFORS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46282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45661</v>
      </c>
      <c r="E244" s="1" t="n">
        <v>46282</v>
      </c>
      <c r="F244" t="inlineStr">
        <is>
          <t>VÄSTERBOTTENS LÄN</t>
        </is>
      </c>
      <c r="G244" t="inlineStr">
        <is>
          <t>ROBERTSFORS</t>
        </is>
      </c>
      <c r="I244" t="n">
        <v>10.6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46282</v>
      </c>
      <c r="F245" t="inlineStr">
        <is>
          <t>VÄSTERBOTTENS LÄN</t>
        </is>
      </c>
      <c r="G245" t="inlineStr">
        <is>
          <t>ROBERTSFORS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46282</v>
      </c>
      <c r="F246" t="inlineStr">
        <is>
          <t>VÄSTERBOTTENS LÄN</t>
        </is>
      </c>
      <c r="G246" t="inlineStr">
        <is>
          <t>ROBERTSFORS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46282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65772-2021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44516</v>
      </c>
      <c r="E248" s="1" t="n">
        <v>46282</v>
      </c>
      <c r="F248" t="inlineStr">
        <is>
          <t>VÄSTERBOTTENS LÄN</t>
        </is>
      </c>
      <c r="G248" t="inlineStr">
        <is>
          <t>ROBERTSFORS</t>
        </is>
      </c>
      <c r="I248" t="n">
        <v>18.2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64625-2023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46282</v>
      </c>
      <c r="F249" t="inlineStr">
        <is>
          <t>VÄSTERBOTTENS LÄN</t>
        </is>
      </c>
      <c r="G249" t="inlineStr">
        <is>
          <t>ROBERTSFORS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54589-2025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46282</v>
      </c>
      <c r="F250" t="inlineStr">
        <is>
          <t>VÄSTERBOTTENS LÄN</t>
        </is>
      </c>
      <c r="G250" t="inlineStr">
        <is>
          <t>ROBERTSFORS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46282</v>
      </c>
      <c r="F251" t="inlineStr">
        <is>
          <t>VÄSTERBOTTENS LÄN</t>
        </is>
      </c>
      <c r="G251" t="inlineStr">
        <is>
          <t>ROBERTSFORS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54311-2025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46282</v>
      </c>
      <c r="F252" t="inlineStr">
        <is>
          <t>VÄSTERBOTTENS LÄN</t>
        </is>
      </c>
      <c r="G252" t="inlineStr">
        <is>
          <t>ROBERTSFORS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45157-2023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45191</v>
      </c>
      <c r="E253" s="1" t="n">
        <v>46282</v>
      </c>
      <c r="F253" t="inlineStr">
        <is>
          <t>VÄSTERBOTTENS LÄN</t>
        </is>
      </c>
      <c r="G253" t="inlineStr">
        <is>
          <t>ROBERTSFORS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45512</v>
      </c>
      <c r="E254" s="1" t="n">
        <v>46282</v>
      </c>
      <c r="F254" t="inlineStr">
        <is>
          <t>VÄSTERBOTTENS LÄN</t>
        </is>
      </c>
      <c r="G254" t="inlineStr">
        <is>
          <t>ROBERTSFORS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46282</v>
      </c>
      <c r="F255" t="inlineStr">
        <is>
          <t>VÄSTERBOTTENS LÄN</t>
        </is>
      </c>
      <c r="G255" t="inlineStr">
        <is>
          <t>ROBERTSFORS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46282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44783</v>
      </c>
      <c r="E257" s="1" t="n">
        <v>46282</v>
      </c>
      <c r="F257" t="inlineStr">
        <is>
          <t>VÄSTERBOTTENS LÄN</t>
        </is>
      </c>
      <c r="G257" t="inlineStr">
        <is>
          <t>ROBERTSFORS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46065</v>
      </c>
      <c r="E258" s="1" t="n">
        <v>46282</v>
      </c>
      <c r="F258" t="inlineStr">
        <is>
          <t>VÄSTERBOTTENS LÄN</t>
        </is>
      </c>
      <c r="G258" t="inlineStr">
        <is>
          <t>ROBERTSFORS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46282</v>
      </c>
      <c r="F259" t="inlineStr">
        <is>
          <t>VÄSTERBOTTENS LÄN</t>
        </is>
      </c>
      <c r="G259" t="inlineStr">
        <is>
          <t>ROBERTSFORS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44026-2022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44838</v>
      </c>
      <c r="E260" s="1" t="n">
        <v>46282</v>
      </c>
      <c r="F260" t="inlineStr">
        <is>
          <t>VÄSTERBOTTENS LÄN</t>
        </is>
      </c>
      <c r="G260" t="inlineStr">
        <is>
          <t>ROBERTSFORS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45162</v>
      </c>
      <c r="E261" s="1" t="n">
        <v>46282</v>
      </c>
      <c r="F261" t="inlineStr">
        <is>
          <t>VÄSTERBOTTENS LÄN</t>
        </is>
      </c>
      <c r="G261" t="inlineStr">
        <is>
          <t>ROBERTSFORS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45653</v>
      </c>
      <c r="E262" s="1" t="n">
        <v>46282</v>
      </c>
      <c r="F262" t="inlineStr">
        <is>
          <t>VÄSTERBOTTENS LÄN</t>
        </is>
      </c>
      <c r="G262" t="inlineStr">
        <is>
          <t>ROBERTSFORS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46282</v>
      </c>
      <c r="F263" t="inlineStr">
        <is>
          <t>VÄSTERBOTTENS LÄN</t>
        </is>
      </c>
      <c r="G263" t="inlineStr">
        <is>
          <t>ROBERTSFORS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46282</v>
      </c>
      <c r="F264" t="inlineStr">
        <is>
          <t>VÄSTERBOTTENS LÄN</t>
        </is>
      </c>
      <c r="G264" t="inlineStr">
        <is>
          <t>ROBERTSFORS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44945</v>
      </c>
      <c r="E265" s="1" t="n">
        <v>46282</v>
      </c>
      <c r="F265" t="inlineStr">
        <is>
          <t>VÄSTERBOTTENS LÄN</t>
        </is>
      </c>
      <c r="G265" t="inlineStr">
        <is>
          <t>ROBERTSFORS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57979-2021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44487</v>
      </c>
      <c r="E266" s="1" t="n">
        <v>46282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46282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46282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SCA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46282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46282</v>
      </c>
      <c r="F270" t="inlineStr">
        <is>
          <t>VÄSTERBOTTENS LÄN</t>
        </is>
      </c>
      <c r="G270" t="inlineStr">
        <is>
          <t>ROBERTSFORS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46282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44901</v>
      </c>
      <c r="E272" s="1" t="n">
        <v>46282</v>
      </c>
      <c r="F272" t="inlineStr">
        <is>
          <t>VÄSTERBOTTENS LÄN</t>
        </is>
      </c>
      <c r="G272" t="inlineStr">
        <is>
          <t>ROBERTSFORS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46282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45678</v>
      </c>
      <c r="E274" s="1" t="n">
        <v>46282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45987</v>
      </c>
      <c r="E275" s="1" t="n">
        <v>46282</v>
      </c>
      <c r="F275" t="inlineStr">
        <is>
          <t>VÄSTERBOTTENS LÄN</t>
        </is>
      </c>
      <c r="G275" t="inlineStr">
        <is>
          <t>ROBERTSFORS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46282</v>
      </c>
      <c r="F276" t="inlineStr">
        <is>
          <t>VÄSTERBOTTENS LÄN</t>
        </is>
      </c>
      <c r="G276" t="inlineStr">
        <is>
          <t>ROBERTSFORS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45335</v>
      </c>
      <c r="E277" s="1" t="n">
        <v>46282</v>
      </c>
      <c r="F277" t="inlineStr">
        <is>
          <t>VÄSTERBOTTENS LÄN</t>
        </is>
      </c>
      <c r="G277" t="inlineStr">
        <is>
          <t>ROBERTSFORS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46282</v>
      </c>
      <c r="F278" t="inlineStr">
        <is>
          <t>VÄSTERBOTTENS LÄN</t>
        </is>
      </c>
      <c r="G278" t="inlineStr">
        <is>
          <t>ROBERTSFORS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46282</v>
      </c>
      <c r="F279" t="inlineStr">
        <is>
          <t>VÄSTERBOTTENS LÄN</t>
        </is>
      </c>
      <c r="G279" t="inlineStr">
        <is>
          <t>ROBERTSFORS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45996</v>
      </c>
      <c r="E280" s="1" t="n">
        <v>46282</v>
      </c>
      <c r="F280" t="inlineStr">
        <is>
          <t>VÄSTERBOTTENS LÄN</t>
        </is>
      </c>
      <c r="G280" t="inlineStr">
        <is>
          <t>ROBERTSFORS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45405</v>
      </c>
      <c r="E281" s="1" t="n">
        <v>46282</v>
      </c>
      <c r="F281" t="inlineStr">
        <is>
          <t>VÄSTERBOTTENS LÄN</t>
        </is>
      </c>
      <c r="G281" t="inlineStr">
        <is>
          <t>ROBERTSFORS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46282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46282</v>
      </c>
      <c r="F283" t="inlineStr">
        <is>
          <t>VÄSTERBOTTENS LÄN</t>
        </is>
      </c>
      <c r="G283" t="inlineStr">
        <is>
          <t>ROBERTSFORS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46282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46282</v>
      </c>
      <c r="F285" t="inlineStr">
        <is>
          <t>VÄSTERBOTTENS LÄN</t>
        </is>
      </c>
      <c r="G285" t="inlineStr">
        <is>
          <t>ROBERTSFORS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44580</v>
      </c>
      <c r="E286" s="1" t="n">
        <v>46282</v>
      </c>
      <c r="F286" t="inlineStr">
        <is>
          <t>VÄSTERBOTTENS LÄN</t>
        </is>
      </c>
      <c r="G286" t="inlineStr">
        <is>
          <t>ROBERTSFORS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45020</v>
      </c>
      <c r="E287" s="1" t="n">
        <v>46282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Sveaskog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44502</v>
      </c>
      <c r="E288" s="1" t="n">
        <v>46282</v>
      </c>
      <c r="F288" t="inlineStr">
        <is>
          <t>VÄSTERBOTTENS LÄN</t>
        </is>
      </c>
      <c r="G288" t="inlineStr">
        <is>
          <t>ROBERTSFORS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46282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46282</v>
      </c>
      <c r="F290" t="inlineStr">
        <is>
          <t>VÄSTERBOTTENS LÄN</t>
        </is>
      </c>
      <c r="G290" t="inlineStr">
        <is>
          <t>ROBERTSFORS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46282</v>
      </c>
      <c r="F291" t="inlineStr">
        <is>
          <t>VÄSTERBOTTENS LÄN</t>
        </is>
      </c>
      <c r="G291" t="inlineStr">
        <is>
          <t>ROBERTSFORS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46282</v>
      </c>
      <c r="F292" t="inlineStr">
        <is>
          <t>VÄSTERBOTTENS LÄN</t>
        </is>
      </c>
      <c r="G292" t="inlineStr">
        <is>
          <t>ROBERTSFORS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46282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13.9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46282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45510</v>
      </c>
      <c r="E295" s="1" t="n">
        <v>46282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46282</v>
      </c>
      <c r="F296" t="inlineStr">
        <is>
          <t>VÄSTERBOTTENS LÄN</t>
        </is>
      </c>
      <c r="G296" t="inlineStr">
        <is>
          <t>ROBERTSFORS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46282</v>
      </c>
      <c r="F297" t="inlineStr">
        <is>
          <t>VÄSTERBOTTENS LÄN</t>
        </is>
      </c>
      <c r="G297" t="inlineStr">
        <is>
          <t>ROBERTSFORS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46282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46282</v>
      </c>
      <c r="F299" t="inlineStr">
        <is>
          <t>VÄSTERBOTTENS LÄN</t>
        </is>
      </c>
      <c r="G299" t="inlineStr">
        <is>
          <t>ROBERTSFORS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9135-2024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45357</v>
      </c>
      <c r="E300" s="1" t="n">
        <v>46282</v>
      </c>
      <c r="F300" t="inlineStr">
        <is>
          <t>VÄSTERBOTTENS LÄN</t>
        </is>
      </c>
      <c r="G300" t="inlineStr">
        <is>
          <t>ROBERTSFORS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46282</v>
      </c>
      <c r="F301" t="inlineStr">
        <is>
          <t>VÄSTERBOTTENS LÄN</t>
        </is>
      </c>
      <c r="G301" t="inlineStr">
        <is>
          <t>ROBERTSFORS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46282</v>
      </c>
      <c r="F302" t="inlineStr">
        <is>
          <t>VÄSTERBOTTENS LÄN</t>
        </is>
      </c>
      <c r="G302" t="inlineStr">
        <is>
          <t>ROBERTSFORS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47420-2024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45587</v>
      </c>
      <c r="E303" s="1" t="n">
        <v>46282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SCA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46122</v>
      </c>
      <c r="E304" s="1" t="n">
        <v>46282</v>
      </c>
      <c r="F304" t="inlineStr">
        <is>
          <t>VÄSTERBOTTENS LÄN</t>
        </is>
      </c>
      <c r="G304" t="inlineStr">
        <is>
          <t>ROBERTSFORS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46122</v>
      </c>
      <c r="E305" s="1" t="n">
        <v>46282</v>
      </c>
      <c r="F305" t="inlineStr">
        <is>
          <t>VÄSTERBOTTENS LÄN</t>
        </is>
      </c>
      <c r="G305" t="inlineStr">
        <is>
          <t>ROBERTSFORS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46126</v>
      </c>
      <c r="E306" s="1" t="n">
        <v>46282</v>
      </c>
      <c r="F306" t="inlineStr">
        <is>
          <t>VÄSTERBOTTENS LÄN</t>
        </is>
      </c>
      <c r="G306" t="inlineStr">
        <is>
          <t>ROBERTSFORS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18289-2026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46126</v>
      </c>
      <c r="E307" s="1" t="n">
        <v>46282</v>
      </c>
      <c r="F307" t="inlineStr">
        <is>
          <t>VÄSTERBOTTENS LÄN</t>
        </is>
      </c>
      <c r="G307" t="inlineStr">
        <is>
          <t>ROBERTSFORS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46126</v>
      </c>
      <c r="E308" s="1" t="n">
        <v>46282</v>
      </c>
      <c r="F308" t="inlineStr">
        <is>
          <t>VÄSTERBOTTENS LÄN</t>
        </is>
      </c>
      <c r="G308" t="inlineStr">
        <is>
          <t>ROBERTSFORS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45013</v>
      </c>
      <c r="E309" s="1" t="n">
        <v>46282</v>
      </c>
      <c r="F309" t="inlineStr">
        <is>
          <t>VÄSTERBOTTENS LÄN</t>
        </is>
      </c>
      <c r="G309" t="inlineStr">
        <is>
          <t>ROBERTSFORS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46282</v>
      </c>
      <c r="F310" t="inlineStr">
        <is>
          <t>VÄSTERBOTTENS LÄN</t>
        </is>
      </c>
      <c r="G310" t="inlineStr">
        <is>
          <t>ROBERTSFORS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45042</v>
      </c>
      <c r="E311" s="1" t="n">
        <v>46282</v>
      </c>
      <c r="F311" t="inlineStr">
        <is>
          <t>VÄSTERBOTTENS LÄN</t>
        </is>
      </c>
      <c r="G311" t="inlineStr">
        <is>
          <t>ROBERTSFORS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45679</v>
      </c>
      <c r="E312" s="1" t="n">
        <v>46282</v>
      </c>
      <c r="F312" t="inlineStr">
        <is>
          <t>VÄSTERBOTTENS LÄN</t>
        </is>
      </c>
      <c r="G312" t="inlineStr">
        <is>
          <t>ROBERTSFORS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53271-2021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46282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46282</v>
      </c>
      <c r="F314" t="inlineStr">
        <is>
          <t>VÄSTERBOTTENS LÄN</t>
        </is>
      </c>
      <c r="G314" t="inlineStr">
        <is>
          <t>ROBERTSFORS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46282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46282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34844-2023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45141</v>
      </c>
      <c r="E317" s="1" t="n">
        <v>46282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45664</v>
      </c>
      <c r="E318" s="1" t="n">
        <v>46282</v>
      </c>
      <c r="F318" t="inlineStr">
        <is>
          <t>VÄSTERBOTTENS LÄN</t>
        </is>
      </c>
      <c r="G318" t="inlineStr">
        <is>
          <t>ROBERTSFORS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46282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46282</v>
      </c>
      <c r="F320" t="inlineStr">
        <is>
          <t>VÄSTERBOTTENS LÄN</t>
        </is>
      </c>
      <c r="G320" t="inlineStr">
        <is>
          <t>ROBERTSFORS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46282</v>
      </c>
      <c r="F321" t="inlineStr">
        <is>
          <t>VÄSTERBOTTENS LÄN</t>
        </is>
      </c>
      <c r="G321" t="inlineStr">
        <is>
          <t>ROBERTSFORS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46282</v>
      </c>
      <c r="F322" t="inlineStr">
        <is>
          <t>VÄSTERBOTTENS LÄN</t>
        </is>
      </c>
      <c r="G322" t="inlineStr">
        <is>
          <t>ROBERTSFORS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46135</v>
      </c>
      <c r="E323" s="1" t="n">
        <v>46282</v>
      </c>
      <c r="F323" t="inlineStr">
        <is>
          <t>VÄSTERBOTTENS LÄN</t>
        </is>
      </c>
      <c r="G323" t="inlineStr">
        <is>
          <t>ROBERTSFORS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31059-2024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45502</v>
      </c>
      <c r="E324" s="1" t="n">
        <v>46282</v>
      </c>
      <c r="F324" t="inlineStr">
        <is>
          <t>VÄSTERBOTTENS LÄN</t>
        </is>
      </c>
      <c r="G324" t="inlineStr">
        <is>
          <t>ROBERTSFORS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44936</v>
      </c>
      <c r="E325" s="1" t="n">
        <v>46282</v>
      </c>
      <c r="F325" t="inlineStr">
        <is>
          <t>VÄSTERBOTTENS LÄN</t>
        </is>
      </c>
      <c r="G325" t="inlineStr">
        <is>
          <t>ROBERTSFORS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26038-2022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44734</v>
      </c>
      <c r="E326" s="1" t="n">
        <v>46282</v>
      </c>
      <c r="F326" t="inlineStr">
        <is>
          <t>VÄSTERBOTTENS LÄN</t>
        </is>
      </c>
      <c r="G326" t="inlineStr">
        <is>
          <t>ROBERTSFORS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45145</v>
      </c>
      <c r="E327" s="1" t="n">
        <v>46282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48259-2023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45205</v>
      </c>
      <c r="E328" s="1" t="n">
        <v>46282</v>
      </c>
      <c r="F328" t="inlineStr">
        <is>
          <t>VÄSTERBOTTENS LÄN</t>
        </is>
      </c>
      <c r="G328" t="inlineStr">
        <is>
          <t>ROBERTSFORS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46282</v>
      </c>
      <c r="F329" t="inlineStr">
        <is>
          <t>VÄSTERBOTTENS LÄN</t>
        </is>
      </c>
      <c r="G329" t="inlineStr">
        <is>
          <t>ROBERTSFORS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45020</v>
      </c>
      <c r="E330" s="1" t="n">
        <v>46282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Sveaskog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55469-2021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44475</v>
      </c>
      <c r="E331" s="1" t="n">
        <v>46282</v>
      </c>
      <c r="F331" t="inlineStr">
        <is>
          <t>VÄSTERBOTTENS LÄN</t>
        </is>
      </c>
      <c r="G331" t="inlineStr">
        <is>
          <t>ROBERTSFORS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46282</v>
      </c>
      <c r="F332" t="inlineStr">
        <is>
          <t>VÄSTERBOTTENS LÄN</t>
        </is>
      </c>
      <c r="G332" t="inlineStr">
        <is>
          <t>ROBERTSFORS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46282</v>
      </c>
      <c r="F333" t="inlineStr">
        <is>
          <t>VÄSTERBOTTENS LÄN</t>
        </is>
      </c>
      <c r="G333" t="inlineStr">
        <is>
          <t>ROBERTSFORS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46139</v>
      </c>
      <c r="E334" s="1" t="n">
        <v>46282</v>
      </c>
      <c r="F334" t="inlineStr">
        <is>
          <t>VÄSTERBOTTENS LÄN</t>
        </is>
      </c>
      <c r="G334" t="inlineStr">
        <is>
          <t>ROBERTSFORS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46282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45901</v>
      </c>
      <c r="E336" s="1" t="n">
        <v>46282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45002</v>
      </c>
      <c r="E337" s="1" t="n">
        <v>46282</v>
      </c>
      <c r="F337" t="inlineStr">
        <is>
          <t>VÄSTERBOTTENS LÄN</t>
        </is>
      </c>
      <c r="G337" t="inlineStr">
        <is>
          <t>ROBERTSFORS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45929</v>
      </c>
      <c r="E338" s="1" t="n">
        <v>46282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13026-2025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45734</v>
      </c>
      <c r="E339" s="1" t="n">
        <v>46282</v>
      </c>
      <c r="F339" t="inlineStr">
        <is>
          <t>VÄSTERBOTTENS LÄN</t>
        </is>
      </c>
      <c r="G339" t="inlineStr">
        <is>
          <t>ROBERTSFORS</t>
        </is>
      </c>
      <c r="I339" t="n">
        <v>24.4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46282</v>
      </c>
      <c r="F340" t="inlineStr">
        <is>
          <t>VÄSTERBOTTENS LÄN</t>
        </is>
      </c>
      <c r="G340" t="inlineStr">
        <is>
          <t>ROBERTSFORS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45129</v>
      </c>
      <c r="E341" s="1" t="n">
        <v>46282</v>
      </c>
      <c r="F341" t="inlineStr">
        <is>
          <t>VÄSTERBOTTENS LÄN</t>
        </is>
      </c>
      <c r="G341" t="inlineStr">
        <is>
          <t>ROBERTSFORS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43027-2023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46282</v>
      </c>
      <c r="F342" t="inlineStr">
        <is>
          <t>VÄSTERBOTTENS LÄN</t>
        </is>
      </c>
      <c r="G342" t="inlineStr">
        <is>
          <t>ROBERTSFORS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19925-2026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46282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46282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46282</v>
      </c>
      <c r="F345" t="inlineStr">
        <is>
          <t>VÄSTERBOTTENS LÄN</t>
        </is>
      </c>
      <c r="G345" t="inlineStr">
        <is>
          <t>ROBERTSFORS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46282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46282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45404</v>
      </c>
      <c r="E348" s="1" t="n">
        <v>46282</v>
      </c>
      <c r="F348" t="inlineStr">
        <is>
          <t>VÄSTERBOTTENS LÄN</t>
        </is>
      </c>
      <c r="G348" t="inlineStr">
        <is>
          <t>ROBERTSFORS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52835-2024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46282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45302</v>
      </c>
      <c r="E350" s="1" t="n">
        <v>46282</v>
      </c>
      <c r="F350" t="inlineStr">
        <is>
          <t>VÄSTERBOTTENS LÄN</t>
        </is>
      </c>
      <c r="G350" t="inlineStr">
        <is>
          <t>ROBERTSFORS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45611</v>
      </c>
      <c r="E351" s="1" t="n">
        <v>46282</v>
      </c>
      <c r="F351" t="inlineStr">
        <is>
          <t>VÄSTERBOTTENS LÄN</t>
        </is>
      </c>
      <c r="G351" t="inlineStr">
        <is>
          <t>ROBERTSFORS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45475</v>
      </c>
      <c r="E352" s="1" t="n">
        <v>46282</v>
      </c>
      <c r="F352" t="inlineStr">
        <is>
          <t>VÄSTERBOTTENS LÄN</t>
        </is>
      </c>
      <c r="G352" t="inlineStr">
        <is>
          <t>ROBERTSFORS</t>
        </is>
      </c>
      <c r="I352" t="n">
        <v>10.5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46282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45238</v>
      </c>
      <c r="E354" s="1" t="n">
        <v>46282</v>
      </c>
      <c r="F354" t="inlineStr">
        <is>
          <t>VÄSTERBOTTENS LÄN</t>
        </is>
      </c>
      <c r="G354" t="inlineStr">
        <is>
          <t>ROBERTSFORS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46282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45635</v>
      </c>
      <c r="E356" s="1" t="n">
        <v>46282</v>
      </c>
      <c r="F356" t="inlineStr">
        <is>
          <t>VÄSTERBOTTENS LÄN</t>
        </is>
      </c>
      <c r="G356" t="inlineStr">
        <is>
          <t>ROBERTSFORS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45458</v>
      </c>
      <c r="E357" s="1" t="n">
        <v>46282</v>
      </c>
      <c r="F357" t="inlineStr">
        <is>
          <t>VÄSTERBOTTENS LÄN</t>
        </is>
      </c>
      <c r="G357" t="inlineStr">
        <is>
          <t>ROBERTSFORS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46282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45041</v>
      </c>
      <c r="E359" s="1" t="n">
        <v>46282</v>
      </c>
      <c r="F359" t="inlineStr">
        <is>
          <t>VÄSTERBOTTENS LÄN</t>
        </is>
      </c>
      <c r="G359" t="inlineStr">
        <is>
          <t>ROBERTSFORS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46282</v>
      </c>
      <c r="F360" t="inlineStr">
        <is>
          <t>VÄSTERBOTTENS LÄN</t>
        </is>
      </c>
      <c r="G360" t="inlineStr">
        <is>
          <t>ROBERTSFORS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46282</v>
      </c>
      <c r="F361" t="inlineStr">
        <is>
          <t>VÄSTERBOTTENS LÄN</t>
        </is>
      </c>
      <c r="G361" t="inlineStr">
        <is>
          <t>ROBERTSFORS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45133</v>
      </c>
      <c r="E362" s="1" t="n">
        <v>46282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46282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45756</v>
      </c>
      <c r="E364" s="1" t="n">
        <v>46282</v>
      </c>
      <c r="F364" t="inlineStr">
        <is>
          <t>VÄSTERBOTTENS LÄN</t>
        </is>
      </c>
      <c r="G364" t="inlineStr">
        <is>
          <t>ROBERTSFORS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46282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9.4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46282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46282</v>
      </c>
      <c r="F367" t="inlineStr">
        <is>
          <t>VÄSTERBOTTENS LÄN</t>
        </is>
      </c>
      <c r="G367" t="inlineStr">
        <is>
          <t>ROBERTSFORS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46282</v>
      </c>
      <c r="F368" t="inlineStr">
        <is>
          <t>VÄSTERBOTTENS LÄN</t>
        </is>
      </c>
      <c r="G368" t="inlineStr">
        <is>
          <t>ROBERTSFORS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46282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46282</v>
      </c>
      <c r="F370" t="inlineStr">
        <is>
          <t>VÄSTERBOTTENS LÄN</t>
        </is>
      </c>
      <c r="G370" t="inlineStr">
        <is>
          <t>ROBERTSFORS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45268</v>
      </c>
      <c r="E371" s="1" t="n">
        <v>46282</v>
      </c>
      <c r="F371" t="inlineStr">
        <is>
          <t>VÄSTERBOTTENS LÄN</t>
        </is>
      </c>
      <c r="G371" t="inlineStr">
        <is>
          <t>ROBERTSFORS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45307</v>
      </c>
      <c r="E372" s="1" t="n">
        <v>46282</v>
      </c>
      <c r="F372" t="inlineStr">
        <is>
          <t>VÄSTERBOTTENS LÄN</t>
        </is>
      </c>
      <c r="G372" t="inlineStr">
        <is>
          <t>ROBERTSFORS</t>
        </is>
      </c>
      <c r="I372" t="n">
        <v>12.1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51966-2024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46282</v>
      </c>
      <c r="F373" t="inlineStr">
        <is>
          <t>VÄSTERBOTTENS LÄN</t>
        </is>
      </c>
      <c r="G373" t="inlineStr">
        <is>
          <t>ROBERTSFORS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26894-2024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45470</v>
      </c>
      <c r="E374" s="1" t="n">
        <v>46282</v>
      </c>
      <c r="F374" t="inlineStr">
        <is>
          <t>VÄSTERBOTTENS LÄN</t>
        </is>
      </c>
      <c r="G374" t="inlineStr">
        <is>
          <t>ROBERTSFORS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46282</v>
      </c>
      <c r="F375" t="inlineStr">
        <is>
          <t>VÄSTERBOTTENS LÄN</t>
        </is>
      </c>
      <c r="G375" t="inlineStr">
        <is>
          <t>ROBERTSFORS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45301</v>
      </c>
      <c r="E376" s="1" t="n">
        <v>46282</v>
      </c>
      <c r="F376" t="inlineStr">
        <is>
          <t>VÄSTERBOTTENS LÄN</t>
        </is>
      </c>
      <c r="G376" t="inlineStr">
        <is>
          <t>ROBERTSFORS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45712</v>
      </c>
      <c r="E377" s="1" t="n">
        <v>46282</v>
      </c>
      <c r="F377" t="inlineStr">
        <is>
          <t>VÄSTERBOTTENS LÄN</t>
        </is>
      </c>
      <c r="G377" t="inlineStr">
        <is>
          <t>ROBERTSFORS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46282</v>
      </c>
      <c r="F378" t="inlineStr">
        <is>
          <t>VÄSTERBOTTENS LÄN</t>
        </is>
      </c>
      <c r="G378" t="inlineStr">
        <is>
          <t>ROBERTSFORS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46282</v>
      </c>
      <c r="F379" t="inlineStr">
        <is>
          <t>VÄSTERBOTTENS LÄN</t>
        </is>
      </c>
      <c r="G379" t="inlineStr">
        <is>
          <t>ROBERTSFORS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45160</v>
      </c>
      <c r="E380" s="1" t="n">
        <v>46282</v>
      </c>
      <c r="F380" t="inlineStr">
        <is>
          <t>VÄSTERBOTTENS LÄN</t>
        </is>
      </c>
      <c r="G380" t="inlineStr">
        <is>
          <t>ROBERTSFORS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45502</v>
      </c>
      <c r="E381" s="1" t="n">
        <v>46282</v>
      </c>
      <c r="F381" t="inlineStr">
        <is>
          <t>VÄSTERBOTTENS LÄN</t>
        </is>
      </c>
      <c r="G381" t="inlineStr">
        <is>
          <t>ROBERTSFORS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46160</v>
      </c>
      <c r="E382" s="1" t="n">
        <v>46282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46282</v>
      </c>
      <c r="F383" t="inlineStr">
        <is>
          <t>VÄSTERBOTTENS LÄN</t>
        </is>
      </c>
      <c r="G383" t="inlineStr">
        <is>
          <t>ROBERTSFORS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46282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45176</v>
      </c>
      <c r="E385" s="1" t="n">
        <v>46282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10330-2024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45365</v>
      </c>
      <c r="E386" s="1" t="n">
        <v>46282</v>
      </c>
      <c r="F386" t="inlineStr">
        <is>
          <t>VÄSTERBOTTENS LÄN</t>
        </is>
      </c>
      <c r="G386" t="inlineStr">
        <is>
          <t>ROBERTSFORS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45580</v>
      </c>
      <c r="E387" s="1" t="n">
        <v>46282</v>
      </c>
      <c r="F387" t="inlineStr">
        <is>
          <t>VÄSTERBOTTENS LÄN</t>
        </is>
      </c>
      <c r="G387" t="inlineStr">
        <is>
          <t>ROBERTSFORS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45548</v>
      </c>
      <c r="E388" s="1" t="n">
        <v>46282</v>
      </c>
      <c r="F388" t="inlineStr">
        <is>
          <t>VÄSTERBOTTENS LÄN</t>
        </is>
      </c>
      <c r="G388" t="inlineStr">
        <is>
          <t>ROBERTSFORS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46282</v>
      </c>
      <c r="F389" t="inlineStr">
        <is>
          <t>VÄSTERBOTTENS LÄN</t>
        </is>
      </c>
      <c r="G389" t="inlineStr">
        <is>
          <t>ROBERTSFORS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45667</v>
      </c>
      <c r="E390" s="1" t="n">
        <v>46282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52832-2024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46282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SCA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46282</v>
      </c>
      <c r="F392" t="inlineStr">
        <is>
          <t>VÄSTERBOTTENS LÄN</t>
        </is>
      </c>
      <c r="G392" t="inlineStr">
        <is>
          <t>ROBERTSFORS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45526</v>
      </c>
      <c r="E393" s="1" t="n">
        <v>46282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46282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45432</v>
      </c>
      <c r="E395" s="1" t="n">
        <v>46282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24647-2026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46171</v>
      </c>
      <c r="E396" s="1" t="n">
        <v>46282</v>
      </c>
      <c r="F396" t="inlineStr">
        <is>
          <t>VÄSTERBOTTENS LÄN</t>
        </is>
      </c>
      <c r="G396" t="inlineStr">
        <is>
          <t>ROBERTSFORS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46282</v>
      </c>
      <c r="F397" t="inlineStr">
        <is>
          <t>VÄSTERBOTTENS LÄN</t>
        </is>
      </c>
      <c r="G397" t="inlineStr">
        <is>
          <t>ROBERTSFORS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46282</v>
      </c>
      <c r="F398" t="inlineStr">
        <is>
          <t>VÄSTERBOTTENS LÄN</t>
        </is>
      </c>
      <c r="G398" t="inlineStr">
        <is>
          <t>ROBERTSFORS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60882-2024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45644</v>
      </c>
      <c r="E399" s="1" t="n">
        <v>46282</v>
      </c>
      <c r="F399" t="inlineStr">
        <is>
          <t>VÄSTERBOTTENS LÄN</t>
        </is>
      </c>
      <c r="G399" t="inlineStr">
        <is>
          <t>ROBERTSFORS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13164-2024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45386</v>
      </c>
      <c r="E400" s="1" t="n">
        <v>46282</v>
      </c>
      <c r="F400" t="inlineStr">
        <is>
          <t>VÄSTERBOTTENS LÄN</t>
        </is>
      </c>
      <c r="G400" t="inlineStr">
        <is>
          <t>ROBERTSFORS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45601</v>
      </c>
      <c r="E401" s="1" t="n">
        <v>46282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46282</v>
      </c>
      <c r="F402" t="inlineStr">
        <is>
          <t>VÄSTERBOTTENS LÄN</t>
        </is>
      </c>
      <c r="G402" t="inlineStr">
        <is>
          <t>ROBERTSFORS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53984-2022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46282</v>
      </c>
      <c r="F403" t="inlineStr">
        <is>
          <t>VÄSTERBOTTENS LÄN</t>
        </is>
      </c>
      <c r="G403" t="inlineStr">
        <is>
          <t>ROBERTSFORS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46282</v>
      </c>
      <c r="F404" t="inlineStr">
        <is>
          <t>VÄSTERBOTTENS LÄN</t>
        </is>
      </c>
      <c r="G404" t="inlineStr">
        <is>
          <t>ROBERTSFORS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25847-2026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46282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45463</v>
      </c>
      <c r="E406" s="1" t="n">
        <v>46282</v>
      </c>
      <c r="F406" t="inlineStr">
        <is>
          <t>VÄSTERBOTTENS LÄN</t>
        </is>
      </c>
      <c r="G406" t="inlineStr">
        <is>
          <t>ROBERTSFORS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16872-2026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46282</v>
      </c>
      <c r="F407" t="inlineStr">
        <is>
          <t>VÄSTERBOTTENS LÄN</t>
        </is>
      </c>
      <c r="G407" t="inlineStr">
        <is>
          <t>ROBERTSFORS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45454</v>
      </c>
      <c r="E408" s="1" t="n">
        <v>46282</v>
      </c>
      <c r="F408" t="inlineStr">
        <is>
          <t>VÄSTERBOTTENS LÄN</t>
        </is>
      </c>
      <c r="G408" t="inlineStr">
        <is>
          <t>ROBERTSFORS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45029</v>
      </c>
      <c r="E409" s="1" t="n">
        <v>46282</v>
      </c>
      <c r="F409" t="inlineStr">
        <is>
          <t>VÄSTERBOTTENS LÄN</t>
        </is>
      </c>
      <c r="G409" t="inlineStr">
        <is>
          <t>ROBERTSFORS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46282</v>
      </c>
      <c r="F410" t="inlineStr">
        <is>
          <t>VÄSTERBOTTENS LÄN</t>
        </is>
      </c>
      <c r="G410" t="inlineStr">
        <is>
          <t>ROBERTSFORS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46282</v>
      </c>
      <c r="F411" t="inlineStr">
        <is>
          <t>VÄSTERBOTTENS LÄN</t>
        </is>
      </c>
      <c r="G411" t="inlineStr">
        <is>
          <t>ROBERTSFORS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42494-2024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45565</v>
      </c>
      <c r="E412" s="1" t="n">
        <v>46282</v>
      </c>
      <c r="F412" t="inlineStr">
        <is>
          <t>VÄSTERBOTTENS LÄN</t>
        </is>
      </c>
      <c r="G412" t="inlineStr">
        <is>
          <t>ROBERTSFORS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56703-2024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45627</v>
      </c>
      <c r="E413" s="1" t="n">
        <v>46282</v>
      </c>
      <c r="F413" t="inlineStr">
        <is>
          <t>VÄSTERBOTTENS LÄN</t>
        </is>
      </c>
      <c r="G413" t="inlineStr">
        <is>
          <t>ROBERTSFORS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45215</v>
      </c>
      <c r="E414" s="1" t="n">
        <v>46282</v>
      </c>
      <c r="F414" t="inlineStr">
        <is>
          <t>VÄSTERBOTTENS LÄN</t>
        </is>
      </c>
      <c r="G414" t="inlineStr">
        <is>
          <t>ROBERTSFORS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46282</v>
      </c>
      <c r="F415" t="inlineStr">
        <is>
          <t>VÄSTERBOTTENS LÄN</t>
        </is>
      </c>
      <c r="G415" t="inlineStr">
        <is>
          <t>ROBERTSFORS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45049</v>
      </c>
      <c r="E416" s="1" t="n">
        <v>46282</v>
      </c>
      <c r="F416" t="inlineStr">
        <is>
          <t>VÄSTERBOTTENS LÄN</t>
        </is>
      </c>
      <c r="G416" t="inlineStr">
        <is>
          <t>ROBERTSFORS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58426-2022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44901</v>
      </c>
      <c r="E417" s="1" t="n">
        <v>46282</v>
      </c>
      <c r="F417" t="inlineStr">
        <is>
          <t>VÄSTERBOTTENS LÄN</t>
        </is>
      </c>
      <c r="G417" t="inlineStr">
        <is>
          <t>ROBERTSFORS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46282</v>
      </c>
      <c r="F418" t="inlineStr">
        <is>
          <t>VÄSTERBOTTENS LÄN</t>
        </is>
      </c>
      <c r="G418" t="inlineStr">
        <is>
          <t>ROBERTSFORS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45140</v>
      </c>
      <c r="E419" s="1" t="n">
        <v>46282</v>
      </c>
      <c r="F419" t="inlineStr">
        <is>
          <t>VÄSTERBOTTENS LÄN</t>
        </is>
      </c>
      <c r="G419" t="inlineStr">
        <is>
          <t>ROBERTSFORS</t>
        </is>
      </c>
      <c r="I419" t="n">
        <v>15.3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46185</v>
      </c>
      <c r="E420" s="1" t="n">
        <v>46282</v>
      </c>
      <c r="F420" t="inlineStr">
        <is>
          <t>VÄSTERBOTTENS LÄN</t>
        </is>
      </c>
      <c r="G420" t="inlineStr">
        <is>
          <t>ROBERTSFORS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50046-2024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45600</v>
      </c>
      <c r="E421" s="1" t="n">
        <v>46282</v>
      </c>
      <c r="F421" t="inlineStr">
        <is>
          <t>VÄSTERBOTTENS LÄN</t>
        </is>
      </c>
      <c r="G421" t="inlineStr">
        <is>
          <t>ROBERTSFORS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46282</v>
      </c>
      <c r="F422" t="inlineStr">
        <is>
          <t>VÄSTERBOTTENS LÄN</t>
        </is>
      </c>
      <c r="G422" t="inlineStr">
        <is>
          <t>ROBERTSFORS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46282</v>
      </c>
      <c r="F423" t="inlineStr">
        <is>
          <t>VÄSTERBOTTENS LÄN</t>
        </is>
      </c>
      <c r="G423" t="inlineStr">
        <is>
          <t>ROBERTSFORS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46282</v>
      </c>
      <c r="F424" t="inlineStr">
        <is>
          <t>VÄSTERBOTTENS LÄN</t>
        </is>
      </c>
      <c r="G424" t="inlineStr">
        <is>
          <t>ROBERTSFORS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46282</v>
      </c>
      <c r="F425" t="inlineStr">
        <is>
          <t>VÄSTERBOTTENS LÄN</t>
        </is>
      </c>
      <c r="G425" t="inlineStr">
        <is>
          <t>ROBERTSFORS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46282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46282</v>
      </c>
      <c r="F427" t="inlineStr">
        <is>
          <t>VÄSTERBOTTENS LÄN</t>
        </is>
      </c>
      <c r="G427" t="inlineStr">
        <is>
          <t>ROBERTSFORS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58240-2023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46282</v>
      </c>
      <c r="F428" t="inlineStr">
        <is>
          <t>VÄSTERBOTTENS LÄN</t>
        </is>
      </c>
      <c r="G428" t="inlineStr">
        <is>
          <t>ROBERTSFORS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52833-2024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45610</v>
      </c>
      <c r="E429" s="1" t="n">
        <v>46282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SCA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46663-2024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46282</v>
      </c>
      <c r="F430" t="inlineStr">
        <is>
          <t>VÄSTERBOTTENS LÄN</t>
        </is>
      </c>
      <c r="G430" t="inlineStr">
        <is>
          <t>ROBERTSFORS</t>
        </is>
      </c>
      <c r="I430" t="n">
        <v>9.6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44571</v>
      </c>
      <c r="E431" s="1" t="n">
        <v>46282</v>
      </c>
      <c r="F431" t="inlineStr">
        <is>
          <t>VÄSTERBOTTENS LÄN</t>
        </is>
      </c>
      <c r="G431" t="inlineStr">
        <is>
          <t>ROBERTSFORS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58790-2022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44895</v>
      </c>
      <c r="E432" s="1" t="n">
        <v>46282</v>
      </c>
      <c r="F432" t="inlineStr">
        <is>
          <t>VÄSTERBOTTENS LÄN</t>
        </is>
      </c>
      <c r="G432" t="inlineStr">
        <is>
          <t>ROBERTSFORS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46282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54968-2024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45620</v>
      </c>
      <c r="E434" s="1" t="n">
        <v>46282</v>
      </c>
      <c r="F434" t="inlineStr">
        <is>
          <t>VÄSTERBOTTENS LÄN</t>
        </is>
      </c>
      <c r="G434" t="inlineStr">
        <is>
          <t>ROBERTSFORS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26368-2024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45468</v>
      </c>
      <c r="E435" s="1" t="n">
        <v>46282</v>
      </c>
      <c r="F435" t="inlineStr">
        <is>
          <t>VÄSTERBOTTENS LÄN</t>
        </is>
      </c>
      <c r="G435" t="inlineStr">
        <is>
          <t>ROBERTSFORS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38120-2024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45545</v>
      </c>
      <c r="E436" s="1" t="n">
        <v>46282</v>
      </c>
      <c r="F436" t="inlineStr">
        <is>
          <t>VÄSTERBOTTENS LÄN</t>
        </is>
      </c>
      <c r="G436" t="inlineStr">
        <is>
          <t>ROBERTSFORS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46282</v>
      </c>
      <c r="F437" t="inlineStr">
        <is>
          <t>VÄSTERBOTTENS LÄN</t>
        </is>
      </c>
      <c r="G437" t="inlineStr">
        <is>
          <t>ROBERTSFORS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46196</v>
      </c>
      <c r="E438" s="1" t="n">
        <v>46282</v>
      </c>
      <c r="F438" t="inlineStr">
        <is>
          <t>VÄSTERBOTTENS LÄN</t>
        </is>
      </c>
      <c r="G438" t="inlineStr">
        <is>
          <t>ROBERTSFORS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32638-2026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46240</v>
      </c>
      <c r="E439" s="1" t="n">
        <v>46282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46240</v>
      </c>
      <c r="E440" s="1" t="n">
        <v>46282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46282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45708</v>
      </c>
      <c r="E442" s="1" t="n">
        <v>46282</v>
      </c>
      <c r="F442" t="inlineStr">
        <is>
          <t>VÄSTERBOTTENS LÄN</t>
        </is>
      </c>
      <c r="G442" t="inlineStr">
        <is>
          <t>ROBERTSFORS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46282</v>
      </c>
      <c r="F443" t="inlineStr">
        <is>
          <t>VÄSTERBOTTENS LÄN</t>
        </is>
      </c>
      <c r="G443" t="inlineStr">
        <is>
          <t>ROBERTSFORS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46240</v>
      </c>
      <c r="E444" s="1" t="n">
        <v>46282</v>
      </c>
      <c r="F444" t="inlineStr">
        <is>
          <t>VÄSTERBOTTENS LÄN</t>
        </is>
      </c>
      <c r="G444" t="inlineStr">
        <is>
          <t>ROBERTSFORS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46240</v>
      </c>
      <c r="E445" s="1" t="n">
        <v>46282</v>
      </c>
      <c r="F445" t="inlineStr">
        <is>
          <t>VÄSTERBOTTENS LÄN</t>
        </is>
      </c>
      <c r="G445" t="inlineStr">
        <is>
          <t>ROBERTSFORS</t>
        </is>
      </c>
      <c r="I445" t="n">
        <v>11.3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46240</v>
      </c>
      <c r="E446" s="1" t="n">
        <v>46282</v>
      </c>
      <c r="F446" t="inlineStr">
        <is>
          <t>VÄSTERBOTTENS LÄN</t>
        </is>
      </c>
      <c r="G446" t="inlineStr">
        <is>
          <t>ROBERTSFORS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46240</v>
      </c>
      <c r="E447" s="1" t="n">
        <v>46282</v>
      </c>
      <c r="F447" t="inlineStr">
        <is>
          <t>VÄSTERBOTTENS LÄN</t>
        </is>
      </c>
      <c r="G447" t="inlineStr">
        <is>
          <t>ROBERTSFORS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32681-2026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46240</v>
      </c>
      <c r="E448" s="1" t="n">
        <v>46282</v>
      </c>
      <c r="F448" t="inlineStr">
        <is>
          <t>VÄSTERBOTTENS LÄN</t>
        </is>
      </c>
      <c r="G448" t="inlineStr">
        <is>
          <t>ROBERTSFORS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45496</v>
      </c>
      <c r="E449" s="1" t="n">
        <v>46282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10173-2022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44622</v>
      </c>
      <c r="E450" s="1" t="n">
        <v>46282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25572-2023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45082</v>
      </c>
      <c r="E451" s="1" t="n">
        <v>46282</v>
      </c>
      <c r="F451" t="inlineStr">
        <is>
          <t>VÄSTERBOTTENS LÄN</t>
        </is>
      </c>
      <c r="G451" t="inlineStr">
        <is>
          <t>ROBERTSFORS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46282</v>
      </c>
      <c r="F452" t="inlineStr">
        <is>
          <t>VÄSTERBOTTENS LÄN</t>
        </is>
      </c>
      <c r="G452" t="inlineStr">
        <is>
          <t>ROBERTSFORS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60604-2024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45644</v>
      </c>
      <c r="E453" s="1" t="n">
        <v>46282</v>
      </c>
      <c r="F453" t="inlineStr">
        <is>
          <t>VÄSTERBOTTENS LÄN</t>
        </is>
      </c>
      <c r="G453" t="inlineStr">
        <is>
          <t>ROBERTSFORS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46282</v>
      </c>
      <c r="F454" t="inlineStr">
        <is>
          <t>VÄSTERBOTTENS LÄN</t>
        </is>
      </c>
      <c r="G454" t="inlineStr">
        <is>
          <t>ROBERTSFORS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29600-2026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46204</v>
      </c>
      <c r="E455" s="1" t="n">
        <v>46282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SCA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46282</v>
      </c>
      <c r="F456" t="inlineStr">
        <is>
          <t>VÄSTERBOTTENS LÄN</t>
        </is>
      </c>
      <c r="G456" t="inlineStr">
        <is>
          <t>ROBERTSFORS</t>
        </is>
      </c>
      <c r="I456" t="n">
        <v>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10334-2023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44980</v>
      </c>
      <c r="E457" s="1" t="n">
        <v>46282</v>
      </c>
      <c r="F457" t="inlineStr">
        <is>
          <t>VÄSTERBOTTENS LÄN</t>
        </is>
      </c>
      <c r="G457" t="inlineStr">
        <is>
          <t>ROBERTSFORS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46282</v>
      </c>
      <c r="F458" t="inlineStr">
        <is>
          <t>VÄSTERBOTTENS LÄN</t>
        </is>
      </c>
      <c r="G458" t="inlineStr">
        <is>
          <t>ROBERTSFORS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8256-2025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45708</v>
      </c>
      <c r="E459" s="1" t="n">
        <v>46282</v>
      </c>
      <c r="F459" t="inlineStr">
        <is>
          <t>VÄSTERBOTTENS LÄN</t>
        </is>
      </c>
      <c r="G459" t="inlineStr">
        <is>
          <t>ROBERTSFORS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46206</v>
      </c>
      <c r="E460" s="1" t="n">
        <v>46282</v>
      </c>
      <c r="F460" t="inlineStr">
        <is>
          <t>VÄSTERBOTTENS LÄN</t>
        </is>
      </c>
      <c r="G460" t="inlineStr">
        <is>
          <t>ROBERTSFORS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29958-2026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46282</v>
      </c>
      <c r="F461" t="inlineStr">
        <is>
          <t>VÄSTERBOTTENS LÄN</t>
        </is>
      </c>
      <c r="G461" t="inlineStr">
        <is>
          <t>ROBERTSFORS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46282</v>
      </c>
      <c r="F462" t="inlineStr">
        <is>
          <t>VÄSTERBOTTENS LÄN</t>
        </is>
      </c>
      <c r="G462" t="inlineStr">
        <is>
          <t>ROBERTSFORS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43547-2023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45184</v>
      </c>
      <c r="E463" s="1" t="n">
        <v>46282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44952</v>
      </c>
      <c r="E464" s="1" t="n">
        <v>46282</v>
      </c>
      <c r="F464" t="inlineStr">
        <is>
          <t>VÄSTERBOTTENS LÄN</t>
        </is>
      </c>
      <c r="G464" t="inlineStr">
        <is>
          <t>ROBERTSFORS</t>
        </is>
      </c>
      <c r="I464" t="n">
        <v>16.1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51873-2024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45607</v>
      </c>
      <c r="E465" s="1" t="n">
        <v>46282</v>
      </c>
      <c r="F465" t="inlineStr">
        <is>
          <t>VÄSTERBOTTENS LÄN</t>
        </is>
      </c>
      <c r="G465" t="inlineStr">
        <is>
          <t>ROBERTSFORS</t>
        </is>
      </c>
      <c r="I465" t="n">
        <v>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45659</v>
      </c>
      <c r="E466" s="1" t="n">
        <v>46282</v>
      </c>
      <c r="F466" t="inlineStr">
        <is>
          <t>VÄSTERBOTTENS LÄN</t>
        </is>
      </c>
      <c r="G466" t="inlineStr">
        <is>
          <t>ROBERTSFORS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34403-2026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46282</v>
      </c>
      <c r="F467" t="inlineStr">
        <is>
          <t>VÄSTERBOTTENS LÄN</t>
        </is>
      </c>
      <c r="G467" t="inlineStr">
        <is>
          <t>ROBERTSFORS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44980</v>
      </c>
      <c r="E468" s="1" t="n">
        <v>46282</v>
      </c>
      <c r="F468" t="inlineStr">
        <is>
          <t>VÄSTERBOTTENS LÄN</t>
        </is>
      </c>
      <c r="G468" t="inlineStr">
        <is>
          <t>ROBERTSFORS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43095-2023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46282</v>
      </c>
      <c r="F469" t="inlineStr">
        <is>
          <t>VÄSTERBOTTENS LÄN</t>
        </is>
      </c>
      <c r="G469" t="inlineStr">
        <is>
          <t>ROBERTSFORS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58030-2024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45631</v>
      </c>
      <c r="E470" s="1" t="n">
        <v>46282</v>
      </c>
      <c r="F470" t="inlineStr">
        <is>
          <t>VÄSTERBOTTENS LÄN</t>
        </is>
      </c>
      <c r="G470" t="inlineStr">
        <is>
          <t>ROBERTSFORS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46255</v>
      </c>
      <c r="E471" s="1" t="n">
        <v>46282</v>
      </c>
      <c r="F471" t="inlineStr">
        <is>
          <t>VÄSTERBOTTENS LÄN</t>
        </is>
      </c>
      <c r="G471" t="inlineStr">
        <is>
          <t>ROBERTSFORS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46255</v>
      </c>
      <c r="E472" s="1" t="n">
        <v>46282</v>
      </c>
      <c r="F472" t="inlineStr">
        <is>
          <t>VÄSTERBOTTENS LÄN</t>
        </is>
      </c>
      <c r="G472" t="inlineStr">
        <is>
          <t>ROBERTSFORS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46282</v>
      </c>
      <c r="F473" t="inlineStr">
        <is>
          <t>VÄSTERBOTTENS LÄN</t>
        </is>
      </c>
      <c r="G473" t="inlineStr">
        <is>
          <t>ROBERTSFORS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34029-2023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45135</v>
      </c>
      <c r="E474" s="1" t="n">
        <v>46282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34700-2026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46258</v>
      </c>
      <c r="E475" s="1" t="n">
        <v>46282</v>
      </c>
      <c r="F475" t="inlineStr">
        <is>
          <t>VÄSTERBOTTENS LÄN</t>
        </is>
      </c>
      <c r="G475" t="inlineStr">
        <is>
          <t>ROBERTSFORS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46282</v>
      </c>
      <c r="F476" t="inlineStr">
        <is>
          <t>VÄSTERBOTTENS LÄN</t>
        </is>
      </c>
      <c r="G476" t="inlineStr">
        <is>
          <t>ROBERTSFORS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46261</v>
      </c>
      <c r="E477" s="1" t="n">
        <v>46282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46261</v>
      </c>
      <c r="E478" s="1" t="n">
        <v>46282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45636</v>
      </c>
      <c r="E479" s="1" t="n">
        <v>46282</v>
      </c>
      <c r="F479" t="inlineStr">
        <is>
          <t>VÄSTERBOTTENS LÄN</t>
        </is>
      </c>
      <c r="G479" t="inlineStr">
        <is>
          <t>ROBERTSFORS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45040</v>
      </c>
      <c r="E480" s="1" t="n">
        <v>46282</v>
      </c>
      <c r="F480" t="inlineStr">
        <is>
          <t>VÄSTERBOTTENS LÄN</t>
        </is>
      </c>
      <c r="G480" t="inlineStr">
        <is>
          <t>ROBERTSFORS</t>
        </is>
      </c>
      <c r="I480" t="n">
        <v>11.5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28142-2026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46282</v>
      </c>
      <c r="F481" t="inlineStr">
        <is>
          <t>VÄSTERBOTTENS LÄN</t>
        </is>
      </c>
      <c r="G481" t="inlineStr">
        <is>
          <t>ROBERTSFORS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17848-2022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44683</v>
      </c>
      <c r="E482" s="1" t="n">
        <v>46282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46262</v>
      </c>
      <c r="E483" s="1" t="n">
        <v>46282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45530</v>
      </c>
      <c r="E484" s="1" t="n">
        <v>46282</v>
      </c>
      <c r="F484" t="inlineStr">
        <is>
          <t>VÄSTERBOTTENS LÄN</t>
        </is>
      </c>
      <c r="G484" t="inlineStr">
        <is>
          <t>ROBERTSFORS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44960</v>
      </c>
      <c r="E485" s="1" t="n">
        <v>46282</v>
      </c>
      <c r="F485" t="inlineStr">
        <is>
          <t>VÄSTERBOTTENS LÄN</t>
        </is>
      </c>
      <c r="G485" t="inlineStr">
        <is>
          <t>ROBERTSFORS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46282</v>
      </c>
      <c r="F486" t="inlineStr">
        <is>
          <t>VÄSTERBOTTENS LÄN</t>
        </is>
      </c>
      <c r="G486" t="inlineStr">
        <is>
          <t>ROBERTSFORS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35896-2026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46266</v>
      </c>
      <c r="E487" s="1" t="n">
        <v>46282</v>
      </c>
      <c r="F487" t="inlineStr">
        <is>
          <t>VÄSTERBOTTENS LÄN</t>
        </is>
      </c>
      <c r="G487" t="inlineStr">
        <is>
          <t>ROBERTSFORS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46282</v>
      </c>
      <c r="F488" t="inlineStr">
        <is>
          <t>VÄSTERBOTTENS LÄN</t>
        </is>
      </c>
      <c r="G488" t="inlineStr">
        <is>
          <t>ROBERTSFORS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46225</v>
      </c>
      <c r="E489" s="1" t="n">
        <v>46282</v>
      </c>
      <c r="F489" t="inlineStr">
        <is>
          <t>VÄSTERBOTTENS LÄN</t>
        </is>
      </c>
      <c r="G489" t="inlineStr">
        <is>
          <t>ROBERTSFORS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46225</v>
      </c>
      <c r="E490" s="1" t="n">
        <v>46282</v>
      </c>
      <c r="F490" t="inlineStr">
        <is>
          <t>VÄSTERBOTTENS LÄN</t>
        </is>
      </c>
      <c r="G490" t="inlineStr">
        <is>
          <t>ROBERTSFORS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46266</v>
      </c>
      <c r="E491" s="1" t="n">
        <v>46282</v>
      </c>
      <c r="F491" t="inlineStr">
        <is>
          <t>VÄSTERBOTTENS LÄN</t>
        </is>
      </c>
      <c r="G491" t="inlineStr">
        <is>
          <t>ROBERTSFORS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45659</v>
      </c>
      <c r="E492" s="1" t="n">
        <v>46282</v>
      </c>
      <c r="F492" t="inlineStr">
        <is>
          <t>VÄSTERBOTTENS LÄN</t>
        </is>
      </c>
      <c r="G492" t="inlineStr">
        <is>
          <t>ROBERTSFORS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46282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34434-2024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45525</v>
      </c>
      <c r="E494" s="1" t="n">
        <v>46282</v>
      </c>
      <c r="F494" t="inlineStr">
        <is>
          <t>VÄSTERBOTTENS LÄN</t>
        </is>
      </c>
      <c r="G494" t="inlineStr">
        <is>
          <t>ROBERTSFORS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45692</v>
      </c>
      <c r="E495" s="1" t="n">
        <v>46282</v>
      </c>
      <c r="F495" t="inlineStr">
        <is>
          <t>VÄSTERBOTTENS LÄN</t>
        </is>
      </c>
      <c r="G495" t="inlineStr">
        <is>
          <t>ROBERTSFORS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46268</v>
      </c>
      <c r="E496" s="1" t="n">
        <v>46282</v>
      </c>
      <c r="F496" t="inlineStr">
        <is>
          <t>VÄSTERBOTTENS LÄN</t>
        </is>
      </c>
      <c r="G496" t="inlineStr">
        <is>
          <t>ROBERTSFORS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36523-2026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46269</v>
      </c>
      <c r="E497" s="1" t="n">
        <v>46282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45671</v>
      </c>
      <c r="E498" s="1" t="n">
        <v>46282</v>
      </c>
      <c r="F498" t="inlineStr">
        <is>
          <t>VÄSTERBOTTENS LÄN</t>
        </is>
      </c>
      <c r="G498" t="inlineStr">
        <is>
          <t>ROBERTSFORS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73557-2021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44551</v>
      </c>
      <c r="E499" s="1" t="n">
        <v>46282</v>
      </c>
      <c r="F499" t="inlineStr">
        <is>
          <t>VÄSTERBOTTENS LÄN</t>
        </is>
      </c>
      <c r="G499" t="inlineStr">
        <is>
          <t>ROBERTSFORS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25575-2022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44732</v>
      </c>
      <c r="E500" s="1" t="n">
        <v>46282</v>
      </c>
      <c r="F500" t="inlineStr">
        <is>
          <t>VÄSTERBOTTENS LÄN</t>
        </is>
      </c>
      <c r="G500" t="inlineStr">
        <is>
          <t>ROBERTSFORS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36500-2026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46269</v>
      </c>
      <c r="E501" s="1" t="n">
        <v>46282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38092-2022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44811</v>
      </c>
      <c r="E502" s="1" t="n">
        <v>46282</v>
      </c>
      <c r="F502" t="inlineStr">
        <is>
          <t>VÄSTERBOTTENS LÄN</t>
        </is>
      </c>
      <c r="G502" t="inlineStr">
        <is>
          <t>ROBERTSFORS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20519-2022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44699</v>
      </c>
      <c r="E503" s="1" t="n">
        <v>46282</v>
      </c>
      <c r="F503" t="inlineStr">
        <is>
          <t>VÄSTERBOTTENS LÄN</t>
        </is>
      </c>
      <c r="G503" t="inlineStr">
        <is>
          <t>ROBERTSFORS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46282</v>
      </c>
      <c r="F504" t="inlineStr">
        <is>
          <t>VÄSTERBOTTENS LÄN</t>
        </is>
      </c>
      <c r="G504" t="inlineStr">
        <is>
          <t>ROBERTSFORS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59833-2022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44901</v>
      </c>
      <c r="E505" s="1" t="n">
        <v>46282</v>
      </c>
      <c r="F505" t="inlineStr">
        <is>
          <t>VÄSTERBOTTENS LÄN</t>
        </is>
      </c>
      <c r="G505" t="inlineStr">
        <is>
          <t>ROBERTSFORS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46268</v>
      </c>
      <c r="E506" s="1" t="n">
        <v>46282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Sveaskog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46230</v>
      </c>
      <c r="E507" s="1" t="n">
        <v>46282</v>
      </c>
      <c r="F507" t="inlineStr">
        <is>
          <t>VÄSTERBOTTENS LÄN</t>
        </is>
      </c>
      <c r="G507" t="inlineStr">
        <is>
          <t>ROBERTSFORS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45005</v>
      </c>
      <c r="E508" s="1" t="n">
        <v>46282</v>
      </c>
      <c r="F508" t="inlineStr">
        <is>
          <t>VÄSTERBOTTENS LÄN</t>
        </is>
      </c>
      <c r="G508" t="inlineStr">
        <is>
          <t>ROBERTSFORS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36473-2026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46269</v>
      </c>
      <c r="E509" s="1" t="n">
        <v>46282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Sveaskog</t>
        </is>
      </c>
      <c r="I509" t="n">
        <v>13.5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36532-2026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46282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Sveaskog</t>
        </is>
      </c>
      <c r="I510" t="n">
        <v>12.7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46273</v>
      </c>
      <c r="E511" s="1" t="n">
        <v>46282</v>
      </c>
      <c r="F511" t="inlineStr">
        <is>
          <t>VÄSTERBOTTENS LÄN</t>
        </is>
      </c>
      <c r="G511" t="inlineStr">
        <is>
          <t>ROBERTSFORS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45148</v>
      </c>
      <c r="E512" s="1" t="n">
        <v>46282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1573-2025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45670</v>
      </c>
      <c r="E513" s="1" t="n">
        <v>46282</v>
      </c>
      <c r="F513" t="inlineStr">
        <is>
          <t>VÄSTERBOTTENS LÄN</t>
        </is>
      </c>
      <c r="G513" t="inlineStr">
        <is>
          <t>ROBERTSFORS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45687</v>
      </c>
      <c r="E514" s="1" t="n">
        <v>46282</v>
      </c>
      <c r="F514" t="inlineStr">
        <is>
          <t>VÄSTERBOTTENS LÄN</t>
        </is>
      </c>
      <c r="G514" t="inlineStr">
        <is>
          <t>ROBERTSFORS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46279</v>
      </c>
      <c r="E515" s="1" t="n">
        <v>46282</v>
      </c>
      <c r="F515" t="inlineStr">
        <is>
          <t>VÄSTERBOTTENS LÄN</t>
        </is>
      </c>
      <c r="G515" t="inlineStr">
        <is>
          <t>ROBERTSFORS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37819-2026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46279</v>
      </c>
      <c r="E516" s="1" t="n">
        <v>46282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46276</v>
      </c>
      <c r="E517" s="1" t="n">
        <v>46282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7076-2025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45701</v>
      </c>
      <c r="E518" s="1" t="n">
        <v>46282</v>
      </c>
      <c r="F518" t="inlineStr">
        <is>
          <t>VÄSTERBOTTENS LÄN</t>
        </is>
      </c>
      <c r="G518" t="inlineStr">
        <is>
          <t>ROBERTSFORS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46279</v>
      </c>
      <c r="E519" s="1" t="n">
        <v>46282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37844-2026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46279</v>
      </c>
      <c r="E520" s="1" t="n">
        <v>46282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37609-2026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46276</v>
      </c>
      <c r="E521" s="1" t="n">
        <v>46282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46282</v>
      </c>
      <c r="F522" t="inlineStr">
        <is>
          <t>VÄSTERBOTTENS LÄN</t>
        </is>
      </c>
      <c r="G522" t="inlineStr">
        <is>
          <t>ROBERTSFORS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46282</v>
      </c>
      <c r="F523" t="inlineStr">
        <is>
          <t>VÄSTERBOTTENS LÄN</t>
        </is>
      </c>
      <c r="G523" t="inlineStr">
        <is>
          <t>ROBERTSFORS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45246</v>
      </c>
      <c r="E524" s="1" t="n">
        <v>46282</v>
      </c>
      <c r="F524" t="inlineStr">
        <is>
          <t>VÄSTERBOTTENS LÄN</t>
        </is>
      </c>
      <c r="G524" t="inlineStr">
        <is>
          <t>ROBERTSFORS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46280</v>
      </c>
      <c r="E525" s="1" t="n">
        <v>46282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45160</v>
      </c>
      <c r="E526" s="1" t="n">
        <v>46282</v>
      </c>
      <c r="F526" t="inlineStr">
        <is>
          <t>VÄSTERBOTTENS LÄN</t>
        </is>
      </c>
      <c r="G526" t="inlineStr">
        <is>
          <t>ROBERTSFORS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60570-2024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45644</v>
      </c>
      <c r="E527" s="1" t="n">
        <v>46282</v>
      </c>
      <c r="F527" t="inlineStr">
        <is>
          <t>VÄSTERBOTTENS LÄN</t>
        </is>
      </c>
      <c r="G527" t="inlineStr">
        <is>
          <t>ROBERTSFORS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57008-2024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45628</v>
      </c>
      <c r="E528" s="1" t="n">
        <v>46282</v>
      </c>
      <c r="F528" t="inlineStr">
        <is>
          <t>VÄSTERBOTTENS LÄN</t>
        </is>
      </c>
      <c r="G528" t="inlineStr">
        <is>
          <t>ROBERTSFORS</t>
        </is>
      </c>
      <c r="I528" t="n">
        <v>12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32447-2026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46239</v>
      </c>
      <c r="E529" s="1" t="n">
        <v>46282</v>
      </c>
      <c r="F529" t="inlineStr">
        <is>
          <t>VÄSTERBOTTENS LÄN</t>
        </is>
      </c>
      <c r="G529" t="inlineStr">
        <is>
          <t>ROBERTSFORS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32513-2026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46239</v>
      </c>
      <c r="E530" s="1" t="n">
        <v>46282</v>
      </c>
      <c r="F530" t="inlineStr">
        <is>
          <t>VÄSTERBOTTENS LÄN</t>
        </is>
      </c>
      <c r="G530" t="inlineStr">
        <is>
          <t>ROBERTSFORS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32512-2026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46239</v>
      </c>
      <c r="E531" s="1" t="n">
        <v>46282</v>
      </c>
      <c r="F531" t="inlineStr">
        <is>
          <t>VÄSTERBOTTENS LÄN</t>
        </is>
      </c>
      <c r="G531" t="inlineStr">
        <is>
          <t>ROBERTSFORS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46280</v>
      </c>
      <c r="E532" s="1" t="n">
        <v>46282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46282</v>
      </c>
      <c r="F533" t="inlineStr">
        <is>
          <t>VÄSTERBOTTENS LÄN</t>
        </is>
      </c>
      <c r="G533" t="inlineStr">
        <is>
          <t>ROBERTSFORS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45495</v>
      </c>
      <c r="E534" s="1" t="n">
        <v>46282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Holmen skog AB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60225-2024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45642</v>
      </c>
      <c r="E535" s="1" t="n">
        <v>46282</v>
      </c>
      <c r="F535" t="inlineStr">
        <is>
          <t>VÄSTERBOTTENS LÄN</t>
        </is>
      </c>
      <c r="G535" t="inlineStr">
        <is>
          <t>ROBERTSFORS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44372-2023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45188</v>
      </c>
      <c r="E536" s="1" t="n">
        <v>46282</v>
      </c>
      <c r="F536" t="inlineStr">
        <is>
          <t>VÄSTERBOTTENS LÄN</t>
        </is>
      </c>
      <c r="G536" t="inlineStr">
        <is>
          <t>ROBERTSFORS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23961-2025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45794</v>
      </c>
      <c r="E537" s="1" t="n">
        <v>46282</v>
      </c>
      <c r="F537" t="inlineStr">
        <is>
          <t>VÄSTERBOTTENS LÄN</t>
        </is>
      </c>
      <c r="G537" t="inlineStr">
        <is>
          <t>ROBERTSFORS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46282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46282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46282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46282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46282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46282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46282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46282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2026-09-17T01:59:56Z</dcterms:created>
  <dcterms:modified xmlns:dcterms="http://purl.org/dc/terms/" xmlns:xsi="http://www.w3.org/2001/XMLSchema-instance" xsi:type="dcterms:W3CDTF">2026-09-17T01:59:57Z</dcterms:modified>
</cp:coreProperties>
</file>