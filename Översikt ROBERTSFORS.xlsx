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46286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46286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46286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46286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46286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46286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46286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46286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46286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46286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46286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46286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46286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46286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46286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46286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46286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46286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46286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46286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46286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46286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46286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46286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46286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46286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41962-2023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45177</v>
      </c>
      <c r="E28" s="1" t="n">
        <v>46286</v>
      </c>
      <c r="F28" t="inlineStr">
        <is>
          <t>VÄSTERBOTTENS LÄN</t>
        </is>
      </c>
      <c r="G28" t="inlineStr">
        <is>
          <t>ROBERTSFORS</t>
        </is>
      </c>
      <c r="I28" t="n">
        <v>0.3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Vedticka</t>
        </is>
      </c>
      <c r="W28">
        <f>HYPERLINK("https://klasma.github.io/Logging_2409/artfynd/A 41962-2023 artfynd.xlsx", "A 41962-2023")</f>
        <v/>
      </c>
      <c r="X28">
        <f>HYPERLINK("https://klasma.github.io/Logging_2409/kartor/A 41962-2023 karta.png", "A 41962-2023")</f>
        <v/>
      </c>
      <c r="Y28">
        <f>HYPERLINK("https://klasma.github.io/Logging_2409/kartor_geotiff/A 41962-2023 georefererad karta.tif", "A 41962-2023")</f>
        <v/>
      </c>
      <c r="AA28">
        <f>HYPERLINK("https://klasma.github.io/Logging_2409/klagomål/A 41962-2023 FSC-klagomål.docx", "A 41962-2023")</f>
        <v/>
      </c>
      <c r="AB28">
        <f>HYPERLINK("https://klasma.github.io/Logging_2409/klagomålsmail/A 41962-2023 FSC-klagomål mail.docx", "A 41962-2023")</f>
        <v/>
      </c>
      <c r="AC28">
        <f>HYPERLINK("https://klasma.github.io/Logging_2409/tillsyn/A 41962-2023 tillsynsbegäran.docx", "A 41962-2023")</f>
        <v/>
      </c>
      <c r="AD28">
        <f>HYPERLINK("https://klasma.github.io/Logging_2409/tillsynsmail/A 41962-2023 tillsynsbegäran mail.docx", "A 41962-2023")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46286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46286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46286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46286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46286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46286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46286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46286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46286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46286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46286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46286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46286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46286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46286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46286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46286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46286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46286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46286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HYPERLINK("https://klasma.github.io/Logging_2409/artfynd/A 40600-2022 artfynd.xlsx", "A 40600-2022")</f>
        <v/>
      </c>
      <c r="X48">
        <f>HYPERLINK("https://klasma.github.io/Logging_2409/kartor/A 40600-2022 karta.png", "A 40600-2022")</f>
        <v/>
      </c>
      <c r="Y48">
        <f>HYPERLINK("https://klasma.github.io/Logging_2409/kartor_geotiff/A 40600-2022 georefererad karta.tif", "A 40600-2022")</f>
        <v/>
      </c>
      <c r="AA48">
        <f>HYPERLINK("https://klasma.github.io/Logging_2409/klagomål/A 40600-2022 FSC-klagomål.docx", "A 40600-2022")</f>
        <v/>
      </c>
      <c r="AB48">
        <f>HYPERLINK("https://klasma.github.io/Logging_2409/klagomålsmail/A 40600-2022 FSC-klagomål mail.docx", "A 40600-2022")</f>
        <v/>
      </c>
      <c r="AC48">
        <f>HYPERLINK("https://klasma.github.io/Logging_2409/tillsyn/A 40600-2022 tillsynsbegäran.docx", "A 40600-2022")</f>
        <v/>
      </c>
      <c r="AD48">
        <f>HYPERLINK("https://klasma.github.io/Logging_2409/tillsynsmail/A 40600-2022 tillsynsbegäran mail.docx", "A 40600-2022")</f>
        <v/>
      </c>
      <c r="AE48">
        <f>HYPERLINK("https://klasma.github.io/Logging_2409/fåglar/A 40600-2022 prioriterade fågelarter.docx", "A 40600-2022")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46286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46286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10145-2025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46286</v>
      </c>
      <c r="F51" t="inlineStr">
        <is>
          <t>VÄSTERBOTTENS LÄN</t>
        </is>
      </c>
      <c r="G51" t="inlineStr">
        <is>
          <t>ROBERTSFORS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HYPERLINK("https://klasma.github.io/Logging_2409/artfynd/A 10145-2025 artfynd.xlsx", "A 10145-2025")</f>
        <v/>
      </c>
      <c r="X51">
        <f>HYPERLINK("https://klasma.github.io/Logging_2409/kartor/A 10145-2025 karta.png", "A 10145-2025")</f>
        <v/>
      </c>
      <c r="Y51">
        <f>HYPERLINK("https://klasma.github.io/Logging_2409/kartor_geotiff/A 10145-2025 georefererad karta.tif", "A 10145-2025")</f>
        <v/>
      </c>
      <c r="AA51">
        <f>HYPERLINK("https://klasma.github.io/Logging_2409/klagomål/A 10145-2025 FSC-klagomål.docx", "A 10145-2025")</f>
        <v/>
      </c>
      <c r="AB51">
        <f>HYPERLINK("https://klasma.github.io/Logging_2409/klagomålsmail/A 10145-2025 FSC-klagomål mail.docx", "A 10145-2025")</f>
        <v/>
      </c>
      <c r="AC51">
        <f>HYPERLINK("https://klasma.github.io/Logging_2409/tillsyn/A 10145-2025 tillsynsbegäran.docx", "A 10145-2025")</f>
        <v/>
      </c>
      <c r="AD51">
        <f>HYPERLINK("https://klasma.github.io/Logging_2409/tillsynsmail/A 10145-2025 tillsynsbegäran mail.docx", "A 10145-2025")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46286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38777-2023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45163</v>
      </c>
      <c r="E53" s="1" t="n">
        <v>46286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5.9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HYPERLINK("https://klasma.github.io/Logging_2409/artfynd/A 38777-2023 artfynd.xlsx", "A 38777-2023")</f>
        <v/>
      </c>
      <c r="X53">
        <f>HYPERLINK("https://klasma.github.io/Logging_2409/kartor/A 38777-2023 karta.png", "A 38777-2023")</f>
        <v/>
      </c>
      <c r="Y53">
        <f>HYPERLINK("https://klasma.github.io/Logging_2409/kartor_geotiff/A 38777-2023 georefererad karta.tif", "A 38777-2023")</f>
        <v/>
      </c>
      <c r="AA53">
        <f>HYPERLINK("https://klasma.github.io/Logging_2409/klagomål/A 38777-2023 FSC-klagomål.docx", "A 38777-2023")</f>
        <v/>
      </c>
      <c r="AB53">
        <f>HYPERLINK("https://klasma.github.io/Logging_2409/klagomålsmail/A 38777-2023 FSC-klagomål mail.docx", "A 38777-2023")</f>
        <v/>
      </c>
      <c r="AC53">
        <f>HYPERLINK("https://klasma.github.io/Logging_2409/tillsyn/A 38777-2023 tillsynsbegäran.docx", "A 38777-2023")</f>
        <v/>
      </c>
      <c r="AD53">
        <f>HYPERLINK("https://klasma.github.io/Logging_2409/tillsynsmail/A 38777-2023 tillsynsbegäran mail.docx", "A 38777-2023")</f>
        <v/>
      </c>
      <c r="AE53">
        <f>HYPERLINK("https://klasma.github.io/Logging_2409/fåglar/A 38777-2023 prioriterade fågelarter.docx", "A 38777-2023")</f>
        <v/>
      </c>
    </row>
    <row r="54" ht="15" customHeight="1">
      <c r="A54" t="inlineStr">
        <is>
          <t>A 57653-2024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45630</v>
      </c>
      <c r="E54" s="1" t="n">
        <v>46286</v>
      </c>
      <c r="F54" t="inlineStr">
        <is>
          <t>VÄSTERBOTTENS LÄN</t>
        </is>
      </c>
      <c r="G54" t="inlineStr">
        <is>
          <t>ROBERTSFORS</t>
        </is>
      </c>
      <c r="I54" t="n">
        <v>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Blå kärrhök</t>
        </is>
      </c>
      <c r="W54">
        <f>HYPERLINK("https://klasma.github.io/Logging_2409/artfynd/A 57653-2024 artfynd.xlsx", "A 57653-2024")</f>
        <v/>
      </c>
      <c r="X54">
        <f>HYPERLINK("https://klasma.github.io/Logging_2409/kartor/A 57653-2024 karta.png", "A 57653-2024")</f>
        <v/>
      </c>
      <c r="Y54">
        <f>HYPERLINK("https://klasma.github.io/Logging_2409/kartor_geotiff/A 57653-2024 georefererad karta.tif", "A 57653-2024")</f>
        <v/>
      </c>
      <c r="AA54">
        <f>HYPERLINK("https://klasma.github.io/Logging_2409/klagomål/A 57653-2024 FSC-klagomål.docx", "A 57653-2024")</f>
        <v/>
      </c>
      <c r="AB54">
        <f>HYPERLINK("https://klasma.github.io/Logging_2409/klagomålsmail/A 57653-2024 FSC-klagomål mail.docx", "A 57653-2024")</f>
        <v/>
      </c>
      <c r="AC54">
        <f>HYPERLINK("https://klasma.github.io/Logging_2409/tillsyn/A 57653-2024 tillsynsbegäran.docx", "A 57653-2024")</f>
        <v/>
      </c>
      <c r="AD54">
        <f>HYPERLINK("https://klasma.github.io/Logging_2409/tillsynsmail/A 57653-2024 tillsynsbegäran mail.docx", "A 57653-2024")</f>
        <v/>
      </c>
      <c r="AE54">
        <f>HYPERLINK("https://klasma.github.io/Logging_2409/fåglar/A 57653-2024 prioriterade fågelarter.docx", "A 57653-2024")</f>
        <v/>
      </c>
    </row>
    <row r="55" ht="15" customHeight="1">
      <c r="A55" t="inlineStr">
        <is>
          <t>A 57270-2023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45245</v>
      </c>
      <c r="E55" s="1" t="n">
        <v>46286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HYPERLINK("https://klasma.github.io/Logging_2409/artfynd/A 57270-2023 artfynd.xlsx", "A 57270-2023")</f>
        <v/>
      </c>
      <c r="X55">
        <f>HYPERLINK("https://klasma.github.io/Logging_2409/kartor/A 57270-2023 karta.png", "A 57270-2023")</f>
        <v/>
      </c>
      <c r="Y55">
        <f>HYPERLINK("https://klasma.github.io/Logging_2409/kartor_geotiff/A 57270-2023 georefererad karta.tif", "A 57270-2023")</f>
        <v/>
      </c>
      <c r="AA55">
        <f>HYPERLINK("https://klasma.github.io/Logging_2409/klagomål/A 57270-2023 FSC-klagomål.docx", "A 57270-2023")</f>
        <v/>
      </c>
      <c r="AB55">
        <f>HYPERLINK("https://klasma.github.io/Logging_2409/klagomålsmail/A 57270-2023 FSC-klagomål mail.docx", "A 57270-2023")</f>
        <v/>
      </c>
      <c r="AC55">
        <f>HYPERLINK("https://klasma.github.io/Logging_2409/tillsyn/A 57270-2023 tillsynsbegäran.docx", "A 57270-2023")</f>
        <v/>
      </c>
      <c r="AD55">
        <f>HYPERLINK("https://klasma.github.io/Logging_2409/tillsynsmail/A 57270-2023 tillsynsbegäran mail.docx", "A 57270-2023")</f>
        <v/>
      </c>
    </row>
    <row r="56" ht="15" customHeight="1">
      <c r="A56" t="inlineStr">
        <is>
          <t>A 5285-2026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46286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HYPERLINK("https://klasma.github.io/Logging_2409/artfynd/A 5285-2026 artfynd.xlsx", "A 5285-2026")</f>
        <v/>
      </c>
      <c r="X56">
        <f>HYPERLINK("https://klasma.github.io/Logging_2409/kartor/A 5285-2026 karta.png", "A 5285-2026")</f>
        <v/>
      </c>
      <c r="Y56">
        <f>HYPERLINK("https://klasma.github.io/Logging_2409/kartor_geotiff/A 5285-2026 georefererad karta.tif", "A 5285-2026")</f>
        <v/>
      </c>
      <c r="AA56">
        <f>HYPERLINK("https://klasma.github.io/Logging_2409/klagomål/A 5285-2026 FSC-klagomål.docx", "A 5285-2026")</f>
        <v/>
      </c>
      <c r="AB56">
        <f>HYPERLINK("https://klasma.github.io/Logging_2409/klagomålsmail/A 5285-2026 FSC-klagomål mail.docx", "A 5285-2026")</f>
        <v/>
      </c>
      <c r="AC56">
        <f>HYPERLINK("https://klasma.github.io/Logging_2409/tillsyn/A 5285-2026 tillsynsbegäran.docx", "A 5285-2026")</f>
        <v/>
      </c>
      <c r="AD56">
        <f>HYPERLINK("https://klasma.github.io/Logging_2409/tillsynsmail/A 5285-2026 tillsynsbegäran mail.docx", "A 5285-2026")</f>
        <v/>
      </c>
      <c r="AE56">
        <f>HYPERLINK("https://klasma.github.io/Logging_2409/fåglar/A 5285-2026 prioriterade fågelarter.docx", "A 5285-2026")</f>
        <v/>
      </c>
    </row>
    <row r="57" ht="15" customHeight="1">
      <c r="A57" t="inlineStr">
        <is>
          <t>A 5289-2026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46286</v>
      </c>
      <c r="F57" t="inlineStr">
        <is>
          <t>VÄSTERBOTTENS LÄN</t>
        </is>
      </c>
      <c r="G57" t="inlineStr">
        <is>
          <t>ROBERTSFORS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HYPERLINK("https://klasma.github.io/Logging_2409/artfynd/A 5289-2026 artfynd.xlsx", "A 5289-2026")</f>
        <v/>
      </c>
      <c r="X57">
        <f>HYPERLINK("https://klasma.github.io/Logging_2409/kartor/A 5289-2026 karta.png", "A 5289-2026")</f>
        <v/>
      </c>
      <c r="Y57">
        <f>HYPERLINK("https://klasma.github.io/Logging_2409/kartor_geotiff/A 5289-2026 georefererad karta.tif", "A 5289-2026")</f>
        <v/>
      </c>
      <c r="AA57">
        <f>HYPERLINK("https://klasma.github.io/Logging_2409/klagomål/A 5289-2026 FSC-klagomål.docx", "A 5289-2026")</f>
        <v/>
      </c>
      <c r="AB57">
        <f>HYPERLINK("https://klasma.github.io/Logging_2409/klagomålsmail/A 5289-2026 FSC-klagomål mail.docx", "A 5289-2026")</f>
        <v/>
      </c>
      <c r="AC57">
        <f>HYPERLINK("https://klasma.github.io/Logging_2409/tillsyn/A 5289-2026 tillsynsbegäran.docx", "A 5289-2026")</f>
        <v/>
      </c>
      <c r="AD57">
        <f>HYPERLINK("https://klasma.github.io/Logging_2409/tillsynsmail/A 5289-2026 tillsynsbegäran mail.docx", "A 5289-2026")</f>
        <v/>
      </c>
      <c r="AE57">
        <f>HYPERLINK("https://klasma.github.io/Logging_2409/fåglar/A 5289-2026 prioriterade fågelarter.docx", "A 5289-2026")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46286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HYPERLINK("https://klasma.github.io/Logging_2409/artfynd/A 5284-2026 artfynd.xlsx", "A 5284-2026")</f>
        <v/>
      </c>
      <c r="X58">
        <f>HYPERLINK("https://klasma.github.io/Logging_2409/kartor/A 5284-2026 karta.png", "A 5284-2026")</f>
        <v/>
      </c>
      <c r="Y58">
        <f>HYPERLINK("https://klasma.github.io/Logging_2409/kartor_geotiff/A 5284-2026 georefererad karta.tif", "A 5284-2026")</f>
        <v/>
      </c>
      <c r="AA58">
        <f>HYPERLINK("https://klasma.github.io/Logging_2409/klagomål/A 5284-2026 FSC-klagomål.docx", "A 5284-2026")</f>
        <v/>
      </c>
      <c r="AB58">
        <f>HYPERLINK("https://klasma.github.io/Logging_2409/klagomålsmail/A 5284-2026 FSC-klagomål mail.docx", "A 5284-2026")</f>
        <v/>
      </c>
      <c r="AC58">
        <f>HYPERLINK("https://klasma.github.io/Logging_2409/tillsyn/A 5284-2026 tillsynsbegäran.docx", "A 5284-2026")</f>
        <v/>
      </c>
      <c r="AD58">
        <f>HYPERLINK("https://klasma.github.io/Logging_2409/tillsynsmail/A 5284-2026 tillsynsbegäran mail.docx", "A 5284-2026")</f>
        <v/>
      </c>
      <c r="AE58">
        <f>HYPERLINK("https://klasma.github.io/Logging_2409/fåglar/A 5284-2026 prioriterade fågelarter.docx", "A 5284-2026")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46286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28224-2026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46286</v>
      </c>
      <c r="F60" t="inlineStr">
        <is>
          <t>VÄSTERBOTTENS LÄN</t>
        </is>
      </c>
      <c r="G60" t="inlineStr">
        <is>
          <t>ROBERTSFORS</t>
        </is>
      </c>
      <c r="I60" t="n">
        <v>9.800000000000001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6</v>
      </c>
      <c r="U60" t="n">
        <v>0</v>
      </c>
      <c r="V60" s="2" t="inlineStr">
        <is>
          <t>Garnlav</t>
        </is>
      </c>
      <c r="W60">
        <f>HYPERLINK("https://klasma.github.io/Logging_2409/artfynd/A 28224-2026 artfynd.xlsx", "A 28224-2026")</f>
        <v/>
      </c>
      <c r="X60">
        <f>HYPERLINK("https://klasma.github.io/Logging_2409/kartor/A 28224-2026 karta.png", "A 28224-2026")</f>
        <v/>
      </c>
      <c r="Y60">
        <f>HYPERLINK("https://klasma.github.io/Logging_2409/kartor_geotiff/A 28224-2026 georefererad karta.tif", "A 28224-2026")</f>
        <v/>
      </c>
      <c r="AA60">
        <f>HYPERLINK("https://klasma.github.io/Logging_2409/klagomål/A 28224-2026 FSC-klagomål.docx", "A 28224-2026")</f>
        <v/>
      </c>
      <c r="AB60">
        <f>HYPERLINK("https://klasma.github.io/Logging_2409/klagomålsmail/A 28224-2026 FSC-klagomål mail.docx", "A 28224-2026")</f>
        <v/>
      </c>
      <c r="AC60">
        <f>HYPERLINK("https://klasma.github.io/Logging_2409/tillsyn/A 28224-2026 tillsynsbegäran.docx", "A 28224-2026")</f>
        <v/>
      </c>
      <c r="AD60">
        <f>HYPERLINK("https://klasma.github.io/Logging_2409/tillsynsmail/A 28224-2026 tillsynsbegäran mail.docx", "A 28224-2026")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46286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46286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46286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46286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41767-2023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46286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0.8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41767-2023 artfynd.xlsx", "A 41767-2023")</f>
        <v/>
      </c>
      <c r="X65">
        <f>HYPERLINK("https://klasma.github.io/Logging_2409/kartor/A 41767-2023 karta.png", "A 41767-2023")</f>
        <v/>
      </c>
      <c r="Y65">
        <f>HYPERLINK("https://klasma.github.io/Logging_2409/kartor_geotiff/A 41767-2023 georefererad karta.tif", "A 41767-2023")</f>
        <v/>
      </c>
      <c r="AA65">
        <f>HYPERLINK("https://klasma.github.io/Logging_2409/klagomål/A 41767-2023 FSC-klagomål.docx", "A 41767-2023")</f>
        <v/>
      </c>
      <c r="AB65">
        <f>HYPERLINK("https://klasma.github.io/Logging_2409/klagomålsmail/A 41767-2023 FSC-klagomål mail.docx", "A 41767-2023")</f>
        <v/>
      </c>
      <c r="AC65">
        <f>HYPERLINK("https://klasma.github.io/Logging_2409/tillsyn/A 41767-2023 tillsynsbegäran.docx", "A 41767-2023")</f>
        <v/>
      </c>
      <c r="AD65">
        <f>HYPERLINK("https://klasma.github.io/Logging_2409/tillsynsmail/A 41767-2023 tillsynsbegäran mail.docx", "A 41767-2023")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46286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A 30344-2025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46286</v>
      </c>
      <c r="F67" t="inlineStr">
        <is>
          <t>VÄSTERBOTTENS LÄN</t>
        </is>
      </c>
      <c r="G67" t="inlineStr">
        <is>
          <t>ROBERTSFORS</t>
        </is>
      </c>
      <c r="I67" t="n">
        <v>22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Järpe</t>
        </is>
      </c>
      <c r="W67">
        <f>HYPERLINK("https://klasma.github.io/Logging_2409/artfynd/A 30344-2025 artfynd.xlsx", "A 30344-2025")</f>
        <v/>
      </c>
      <c r="X67">
        <f>HYPERLINK("https://klasma.github.io/Logging_2409/kartor/A 30344-2025 karta.png", "A 30344-2025")</f>
        <v/>
      </c>
      <c r="Y67">
        <f>HYPERLINK("https://klasma.github.io/Logging_2409/kartor_geotiff/A 30344-2025 georefererad karta.tif", "A 30344-2025")</f>
        <v/>
      </c>
      <c r="AA67">
        <f>HYPERLINK("https://klasma.github.io/Logging_2409/klagomål/A 30344-2025 FSC-klagomål.docx", "A 30344-2025")</f>
        <v/>
      </c>
      <c r="AB67">
        <f>HYPERLINK("https://klasma.github.io/Logging_2409/klagomålsmail/A 30344-2025 FSC-klagomål mail.docx", "A 30344-2025")</f>
        <v/>
      </c>
      <c r="AC67">
        <f>HYPERLINK("https://klasma.github.io/Logging_2409/tillsyn/A 30344-2025 tillsynsbegäran.docx", "A 30344-2025")</f>
        <v/>
      </c>
      <c r="AD67">
        <f>HYPERLINK("https://klasma.github.io/Logging_2409/tillsynsmail/A 30344-2025 tillsynsbegäran mail.docx", "A 30344-2025")</f>
        <v/>
      </c>
      <c r="AE67">
        <f>HYPERLINK("https://klasma.github.io/Logging_2409/fåglar/A 30344-2025 prioriterade fågelarter.docx", "A 30344-2025")</f>
        <v/>
      </c>
    </row>
    <row r="68" ht="15" customHeight="1">
      <c r="A68" t="inlineStr">
        <is>
          <t>A 32263-2025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46286</v>
      </c>
      <c r="F68" t="inlineStr">
        <is>
          <t>VÄSTERBOTTENS LÄN</t>
        </is>
      </c>
      <c r="G68" t="inlineStr">
        <is>
          <t>ROBERTSFORS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Gullviva</t>
        </is>
      </c>
      <c r="W68">
        <f>HYPERLINK("https://klasma.github.io/Logging_2409/artfynd/A 32263-2025 artfynd.xlsx", "A 32263-2025")</f>
        <v/>
      </c>
      <c r="X68">
        <f>HYPERLINK("https://klasma.github.io/Logging_2409/kartor/A 32263-2025 karta.png", "A 32263-2025")</f>
        <v/>
      </c>
      <c r="Y68">
        <f>HYPERLINK("https://klasma.github.io/Logging_2409/kartor_geotiff/A 32263-2025 georefererad karta.tif", "A 32263-2025")</f>
        <v/>
      </c>
      <c r="AA68">
        <f>HYPERLINK("https://klasma.github.io/Logging_2409/klagomål/A 32263-2025 FSC-klagomål.docx", "A 32263-2025")</f>
        <v/>
      </c>
      <c r="AB68">
        <f>HYPERLINK("https://klasma.github.io/Logging_2409/klagomålsmail/A 32263-2025 FSC-klagomål mail.docx", "A 32263-2025")</f>
        <v/>
      </c>
      <c r="AC68">
        <f>HYPERLINK("https://klasma.github.io/Logging_2409/tillsyn/A 32263-2025 tillsynsbegäran.docx", "A 32263-2025")</f>
        <v/>
      </c>
      <c r="AD68">
        <f>HYPERLINK("https://klasma.github.io/Logging_2409/tillsynsmail/A 32263-2025 tillsynsbegäran mail.docx", "A 32263-2025")</f>
        <v/>
      </c>
    </row>
    <row r="69" ht="15" customHeight="1">
      <c r="A69" t="inlineStr">
        <is>
          <t>A 34007-2025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45844</v>
      </c>
      <c r="E69" s="1" t="n">
        <v>46286</v>
      </c>
      <c r="F69" t="inlineStr">
        <is>
          <t>VÄSTERBOTTENS LÄN</t>
        </is>
      </c>
      <c r="G69" t="inlineStr">
        <is>
          <t>ROBERTSFORS</t>
        </is>
      </c>
      <c r="I69" t="n">
        <v>1.3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Harticka</t>
        </is>
      </c>
      <c r="W69">
        <f>HYPERLINK("https://klasma.github.io/Logging_2409/artfynd/A 34007-2025 artfynd.xlsx", "A 34007-2025")</f>
        <v/>
      </c>
      <c r="X69">
        <f>HYPERLINK("https://klasma.github.io/Logging_2409/kartor/A 34007-2025 karta.png", "A 34007-2025")</f>
        <v/>
      </c>
      <c r="Y69">
        <f>HYPERLINK("https://klasma.github.io/Logging_2409/kartor_geotiff/A 34007-2025 georefererad karta.tif", "A 34007-2025")</f>
        <v/>
      </c>
      <c r="AA69">
        <f>HYPERLINK("https://klasma.github.io/Logging_2409/klagomål/A 34007-2025 FSC-klagomål.docx", "A 34007-2025")</f>
        <v/>
      </c>
      <c r="AB69">
        <f>HYPERLINK("https://klasma.github.io/Logging_2409/klagomålsmail/A 34007-2025 FSC-klagomål mail.docx", "A 34007-2025")</f>
        <v/>
      </c>
      <c r="AC69">
        <f>HYPERLINK("https://klasma.github.io/Logging_2409/tillsyn/A 34007-2025 tillsynsbegäran.docx", "A 34007-2025")</f>
        <v/>
      </c>
      <c r="AD69">
        <f>HYPERLINK("https://klasma.github.io/Logging_2409/tillsynsmail/A 34007-2025 tillsynsbegäran mail.docx", "A 34007-2025")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46286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46286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46286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46286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46286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46286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46286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46286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46286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46286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46286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46286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46286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46286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46286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46286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46286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46286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46286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46286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46286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46286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46286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46286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46286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66503-2021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44519</v>
      </c>
      <c r="E95" s="1" t="n">
        <v>46286</v>
      </c>
      <c r="F95" t="inlineStr">
        <is>
          <t>VÄSTERBOTTENS LÄN</t>
        </is>
      </c>
      <c r="G95" t="inlineStr">
        <is>
          <t>ROBERTSFORS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2604-2022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44571</v>
      </c>
      <c r="E96" s="1" t="n">
        <v>46286</v>
      </c>
      <c r="F96" t="inlineStr">
        <is>
          <t>VÄSTERBOTTENS LÄN</t>
        </is>
      </c>
      <c r="G96" t="inlineStr">
        <is>
          <t>ROBERTSFORS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46286</v>
      </c>
      <c r="F97" t="inlineStr">
        <is>
          <t>VÄSTERBOTTENS LÄN</t>
        </is>
      </c>
      <c r="G97" t="inlineStr">
        <is>
          <t>ROBERTSFORS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44844</v>
      </c>
      <c r="E98" s="1" t="n">
        <v>46286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69805-2021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46286</v>
      </c>
      <c r="F99" t="inlineStr">
        <is>
          <t>VÄSTERBOTTENS LÄN</t>
        </is>
      </c>
      <c r="G99" t="inlineStr">
        <is>
          <t>ROBERTSFORS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44482</v>
      </c>
      <c r="E100" s="1" t="n">
        <v>46286</v>
      </c>
      <c r="F100" t="inlineStr">
        <is>
          <t>VÄSTERBOTTENS LÄN</t>
        </is>
      </c>
      <c r="G100" t="inlineStr">
        <is>
          <t>ROBERTSFORS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8458-2022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44612</v>
      </c>
      <c r="E101" s="1" t="n">
        <v>46286</v>
      </c>
      <c r="F101" t="inlineStr">
        <is>
          <t>VÄSTERBOTTENS LÄN</t>
        </is>
      </c>
      <c r="G101" t="inlineStr">
        <is>
          <t>ROBERTSFORS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44612</v>
      </c>
      <c r="E102" s="1" t="n">
        <v>46286</v>
      </c>
      <c r="F102" t="inlineStr">
        <is>
          <t>VÄSTERBOTTENS LÄN</t>
        </is>
      </c>
      <c r="G102" t="inlineStr">
        <is>
          <t>ROBERTSFORS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46286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44729</v>
      </c>
      <c r="E104" s="1" t="n">
        <v>46286</v>
      </c>
      <c r="F104" t="inlineStr">
        <is>
          <t>VÄSTERBOTTENS LÄN</t>
        </is>
      </c>
      <c r="G104" t="inlineStr">
        <is>
          <t>ROBERTSFORS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46286</v>
      </c>
      <c r="F105" t="inlineStr">
        <is>
          <t>VÄSTERBOTTENS LÄN</t>
        </is>
      </c>
      <c r="G105" t="inlineStr">
        <is>
          <t>ROBERTSFORS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15644-2022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46286</v>
      </c>
      <c r="F106" t="inlineStr">
        <is>
          <t>VÄSTERBOTTENS LÄN</t>
        </is>
      </c>
      <c r="G106" t="inlineStr">
        <is>
          <t>ROBERTSFORS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19962-2022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44697</v>
      </c>
      <c r="E107" s="1" t="n">
        <v>46286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46286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44827</v>
      </c>
      <c r="E109" s="1" t="n">
        <v>46286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44841</v>
      </c>
      <c r="E110" s="1" t="n">
        <v>46286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44824</v>
      </c>
      <c r="E111" s="1" t="n">
        <v>46286</v>
      </c>
      <c r="F111" t="inlineStr">
        <is>
          <t>VÄSTERBOTTENS LÄN</t>
        </is>
      </c>
      <c r="G111" t="inlineStr">
        <is>
          <t>ROBERTSFORS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55484-2021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46286</v>
      </c>
      <c r="F112" t="inlineStr">
        <is>
          <t>VÄSTERBOTTENS LÄN</t>
        </is>
      </c>
      <c r="G112" t="inlineStr">
        <is>
          <t>ROBERTSFORS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44580</v>
      </c>
      <c r="E113" s="1" t="n">
        <v>46286</v>
      </c>
      <c r="F113" t="inlineStr">
        <is>
          <t>VÄSTERBOTTENS LÄN</t>
        </is>
      </c>
      <c r="G113" t="inlineStr">
        <is>
          <t>ROBERTSFORS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46286</v>
      </c>
      <c r="F114" t="inlineStr">
        <is>
          <t>VÄSTERBOTTENS LÄN</t>
        </is>
      </c>
      <c r="G114" t="inlineStr">
        <is>
          <t>ROBERTSFORS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44641</v>
      </c>
      <c r="E115" s="1" t="n">
        <v>46286</v>
      </c>
      <c r="F115" t="inlineStr">
        <is>
          <t>VÄSTERBOTTENS LÄN</t>
        </is>
      </c>
      <c r="G115" t="inlineStr">
        <is>
          <t>ROBERTSFORS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44644</v>
      </c>
      <c r="E116" s="1" t="n">
        <v>46286</v>
      </c>
      <c r="F116" t="inlineStr">
        <is>
          <t>VÄSTERBOTTENS LÄN</t>
        </is>
      </c>
      <c r="G116" t="inlineStr">
        <is>
          <t>ROBERTSFORS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44817</v>
      </c>
      <c r="E117" s="1" t="n">
        <v>46286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46286</v>
      </c>
      <c r="F118" t="inlineStr">
        <is>
          <t>VÄSTERBOTTENS LÄN</t>
        </is>
      </c>
      <c r="G118" t="inlineStr">
        <is>
          <t>ROBERTSFORS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46286</v>
      </c>
      <c r="F119" t="inlineStr">
        <is>
          <t>VÄSTERBOTTENS LÄN</t>
        </is>
      </c>
      <c r="G119" t="inlineStr">
        <is>
          <t>ROBERTSFORS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46286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46286</v>
      </c>
      <c r="F121" t="inlineStr">
        <is>
          <t>VÄSTERBOTTENS LÄN</t>
        </is>
      </c>
      <c r="G121" t="inlineStr">
        <is>
          <t>ROBERTSFORS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46286</v>
      </c>
      <c r="F122" t="inlineStr">
        <is>
          <t>VÄSTERBOTTENS LÄN</t>
        </is>
      </c>
      <c r="G122" t="inlineStr">
        <is>
          <t>ROBERTSFORS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46286</v>
      </c>
      <c r="F123" t="inlineStr">
        <is>
          <t>VÄSTERBOTTENS LÄN</t>
        </is>
      </c>
      <c r="G123" t="inlineStr">
        <is>
          <t>ROBERTSFORS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45687</v>
      </c>
      <c r="E124" s="1" t="n">
        <v>46286</v>
      </c>
      <c r="F124" t="inlineStr">
        <is>
          <t>VÄSTERBOTTENS LÄN</t>
        </is>
      </c>
      <c r="G124" t="inlineStr">
        <is>
          <t>ROBERTSFORS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46286</v>
      </c>
      <c r="F125" t="inlineStr">
        <is>
          <t>VÄSTERBOTTENS LÄN</t>
        </is>
      </c>
      <c r="G125" t="inlineStr">
        <is>
          <t>ROBERTSFORS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46286</v>
      </c>
      <c r="F126" t="inlineStr">
        <is>
          <t>VÄSTERBOTTENS LÄN</t>
        </is>
      </c>
      <c r="G126" t="inlineStr">
        <is>
          <t>ROBERTSFORS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46286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46286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46286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45048</v>
      </c>
      <c r="E130" s="1" t="n">
        <v>46286</v>
      </c>
      <c r="F130" t="inlineStr">
        <is>
          <t>VÄSTERBOTTENS LÄN</t>
        </is>
      </c>
      <c r="G130" t="inlineStr">
        <is>
          <t>ROBERTSFORS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45197</v>
      </c>
      <c r="E131" s="1" t="n">
        <v>46286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45548</v>
      </c>
      <c r="E132" s="1" t="n">
        <v>46286</v>
      </c>
      <c r="F132" t="inlineStr">
        <is>
          <t>VÄSTERBOTTENS LÄN</t>
        </is>
      </c>
      <c r="G132" t="inlineStr">
        <is>
          <t>ROBERTSFORS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45622</v>
      </c>
      <c r="E133" s="1" t="n">
        <v>46286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46286</v>
      </c>
      <c r="F134" t="inlineStr">
        <is>
          <t>VÄSTERBOTTENS LÄN</t>
        </is>
      </c>
      <c r="G134" t="inlineStr">
        <is>
          <t>ROBERTSFORS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46286</v>
      </c>
      <c r="F135" t="inlineStr">
        <is>
          <t>VÄSTERBOTTENS LÄN</t>
        </is>
      </c>
      <c r="G135" t="inlineStr">
        <is>
          <t>ROBERTSFORS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46286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15294-2023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45019</v>
      </c>
      <c r="E137" s="1" t="n">
        <v>46286</v>
      </c>
      <c r="F137" t="inlineStr">
        <is>
          <t>VÄSTERBOTTENS LÄN</t>
        </is>
      </c>
      <c r="G137" t="inlineStr">
        <is>
          <t>ROBERTSFORS</t>
        </is>
      </c>
      <c r="I137" t="n">
        <v>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45079</v>
      </c>
      <c r="E138" s="1" t="n">
        <v>46286</v>
      </c>
      <c r="F138" t="inlineStr">
        <is>
          <t>VÄSTERBOTTENS LÄN</t>
        </is>
      </c>
      <c r="G138" t="inlineStr">
        <is>
          <t>ROBERTSFORS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54366-2024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45617</v>
      </c>
      <c r="E139" s="1" t="n">
        <v>46286</v>
      </c>
      <c r="F139" t="inlineStr">
        <is>
          <t>VÄSTERBOTTENS LÄN</t>
        </is>
      </c>
      <c r="G139" t="inlineStr">
        <is>
          <t>ROBERTSFORS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30722-2024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45496</v>
      </c>
      <c r="E140" s="1" t="n">
        <v>46286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45484</v>
      </c>
      <c r="E141" s="1" t="n">
        <v>46286</v>
      </c>
      <c r="F141" t="inlineStr">
        <is>
          <t>VÄSTERBOTTENS LÄN</t>
        </is>
      </c>
      <c r="G141" t="inlineStr">
        <is>
          <t>ROBERTSFORS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46286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46286</v>
      </c>
      <c r="F143" t="inlineStr">
        <is>
          <t>VÄSTERBOTTENS LÄN</t>
        </is>
      </c>
      <c r="G143" t="inlineStr">
        <is>
          <t>ROBERTSFORS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46286</v>
      </c>
      <c r="F144" t="inlineStr">
        <is>
          <t>VÄSTERBOTTENS LÄN</t>
        </is>
      </c>
      <c r="G144" t="inlineStr">
        <is>
          <t>ROBERTSFORS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46286</v>
      </c>
      <c r="F145" t="inlineStr">
        <is>
          <t>VÄSTERBOTTENS LÄN</t>
        </is>
      </c>
      <c r="G145" t="inlineStr">
        <is>
          <t>ROBERTSFORS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45572</v>
      </c>
      <c r="E146" s="1" t="n">
        <v>46286</v>
      </c>
      <c r="F146" t="inlineStr">
        <is>
          <t>VÄSTERBOTTENS LÄN</t>
        </is>
      </c>
      <c r="G146" t="inlineStr">
        <is>
          <t>ROBERTSFORS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45184</v>
      </c>
      <c r="E147" s="1" t="n">
        <v>46286</v>
      </c>
      <c r="F147" t="inlineStr">
        <is>
          <t>VÄSTERBOTTENS LÄN</t>
        </is>
      </c>
      <c r="G147" t="inlineStr">
        <is>
          <t>ROBERTSFORS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44894</v>
      </c>
      <c r="E148" s="1" t="n">
        <v>46286</v>
      </c>
      <c r="F148" t="inlineStr">
        <is>
          <t>VÄSTERBOTTENS LÄN</t>
        </is>
      </c>
      <c r="G148" t="inlineStr">
        <is>
          <t>ROBERTSFORS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45659</v>
      </c>
      <c r="E149" s="1" t="n">
        <v>46286</v>
      </c>
      <c r="F149" t="inlineStr">
        <is>
          <t>VÄSTERBOTTENS LÄN</t>
        </is>
      </c>
      <c r="G149" t="inlineStr">
        <is>
          <t>ROBERTSFORS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45461</v>
      </c>
      <c r="E150" s="1" t="n">
        <v>46286</v>
      </c>
      <c r="F150" t="inlineStr">
        <is>
          <t>VÄSTERBOTTENS LÄN</t>
        </is>
      </c>
      <c r="G150" t="inlineStr">
        <is>
          <t>ROBERTSFORS</t>
        </is>
      </c>
      <c r="I150" t="n">
        <v>14.3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46286</v>
      </c>
      <c r="F151" t="inlineStr">
        <is>
          <t>VÄSTERBOTTENS LÄN</t>
        </is>
      </c>
      <c r="G151" t="inlineStr">
        <is>
          <t>ROBERTSFORS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44904</v>
      </c>
      <c r="E152" s="1" t="n">
        <v>46286</v>
      </c>
      <c r="F152" t="inlineStr">
        <is>
          <t>VÄSTERBOTTENS LÄN</t>
        </is>
      </c>
      <c r="G152" t="inlineStr">
        <is>
          <t>ROBERTSFORS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45715</v>
      </c>
      <c r="E153" s="1" t="n">
        <v>46286</v>
      </c>
      <c r="F153" t="inlineStr">
        <is>
          <t>VÄSTERBOTTENS LÄN</t>
        </is>
      </c>
      <c r="G153" t="inlineStr">
        <is>
          <t>ROBERTSFORS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45446</v>
      </c>
      <c r="E154" s="1" t="n">
        <v>46286</v>
      </c>
      <c r="F154" t="inlineStr">
        <is>
          <t>VÄSTERBOTTENS LÄN</t>
        </is>
      </c>
      <c r="G154" t="inlineStr">
        <is>
          <t>ROBERTSFORS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44913</v>
      </c>
      <c r="E155" s="1" t="n">
        <v>46286</v>
      </c>
      <c r="F155" t="inlineStr">
        <is>
          <t>VÄSTERBOTTENS LÄN</t>
        </is>
      </c>
      <c r="G155" t="inlineStr">
        <is>
          <t>ROBERTSFORS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45070</v>
      </c>
      <c r="E156" s="1" t="n">
        <v>46286</v>
      </c>
      <c r="F156" t="inlineStr">
        <is>
          <t>VÄSTERBOTTENS LÄN</t>
        </is>
      </c>
      <c r="G156" t="inlineStr">
        <is>
          <t>ROBERTSFORS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46286</v>
      </c>
      <c r="F157" t="inlineStr">
        <is>
          <t>VÄSTERBOTTENS LÄN</t>
        </is>
      </c>
      <c r="G157" t="inlineStr">
        <is>
          <t>ROBERTSFORS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46286</v>
      </c>
      <c r="F158" t="inlineStr">
        <is>
          <t>VÄSTERBOTTENS LÄN</t>
        </is>
      </c>
      <c r="G158" t="inlineStr">
        <is>
          <t>ROBERTSFORS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46286</v>
      </c>
      <c r="F159" t="inlineStr">
        <is>
          <t>VÄSTERBOTTENS LÄN</t>
        </is>
      </c>
      <c r="G159" t="inlineStr">
        <is>
          <t>ROBERTSFORS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46286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45197</v>
      </c>
      <c r="E161" s="1" t="n">
        <v>46286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45030</v>
      </c>
      <c r="E162" s="1" t="n">
        <v>46286</v>
      </c>
      <c r="F162" t="inlineStr">
        <is>
          <t>VÄSTERBOTTENS LÄN</t>
        </is>
      </c>
      <c r="G162" t="inlineStr">
        <is>
          <t>ROBERTSFORS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46286</v>
      </c>
      <c r="F163" t="inlineStr">
        <is>
          <t>VÄSTERBOTTENS LÄN</t>
        </is>
      </c>
      <c r="G163" t="inlineStr">
        <is>
          <t>ROBERTSFORS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45033</v>
      </c>
      <c r="E164" s="1" t="n">
        <v>46286</v>
      </c>
      <c r="F164" t="inlineStr">
        <is>
          <t>VÄSTERBOTTENS LÄN</t>
        </is>
      </c>
      <c r="G164" t="inlineStr">
        <is>
          <t>ROBERTSFORS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44805</v>
      </c>
      <c r="E165" s="1" t="n">
        <v>46286</v>
      </c>
      <c r="F165" t="inlineStr">
        <is>
          <t>VÄSTERBOTTENS LÄN</t>
        </is>
      </c>
      <c r="G165" t="inlineStr">
        <is>
          <t>ROBERTSFORS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46286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SCA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46286</v>
      </c>
      <c r="F167" t="inlineStr">
        <is>
          <t>VÄSTERBOTTENS LÄN</t>
        </is>
      </c>
      <c r="G167" t="inlineStr">
        <is>
          <t>ROBERTSFORS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46286</v>
      </c>
      <c r="F168" t="inlineStr">
        <is>
          <t>VÄSTERBOTTENS LÄN</t>
        </is>
      </c>
      <c r="G168" t="inlineStr">
        <is>
          <t>ROBERTSFORS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46286</v>
      </c>
      <c r="F169" t="inlineStr">
        <is>
          <t>VÄSTERBOTTENS LÄN</t>
        </is>
      </c>
      <c r="G169" t="inlineStr">
        <is>
          <t>ROBERTSFORS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46286</v>
      </c>
      <c r="F170" t="inlineStr">
        <is>
          <t>VÄSTERBOTTENS LÄN</t>
        </is>
      </c>
      <c r="G170" t="inlineStr">
        <is>
          <t>ROBERTSFORS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46286</v>
      </c>
      <c r="F171" t="inlineStr">
        <is>
          <t>VÄSTERBOTTENS LÄN</t>
        </is>
      </c>
      <c r="G171" t="inlineStr">
        <is>
          <t>ROBERTSFORS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44953</v>
      </c>
      <c r="E172" s="1" t="n">
        <v>46286</v>
      </c>
      <c r="F172" t="inlineStr">
        <is>
          <t>VÄSTERBOTTENS LÄN</t>
        </is>
      </c>
      <c r="G172" t="inlineStr">
        <is>
          <t>ROBERTSFORS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36139-2023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45149</v>
      </c>
      <c r="E173" s="1" t="n">
        <v>46286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45458</v>
      </c>
      <c r="E174" s="1" t="n">
        <v>46286</v>
      </c>
      <c r="F174" t="inlineStr">
        <is>
          <t>VÄSTERBOTTENS LÄN</t>
        </is>
      </c>
      <c r="G174" t="inlineStr">
        <is>
          <t>ROBERTSFORS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45205</v>
      </c>
      <c r="E175" s="1" t="n">
        <v>46286</v>
      </c>
      <c r="F175" t="inlineStr">
        <is>
          <t>VÄSTERBOTTENS LÄN</t>
        </is>
      </c>
      <c r="G175" t="inlineStr">
        <is>
          <t>ROBERTSFORS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46286</v>
      </c>
      <c r="F176" t="inlineStr">
        <is>
          <t>VÄSTERBOTTENS LÄN</t>
        </is>
      </c>
      <c r="G176" t="inlineStr">
        <is>
          <t>ROBERTSFORS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45458</v>
      </c>
      <c r="E177" s="1" t="n">
        <v>46286</v>
      </c>
      <c r="F177" t="inlineStr">
        <is>
          <t>VÄSTERBOTTENS LÄN</t>
        </is>
      </c>
      <c r="G177" t="inlineStr">
        <is>
          <t>ROBERTSFORS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46286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46286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45635</v>
      </c>
      <c r="E180" s="1" t="n">
        <v>46286</v>
      </c>
      <c r="F180" t="inlineStr">
        <is>
          <t>VÄSTERBOTTENS LÄN</t>
        </is>
      </c>
      <c r="G180" t="inlineStr">
        <is>
          <t>ROBERTSFORS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16921-2023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46286</v>
      </c>
      <c r="F181" t="inlineStr">
        <is>
          <t>VÄSTERBOTTENS LÄN</t>
        </is>
      </c>
      <c r="G181" t="inlineStr">
        <is>
          <t>ROBERTSFORS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65771-2021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44516</v>
      </c>
      <c r="E182" s="1" t="n">
        <v>46286</v>
      </c>
      <c r="F182" t="inlineStr">
        <is>
          <t>VÄSTERBOTTENS LÄN</t>
        </is>
      </c>
      <c r="G182" t="inlineStr">
        <is>
          <t>ROBERTSFORS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45191</v>
      </c>
      <c r="E183" s="1" t="n">
        <v>46286</v>
      </c>
      <c r="F183" t="inlineStr">
        <is>
          <t>VÄSTERBOTTENS LÄN</t>
        </is>
      </c>
      <c r="G183" t="inlineStr">
        <is>
          <t>ROBERTSFORS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45480</v>
      </c>
      <c r="E184" s="1" t="n">
        <v>46286</v>
      </c>
      <c r="F184" t="inlineStr">
        <is>
          <t>VÄSTERBOTTENS LÄN</t>
        </is>
      </c>
      <c r="G184" t="inlineStr">
        <is>
          <t>ROBERTSFORS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45512</v>
      </c>
      <c r="E185" s="1" t="n">
        <v>46286</v>
      </c>
      <c r="F185" t="inlineStr">
        <is>
          <t>VÄSTERBOTTENS LÄN</t>
        </is>
      </c>
      <c r="G185" t="inlineStr">
        <is>
          <t>ROBERTSFORS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64625-2023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46286</v>
      </c>
      <c r="F186" t="inlineStr">
        <is>
          <t>VÄSTERBOTTENS LÄN</t>
        </is>
      </c>
      <c r="G186" t="inlineStr">
        <is>
          <t>ROBERTSFORS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44783</v>
      </c>
      <c r="E187" s="1" t="n">
        <v>46286</v>
      </c>
      <c r="F187" t="inlineStr">
        <is>
          <t>VÄSTERBOTTENS LÄN</t>
        </is>
      </c>
      <c r="G187" t="inlineStr">
        <is>
          <t>ROBERTSFORS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45661</v>
      </c>
      <c r="E188" s="1" t="n">
        <v>46286</v>
      </c>
      <c r="F188" t="inlineStr">
        <is>
          <t>VÄSTERBOTTENS LÄN</t>
        </is>
      </c>
      <c r="G188" t="inlineStr">
        <is>
          <t>ROBERTSFORS</t>
        </is>
      </c>
      <c r="I188" t="n">
        <v>10.6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46286</v>
      </c>
      <c r="F189" t="inlineStr">
        <is>
          <t>VÄSTERBOTTENS LÄN</t>
        </is>
      </c>
      <c r="G189" t="inlineStr">
        <is>
          <t>ROBERTSFORS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65772-2021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44516</v>
      </c>
      <c r="E190" s="1" t="n">
        <v>46286</v>
      </c>
      <c r="F190" t="inlineStr">
        <is>
          <t>VÄSTERBOTTENS LÄN</t>
        </is>
      </c>
      <c r="G190" t="inlineStr">
        <is>
          <t>ROBERTSFORS</t>
        </is>
      </c>
      <c r="I190" t="n">
        <v>18.2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44838</v>
      </c>
      <c r="E191" s="1" t="n">
        <v>46286</v>
      </c>
      <c r="F191" t="inlineStr">
        <is>
          <t>VÄSTERBOTTENS LÄN</t>
        </is>
      </c>
      <c r="G191" t="inlineStr">
        <is>
          <t>ROBERTSFORS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46286</v>
      </c>
      <c r="F192" t="inlineStr">
        <is>
          <t>VÄSTERBOTTENS LÄN</t>
        </is>
      </c>
      <c r="G192" t="inlineStr">
        <is>
          <t>ROBERTSFORS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45653</v>
      </c>
      <c r="E193" s="1" t="n">
        <v>46286</v>
      </c>
      <c r="F193" t="inlineStr">
        <is>
          <t>VÄSTERBOTTENS LÄN</t>
        </is>
      </c>
      <c r="G193" t="inlineStr">
        <is>
          <t>ROBERTSFORS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46286</v>
      </c>
      <c r="F194" t="inlineStr">
        <is>
          <t>VÄSTERBOTTENS LÄN</t>
        </is>
      </c>
      <c r="G194" t="inlineStr">
        <is>
          <t>ROBERTSFORS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44945</v>
      </c>
      <c r="E195" s="1" t="n">
        <v>46286</v>
      </c>
      <c r="F195" t="inlineStr">
        <is>
          <t>VÄSTERBOTTENS LÄN</t>
        </is>
      </c>
      <c r="G195" t="inlineStr">
        <is>
          <t>ROBERTSFORS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46286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45544</v>
      </c>
      <c r="E197" s="1" t="n">
        <v>46286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SCA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46286</v>
      </c>
      <c r="F198" t="inlineStr">
        <is>
          <t>VÄSTERBOTTENS LÄN</t>
        </is>
      </c>
      <c r="G198" t="inlineStr">
        <is>
          <t>ROBERTSFORS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46286</v>
      </c>
      <c r="F199" t="inlineStr">
        <is>
          <t>VÄSTERBOTTENS LÄN</t>
        </is>
      </c>
      <c r="G199" t="inlineStr">
        <is>
          <t>ROBERTSFORS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46286</v>
      </c>
      <c r="F200" t="inlineStr">
        <is>
          <t>VÄSTERBOTTENS LÄN</t>
        </is>
      </c>
      <c r="G200" t="inlineStr">
        <is>
          <t>ROBERTSFORS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46286</v>
      </c>
      <c r="F201" t="inlineStr">
        <is>
          <t>VÄSTERBOTTENS LÄN</t>
        </is>
      </c>
      <c r="G201" t="inlineStr">
        <is>
          <t>ROBERTSFORS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46286</v>
      </c>
      <c r="F202" t="inlineStr">
        <is>
          <t>VÄSTERBOTTENS LÄN</t>
        </is>
      </c>
      <c r="G202" t="inlineStr">
        <is>
          <t>ROBERTSFORS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46286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45335</v>
      </c>
      <c r="E204" s="1" t="n">
        <v>46286</v>
      </c>
      <c r="F204" t="inlineStr">
        <is>
          <t>VÄSTERBOTTENS LÄN</t>
        </is>
      </c>
      <c r="G204" t="inlineStr">
        <is>
          <t>ROBERTSFORS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46286</v>
      </c>
      <c r="F205" t="inlineStr">
        <is>
          <t>VÄSTERBOTTENS LÄN</t>
        </is>
      </c>
      <c r="G205" t="inlineStr">
        <is>
          <t>ROBERTSFORS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46286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46286</v>
      </c>
      <c r="F207" t="inlineStr">
        <is>
          <t>VÄSTERBOTTENS LÄN</t>
        </is>
      </c>
      <c r="G207" t="inlineStr">
        <is>
          <t>ROBERTSFORS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46286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46286</v>
      </c>
      <c r="F209" t="inlineStr">
        <is>
          <t>VÄSTERBOTTENS LÄN</t>
        </is>
      </c>
      <c r="G209" t="inlineStr">
        <is>
          <t>ROBERTSFORS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39982-2025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45893</v>
      </c>
      <c r="E210" s="1" t="n">
        <v>46286</v>
      </c>
      <c r="F210" t="inlineStr">
        <is>
          <t>VÄSTERBOTTENS LÄN</t>
        </is>
      </c>
      <c r="G210" t="inlineStr">
        <is>
          <t>ROBERTSFORS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46286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46286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46286</v>
      </c>
      <c r="F213" t="inlineStr">
        <is>
          <t>VÄSTERBOTTENS LÄN</t>
        </is>
      </c>
      <c r="G213" t="inlineStr">
        <is>
          <t>ROBERTSFORS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45090</v>
      </c>
      <c r="E214" s="1" t="n">
        <v>46286</v>
      </c>
      <c r="F214" t="inlineStr">
        <is>
          <t>VÄSTERBOTTENS LÄN</t>
        </is>
      </c>
      <c r="G214" t="inlineStr">
        <is>
          <t>ROBERTSFORS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45734</v>
      </c>
      <c r="E215" s="1" t="n">
        <v>46286</v>
      </c>
      <c r="F215" t="inlineStr">
        <is>
          <t>VÄSTERBOTTENS LÄN</t>
        </is>
      </c>
      <c r="G215" t="inlineStr">
        <is>
          <t>ROBERTSFORS</t>
        </is>
      </c>
      <c r="I215" t="n">
        <v>24.4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46286</v>
      </c>
      <c r="F216" t="inlineStr">
        <is>
          <t>VÄSTERBOTTENS LÄN</t>
        </is>
      </c>
      <c r="G216" t="inlineStr">
        <is>
          <t>ROBERTSFORS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45005</v>
      </c>
      <c r="E217" s="1" t="n">
        <v>46286</v>
      </c>
      <c r="F217" t="inlineStr">
        <is>
          <t>VÄSTERBOTTENS LÄN</t>
        </is>
      </c>
      <c r="G217" t="inlineStr">
        <is>
          <t>ROBERTSFORS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44580</v>
      </c>
      <c r="E218" s="1" t="n">
        <v>46286</v>
      </c>
      <c r="F218" t="inlineStr">
        <is>
          <t>VÄSTERBOTTENS LÄN</t>
        </is>
      </c>
      <c r="G218" t="inlineStr">
        <is>
          <t>ROBERTSFORS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46286</v>
      </c>
      <c r="F219" t="inlineStr">
        <is>
          <t>VÄSTERBOTTENS LÄN</t>
        </is>
      </c>
      <c r="G219" t="inlineStr">
        <is>
          <t>ROBERTSFORS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46286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46286</v>
      </c>
      <c r="F221" t="inlineStr">
        <is>
          <t>VÄSTERBOTTENS LÄN</t>
        </is>
      </c>
      <c r="G221" t="inlineStr">
        <is>
          <t>ROBERTSFORS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20644-2026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46141</v>
      </c>
      <c r="E222" s="1" t="n">
        <v>46286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46286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45909</v>
      </c>
      <c r="E224" s="1" t="n">
        <v>46286</v>
      </c>
      <c r="F224" t="inlineStr">
        <is>
          <t>VÄSTERBOTTENS LÄN</t>
        </is>
      </c>
      <c r="G224" t="inlineStr">
        <is>
          <t>ROBERTSFORS</t>
        </is>
      </c>
      <c r="I224" t="n">
        <v>12.7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46286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45020</v>
      </c>
      <c r="E226" s="1" t="n">
        <v>46286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46286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44130-2025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45915</v>
      </c>
      <c r="E228" s="1" t="n">
        <v>46286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62187-2021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46286</v>
      </c>
      <c r="F229" t="inlineStr">
        <is>
          <t>VÄSTERBOTTENS LÄN</t>
        </is>
      </c>
      <c r="G229" t="inlineStr">
        <is>
          <t>ROBERTSFORS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46286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46286</v>
      </c>
      <c r="F231" t="inlineStr">
        <is>
          <t>VÄSTERBOTTENS LÄN</t>
        </is>
      </c>
      <c r="G231" t="inlineStr">
        <is>
          <t>ROBERTSFORS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55417-2023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45238</v>
      </c>
      <c r="E232" s="1" t="n">
        <v>46286</v>
      </c>
      <c r="F232" t="inlineStr">
        <is>
          <t>VÄSTERBOTTENS LÄN</t>
        </is>
      </c>
      <c r="G232" t="inlineStr">
        <is>
          <t>ROBERTSFORS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46168-2025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45924</v>
      </c>
      <c r="E233" s="1" t="n">
        <v>46286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46286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46286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46286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46286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13.9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46286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46286</v>
      </c>
      <c r="F239" t="inlineStr">
        <is>
          <t>VÄSTERBOTTENS LÄN</t>
        </is>
      </c>
      <c r="G239" t="inlineStr">
        <is>
          <t>ROBERTSFORS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46146</v>
      </c>
      <c r="E240" s="1" t="n">
        <v>46286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46286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46286</v>
      </c>
      <c r="F242" t="inlineStr">
        <is>
          <t>VÄSTERBOTTENS LÄN</t>
        </is>
      </c>
      <c r="G242" t="inlineStr">
        <is>
          <t>ROBERTSFORS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46286</v>
      </c>
      <c r="F243" t="inlineStr">
        <is>
          <t>VÄSTERBOTTENS LÄN</t>
        </is>
      </c>
      <c r="G243" t="inlineStr">
        <is>
          <t>ROBERTSFORS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46286</v>
      </c>
      <c r="F244" t="inlineStr">
        <is>
          <t>VÄSTERBOTTENS LÄN</t>
        </is>
      </c>
      <c r="G244" t="inlineStr">
        <is>
          <t>ROBERTSFORS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9135-2024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45357</v>
      </c>
      <c r="E245" s="1" t="n">
        <v>46286</v>
      </c>
      <c r="F245" t="inlineStr">
        <is>
          <t>VÄSTERBOTTENS LÄN</t>
        </is>
      </c>
      <c r="G245" t="inlineStr">
        <is>
          <t>ROBERTSFORS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46286</v>
      </c>
      <c r="F246" t="inlineStr">
        <is>
          <t>VÄSTERBOTTENS LÄN</t>
        </is>
      </c>
      <c r="G246" t="inlineStr">
        <is>
          <t>ROBERTSFORS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46286</v>
      </c>
      <c r="F247" t="inlineStr">
        <is>
          <t>VÄSTERBOTTENS LÄN</t>
        </is>
      </c>
      <c r="G247" t="inlineStr">
        <is>
          <t>ROBERTSFORS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46148</v>
      </c>
      <c r="E248" s="1" t="n">
        <v>46286</v>
      </c>
      <c r="F248" t="inlineStr">
        <is>
          <t>VÄSTERBOTTENS LÄN</t>
        </is>
      </c>
      <c r="G248" t="inlineStr">
        <is>
          <t>ROBERTSFORS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46286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SCA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46286</v>
      </c>
      <c r="F250" t="inlineStr">
        <is>
          <t>VÄSTERBOTTENS LÄN</t>
        </is>
      </c>
      <c r="G250" t="inlineStr">
        <is>
          <t>ROBERTSFORS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45013</v>
      </c>
      <c r="E251" s="1" t="n">
        <v>46286</v>
      </c>
      <c r="F251" t="inlineStr">
        <is>
          <t>VÄSTERBOTTENS LÄN</t>
        </is>
      </c>
      <c r="G251" t="inlineStr">
        <is>
          <t>ROBERTSFORS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46286</v>
      </c>
      <c r="F252" t="inlineStr">
        <is>
          <t>VÄSTERBOTTENS LÄN</t>
        </is>
      </c>
      <c r="G252" t="inlineStr">
        <is>
          <t>ROBERTSFORS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46286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45042</v>
      </c>
      <c r="E254" s="1" t="n">
        <v>46286</v>
      </c>
      <c r="F254" t="inlineStr">
        <is>
          <t>VÄSTERBOTTENS LÄN</t>
        </is>
      </c>
      <c r="G254" t="inlineStr">
        <is>
          <t>ROBERTSFORS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45679</v>
      </c>
      <c r="E255" s="1" t="n">
        <v>46286</v>
      </c>
      <c r="F255" t="inlineStr">
        <is>
          <t>VÄSTERBOTTENS LÄN</t>
        </is>
      </c>
      <c r="G255" t="inlineStr">
        <is>
          <t>ROBERTSFORS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44467</v>
      </c>
      <c r="E256" s="1" t="n">
        <v>46286</v>
      </c>
      <c r="F256" t="inlineStr">
        <is>
          <t>VÄSTERBOTTENS LÄN</t>
        </is>
      </c>
      <c r="G256" t="inlineStr">
        <is>
          <t>ROBERTSFORS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52934-2025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46286</v>
      </c>
      <c r="F257" t="inlineStr">
        <is>
          <t>VÄSTERBOTTENS LÄN</t>
        </is>
      </c>
      <c r="G257" t="inlineStr">
        <is>
          <t>ROBERTSFORS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46286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21907-2026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46286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45664</v>
      </c>
      <c r="E260" s="1" t="n">
        <v>46286</v>
      </c>
      <c r="F260" t="inlineStr">
        <is>
          <t>VÄSTERBOTTENS LÄN</t>
        </is>
      </c>
      <c r="G260" t="inlineStr">
        <is>
          <t>ROBERTSFORS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46286</v>
      </c>
      <c r="F261" t="inlineStr">
        <is>
          <t>VÄSTERBOTTENS LÄN</t>
        </is>
      </c>
      <c r="G261" t="inlineStr">
        <is>
          <t>ROBERTSFORS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21971-2026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46286</v>
      </c>
      <c r="F262" t="inlineStr">
        <is>
          <t>VÄSTERBOTTENS LÄN</t>
        </is>
      </c>
      <c r="G262" t="inlineStr">
        <is>
          <t>ROBERTSFORS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45958</v>
      </c>
      <c r="E263" s="1" t="n">
        <v>46286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46286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45959</v>
      </c>
      <c r="E265" s="1" t="n">
        <v>46286</v>
      </c>
      <c r="F265" t="inlineStr">
        <is>
          <t>VÄSTERBOTTENS LÄN</t>
        </is>
      </c>
      <c r="G265" t="inlineStr">
        <is>
          <t>ROBERTSFORS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45959</v>
      </c>
      <c r="E266" s="1" t="n">
        <v>46286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46286</v>
      </c>
      <c r="F267" t="inlineStr">
        <is>
          <t>VÄSTERBOTTENS LÄN</t>
        </is>
      </c>
      <c r="G267" t="inlineStr">
        <is>
          <t>ROBERTSFORS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45960</v>
      </c>
      <c r="E268" s="1" t="n">
        <v>46286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45961</v>
      </c>
      <c r="E269" s="1" t="n">
        <v>46286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46286</v>
      </c>
      <c r="F270" t="inlineStr">
        <is>
          <t>VÄSTERBOTTENS LÄN</t>
        </is>
      </c>
      <c r="G270" t="inlineStr">
        <is>
          <t>ROBERTSFORS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46286</v>
      </c>
      <c r="F271" t="inlineStr">
        <is>
          <t>VÄSTERBOTTENS LÄN</t>
        </is>
      </c>
      <c r="G271" t="inlineStr">
        <is>
          <t>ROBERTSFORS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26038-2022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44734</v>
      </c>
      <c r="E272" s="1" t="n">
        <v>46286</v>
      </c>
      <c r="F272" t="inlineStr">
        <is>
          <t>VÄSTERBOTTENS LÄN</t>
        </is>
      </c>
      <c r="G272" t="inlineStr">
        <is>
          <t>ROBERTSFORS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46286</v>
      </c>
      <c r="F273" t="inlineStr">
        <is>
          <t>VÄSTERBOTTENS LÄN</t>
        </is>
      </c>
      <c r="G273" t="inlineStr">
        <is>
          <t>ROBERTSFORS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46286</v>
      </c>
      <c r="F274" t="inlineStr">
        <is>
          <t>VÄSTERBOTTENS LÄN</t>
        </is>
      </c>
      <c r="G274" t="inlineStr">
        <is>
          <t>ROBERTSFORS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46286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45205</v>
      </c>
      <c r="E276" s="1" t="n">
        <v>46286</v>
      </c>
      <c r="F276" t="inlineStr">
        <is>
          <t>VÄSTERBOTTENS LÄN</t>
        </is>
      </c>
      <c r="G276" t="inlineStr">
        <is>
          <t>ROBERTSFORS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46286</v>
      </c>
      <c r="F277" t="inlineStr">
        <is>
          <t>VÄSTERBOTTENS LÄN</t>
        </is>
      </c>
      <c r="G277" t="inlineStr">
        <is>
          <t>ROBERTSFORS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45076</v>
      </c>
      <c r="E278" s="1" t="n">
        <v>46286</v>
      </c>
      <c r="F278" t="inlineStr">
        <is>
          <t>VÄSTERBOTTENS LÄN</t>
        </is>
      </c>
      <c r="G278" t="inlineStr">
        <is>
          <t>ROBERTSFORS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45020</v>
      </c>
      <c r="E279" s="1" t="n">
        <v>46286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Sveaskog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55469-2021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44475</v>
      </c>
      <c r="E280" s="1" t="n">
        <v>46286</v>
      </c>
      <c r="F280" t="inlineStr">
        <is>
          <t>VÄSTERBOTTENS LÄN</t>
        </is>
      </c>
      <c r="G280" t="inlineStr">
        <is>
          <t>ROBERTSFORS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46286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46286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22436-2026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46155</v>
      </c>
      <c r="E283" s="1" t="n">
        <v>46286</v>
      </c>
      <c r="F283" t="inlineStr">
        <is>
          <t>VÄSTERBOTTENS LÄN</t>
        </is>
      </c>
      <c r="G283" t="inlineStr">
        <is>
          <t>ROBERTSFORS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46286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46286</v>
      </c>
      <c r="F285" t="inlineStr">
        <is>
          <t>VÄSTERBOTTENS LÄN</t>
        </is>
      </c>
      <c r="G285" t="inlineStr">
        <is>
          <t>ROBERTSFORS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46286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46286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46286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45129</v>
      </c>
      <c r="E289" s="1" t="n">
        <v>46286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46286</v>
      </c>
      <c r="F290" t="inlineStr">
        <is>
          <t>VÄSTERBOTTENS LÄN</t>
        </is>
      </c>
      <c r="G290" t="inlineStr">
        <is>
          <t>ROBERTSFORS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46286</v>
      </c>
      <c r="F291" t="inlineStr">
        <is>
          <t>VÄSTERBOTTENS LÄN</t>
        </is>
      </c>
      <c r="G291" t="inlineStr">
        <is>
          <t>ROBERTSFORS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46286</v>
      </c>
      <c r="F292" t="inlineStr">
        <is>
          <t>VÄSTERBOTTENS LÄN</t>
        </is>
      </c>
      <c r="G292" t="inlineStr">
        <is>
          <t>ROBERTSFORS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46160</v>
      </c>
      <c r="E293" s="1" t="n">
        <v>46286</v>
      </c>
      <c r="F293" t="inlineStr">
        <is>
          <t>VÄSTERBOTTENS LÄN</t>
        </is>
      </c>
      <c r="G293" t="inlineStr">
        <is>
          <t>ROBERTSFORS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46160</v>
      </c>
      <c r="E294" s="1" t="n">
        <v>46286</v>
      </c>
      <c r="F294" t="inlineStr">
        <is>
          <t>VÄSTERBOTTENS LÄN</t>
        </is>
      </c>
      <c r="G294" t="inlineStr">
        <is>
          <t>ROBERTSFORS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45404</v>
      </c>
      <c r="E295" s="1" t="n">
        <v>46286</v>
      </c>
      <c r="F295" t="inlineStr">
        <is>
          <t>VÄSTERBOTTENS LÄN</t>
        </is>
      </c>
      <c r="G295" t="inlineStr">
        <is>
          <t>ROBERTSFORS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46160</v>
      </c>
      <c r="E296" s="1" t="n">
        <v>46286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46286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46286</v>
      </c>
      <c r="F298" t="inlineStr">
        <is>
          <t>VÄSTERBOTTENS LÄN</t>
        </is>
      </c>
      <c r="G298" t="inlineStr">
        <is>
          <t>ROBERTSFORS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45611</v>
      </c>
      <c r="E299" s="1" t="n">
        <v>46286</v>
      </c>
      <c r="F299" t="inlineStr">
        <is>
          <t>VÄSTERBOTTENS LÄN</t>
        </is>
      </c>
      <c r="G299" t="inlineStr">
        <is>
          <t>ROBERTSFORS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45475</v>
      </c>
      <c r="E300" s="1" t="n">
        <v>46286</v>
      </c>
      <c r="F300" t="inlineStr">
        <is>
          <t>VÄSTERBOTTENS LÄN</t>
        </is>
      </c>
      <c r="G300" t="inlineStr">
        <is>
          <t>ROBERTSFORS</t>
        </is>
      </c>
      <c r="I300" t="n">
        <v>10.5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37901-2023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45160</v>
      </c>
      <c r="E301" s="1" t="n">
        <v>46286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45996</v>
      </c>
      <c r="E302" s="1" t="n">
        <v>46286</v>
      </c>
      <c r="F302" t="inlineStr">
        <is>
          <t>VÄSTERBOTTENS LÄN</t>
        </is>
      </c>
      <c r="G302" t="inlineStr">
        <is>
          <t>ROBERTSFORS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45635</v>
      </c>
      <c r="E303" s="1" t="n">
        <v>46286</v>
      </c>
      <c r="F303" t="inlineStr">
        <is>
          <t>VÄSTERBOTTENS LÄN</t>
        </is>
      </c>
      <c r="G303" t="inlineStr">
        <is>
          <t>ROBERTSFORS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46286</v>
      </c>
      <c r="F304" t="inlineStr">
        <is>
          <t>VÄSTERBOTTENS LÄN</t>
        </is>
      </c>
      <c r="G304" t="inlineStr">
        <is>
          <t>ROBERTSFORS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45458</v>
      </c>
      <c r="E305" s="1" t="n">
        <v>46286</v>
      </c>
      <c r="F305" t="inlineStr">
        <is>
          <t>VÄSTERBOTTENS LÄN</t>
        </is>
      </c>
      <c r="G305" t="inlineStr">
        <is>
          <t>ROBERTSFORS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61185-2025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46286</v>
      </c>
      <c r="F306" t="inlineStr">
        <is>
          <t>VÄSTERBOTTENS LÄN</t>
        </is>
      </c>
      <c r="G306" t="inlineStr">
        <is>
          <t>ROBERTSFORS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46286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Sveaskog</t>
        </is>
      </c>
      <c r="I307" t="n">
        <v>9.199999999999999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45041</v>
      </c>
      <c r="E308" s="1" t="n">
        <v>46286</v>
      </c>
      <c r="F308" t="inlineStr">
        <is>
          <t>VÄSTERBOTTENS LÄN</t>
        </is>
      </c>
      <c r="G308" t="inlineStr">
        <is>
          <t>ROBERTSFORS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45133</v>
      </c>
      <c r="E309" s="1" t="n">
        <v>46286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45756</v>
      </c>
      <c r="E310" s="1" t="n">
        <v>46286</v>
      </c>
      <c r="F310" t="inlineStr">
        <is>
          <t>VÄSTERBOTTENS LÄN</t>
        </is>
      </c>
      <c r="G310" t="inlineStr">
        <is>
          <t>ROBERTSFORS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46286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45551</v>
      </c>
      <c r="E312" s="1" t="n">
        <v>46286</v>
      </c>
      <c r="F312" t="inlineStr">
        <is>
          <t>VÄSTERBOTTENS LÄN</t>
        </is>
      </c>
      <c r="G312" t="inlineStr">
        <is>
          <t>ROBERTSFORS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62506-2023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45268</v>
      </c>
      <c r="E313" s="1" t="n">
        <v>46286</v>
      </c>
      <c r="F313" t="inlineStr">
        <is>
          <t>VÄSTERBOTTENS LÄN</t>
        </is>
      </c>
      <c r="G313" t="inlineStr">
        <is>
          <t>ROBERTSFORS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45307</v>
      </c>
      <c r="E314" s="1" t="n">
        <v>46286</v>
      </c>
      <c r="F314" t="inlineStr">
        <is>
          <t>VÄSTERBOTTENS LÄN</t>
        </is>
      </c>
      <c r="G314" t="inlineStr">
        <is>
          <t>ROBERTSFORS</t>
        </is>
      </c>
      <c r="I314" t="n">
        <v>12.1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46169</v>
      </c>
      <c r="E315" s="1" t="n">
        <v>46286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51966-2024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45607</v>
      </c>
      <c r="E316" s="1" t="n">
        <v>46286</v>
      </c>
      <c r="F316" t="inlineStr">
        <is>
          <t>VÄSTERBOTTENS LÄN</t>
        </is>
      </c>
      <c r="G316" t="inlineStr">
        <is>
          <t>ROBERTSFORS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24647-2026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46171</v>
      </c>
      <c r="E317" s="1" t="n">
        <v>46286</v>
      </c>
      <c r="F317" t="inlineStr">
        <is>
          <t>VÄSTERBOTTENS LÄN</t>
        </is>
      </c>
      <c r="G317" t="inlineStr">
        <is>
          <t>ROBERTSFORS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46286</v>
      </c>
      <c r="F318" t="inlineStr">
        <is>
          <t>VÄSTERBOTTENS LÄN</t>
        </is>
      </c>
      <c r="G318" t="inlineStr">
        <is>
          <t>ROBERTSFORS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45470</v>
      </c>
      <c r="E319" s="1" t="n">
        <v>46286</v>
      </c>
      <c r="F319" t="inlineStr">
        <is>
          <t>VÄSTERBOTTENS LÄN</t>
        </is>
      </c>
      <c r="G319" t="inlineStr">
        <is>
          <t>ROBERTSFORS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45301</v>
      </c>
      <c r="E320" s="1" t="n">
        <v>46286</v>
      </c>
      <c r="F320" t="inlineStr">
        <is>
          <t>VÄSTERBOTTENS LÄN</t>
        </is>
      </c>
      <c r="G320" t="inlineStr">
        <is>
          <t>ROBERTSFORS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45712</v>
      </c>
      <c r="E321" s="1" t="n">
        <v>46286</v>
      </c>
      <c r="F321" t="inlineStr">
        <is>
          <t>VÄSTERBOTTENS LÄN</t>
        </is>
      </c>
      <c r="G321" t="inlineStr">
        <is>
          <t>ROBERTSFORS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61553-2023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46286</v>
      </c>
      <c r="F322" t="inlineStr">
        <is>
          <t>VÄSTERBOTTENS LÄN</t>
        </is>
      </c>
      <c r="G322" t="inlineStr">
        <is>
          <t>ROBERTSFORS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46286</v>
      </c>
      <c r="F323" t="inlineStr">
        <is>
          <t>VÄSTERBOTTENS LÄN</t>
        </is>
      </c>
      <c r="G323" t="inlineStr">
        <is>
          <t>ROBERTSFORS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45160</v>
      </c>
      <c r="E324" s="1" t="n">
        <v>46286</v>
      </c>
      <c r="F324" t="inlineStr">
        <is>
          <t>VÄSTERBOTTENS LÄN</t>
        </is>
      </c>
      <c r="G324" t="inlineStr">
        <is>
          <t>ROBERTSFORS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13164-2024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45386</v>
      </c>
      <c r="E325" s="1" t="n">
        <v>46286</v>
      </c>
      <c r="F325" t="inlineStr">
        <is>
          <t>VÄSTERBOTTENS LÄN</t>
        </is>
      </c>
      <c r="G325" t="inlineStr">
        <is>
          <t>ROBERTSFORS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46286</v>
      </c>
      <c r="F326" t="inlineStr">
        <is>
          <t>VÄSTERBOTTENS LÄN</t>
        </is>
      </c>
      <c r="G326" t="inlineStr">
        <is>
          <t>ROBERTSFORS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45176</v>
      </c>
      <c r="E327" s="1" t="n">
        <v>46286</v>
      </c>
      <c r="F327" t="inlineStr">
        <is>
          <t>VÄSTERBOTTENS LÄN</t>
        </is>
      </c>
      <c r="G327" t="inlineStr">
        <is>
          <t>ROBERTSFORS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45365</v>
      </c>
      <c r="E328" s="1" t="n">
        <v>46286</v>
      </c>
      <c r="F328" t="inlineStr">
        <is>
          <t>VÄSTERBOTTENS LÄN</t>
        </is>
      </c>
      <c r="G328" t="inlineStr">
        <is>
          <t>ROBERTSFORS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46286</v>
      </c>
      <c r="F329" t="inlineStr">
        <is>
          <t>VÄSTERBOTTENS LÄN</t>
        </is>
      </c>
      <c r="G329" t="inlineStr">
        <is>
          <t>ROBERTSFORS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45548</v>
      </c>
      <c r="E330" s="1" t="n">
        <v>46286</v>
      </c>
      <c r="F330" t="inlineStr">
        <is>
          <t>VÄSTERBOTTENS LÄN</t>
        </is>
      </c>
      <c r="G330" t="inlineStr">
        <is>
          <t>ROBERTSFORS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46286</v>
      </c>
      <c r="F331" t="inlineStr">
        <is>
          <t>VÄSTERBOTTENS LÄN</t>
        </is>
      </c>
      <c r="G331" t="inlineStr">
        <is>
          <t>ROBERTSFORS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46286</v>
      </c>
      <c r="F332" t="inlineStr">
        <is>
          <t>VÄSTERBOTTENS LÄN</t>
        </is>
      </c>
      <c r="G332" t="inlineStr">
        <is>
          <t>ROBERTSFORS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46286</v>
      </c>
      <c r="F333" t="inlineStr">
        <is>
          <t>VÄSTERBOTTENS LÄN</t>
        </is>
      </c>
      <c r="G333" t="inlineStr">
        <is>
          <t>ROBERTSFORS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45667</v>
      </c>
      <c r="E334" s="1" t="n">
        <v>46286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46286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SCA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44580</v>
      </c>
      <c r="E336" s="1" t="n">
        <v>46286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45526</v>
      </c>
      <c r="E337" s="1" t="n">
        <v>46286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46286</v>
      </c>
      <c r="F338" t="inlineStr">
        <is>
          <t>VÄSTERBOTTENS LÄN</t>
        </is>
      </c>
      <c r="G338" t="inlineStr">
        <is>
          <t>ROBERTSFORS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45432</v>
      </c>
      <c r="E339" s="1" t="n">
        <v>46286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46286</v>
      </c>
      <c r="F340" t="inlineStr">
        <is>
          <t>VÄSTERBOTTENS LÄN</t>
        </is>
      </c>
      <c r="G340" t="inlineStr">
        <is>
          <t>ROBERTSFORS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46286</v>
      </c>
      <c r="F341" t="inlineStr">
        <is>
          <t>VÄSTERBOTTENS LÄN</t>
        </is>
      </c>
      <c r="G341" t="inlineStr">
        <is>
          <t>ROBERTSFORS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46050</v>
      </c>
      <c r="E342" s="1" t="n">
        <v>46286</v>
      </c>
      <c r="F342" t="inlineStr">
        <is>
          <t>VÄSTERBOTTENS LÄN</t>
        </is>
      </c>
      <c r="G342" t="inlineStr">
        <is>
          <t>ROBERTSFORS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46286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46176</v>
      </c>
      <c r="E344" s="1" t="n">
        <v>46286</v>
      </c>
      <c r="F344" t="inlineStr">
        <is>
          <t>VÄSTERBOTTENS LÄN</t>
        </is>
      </c>
      <c r="G344" t="inlineStr">
        <is>
          <t>ROBERTSFORS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45636</v>
      </c>
      <c r="E345" s="1" t="n">
        <v>46286</v>
      </c>
      <c r="F345" t="inlineStr">
        <is>
          <t>VÄSTERBOTTENS LÄN</t>
        </is>
      </c>
      <c r="G345" t="inlineStr">
        <is>
          <t>ROBERTSFORS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45644</v>
      </c>
      <c r="E346" s="1" t="n">
        <v>46286</v>
      </c>
      <c r="F346" t="inlineStr">
        <is>
          <t>VÄSTERBOTTENS LÄN</t>
        </is>
      </c>
      <c r="G346" t="inlineStr">
        <is>
          <t>ROBERTSFORS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46286</v>
      </c>
      <c r="F347" t="inlineStr">
        <is>
          <t>VÄSTERBOTTENS LÄN</t>
        </is>
      </c>
      <c r="G347" t="inlineStr">
        <is>
          <t>ROBERTSFORS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45454</v>
      </c>
      <c r="E348" s="1" t="n">
        <v>46286</v>
      </c>
      <c r="F348" t="inlineStr">
        <is>
          <t>VÄSTERBOTTENS LÄN</t>
        </is>
      </c>
      <c r="G348" t="inlineStr">
        <is>
          <t>ROBERTSFORS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46286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46286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44876</v>
      </c>
      <c r="E351" s="1" t="n">
        <v>46286</v>
      </c>
      <c r="F351" t="inlineStr">
        <is>
          <t>VÄSTERBOTTENS LÄN</t>
        </is>
      </c>
      <c r="G351" t="inlineStr">
        <is>
          <t>ROBERTSFORS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46286</v>
      </c>
      <c r="F352" t="inlineStr">
        <is>
          <t>VÄSTERBOTTENS LÄN</t>
        </is>
      </c>
      <c r="G352" t="inlineStr">
        <is>
          <t>ROBERTSFORS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46286</v>
      </c>
      <c r="F353" t="inlineStr">
        <is>
          <t>VÄSTERBOTTENS LÄN</t>
        </is>
      </c>
      <c r="G353" t="inlineStr">
        <is>
          <t>ROBERTSFORS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46286</v>
      </c>
      <c r="F354" t="inlineStr">
        <is>
          <t>VÄSTERBOTTENS LÄN</t>
        </is>
      </c>
      <c r="G354" t="inlineStr">
        <is>
          <t>ROBERTSFORS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46286</v>
      </c>
      <c r="F355" t="inlineStr">
        <is>
          <t>VÄSTERBOTTENS LÄN</t>
        </is>
      </c>
      <c r="G355" t="inlineStr">
        <is>
          <t>ROBERTSFORS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46065</v>
      </c>
      <c r="E356" s="1" t="n">
        <v>46286</v>
      </c>
      <c r="F356" t="inlineStr">
        <is>
          <t>VÄSTERBOTTENS LÄN</t>
        </is>
      </c>
      <c r="G356" t="inlineStr">
        <is>
          <t>ROBERTSFORS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8472-2026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46286</v>
      </c>
      <c r="F357" t="inlineStr">
        <is>
          <t>VÄSTERBOTTENS LÄN</t>
        </is>
      </c>
      <c r="G357" t="inlineStr">
        <is>
          <t>ROBERTSFORS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25446-2024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45463</v>
      </c>
      <c r="E358" s="1" t="n">
        <v>46286</v>
      </c>
      <c r="F358" t="inlineStr">
        <is>
          <t>VÄSTERBOTTENS LÄN</t>
        </is>
      </c>
      <c r="G358" t="inlineStr">
        <is>
          <t>ROBERTSFORS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46286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45029</v>
      </c>
      <c r="E360" s="1" t="n">
        <v>46286</v>
      </c>
      <c r="F360" t="inlineStr">
        <is>
          <t>VÄSTERBOTTENS LÄN</t>
        </is>
      </c>
      <c r="G360" t="inlineStr">
        <is>
          <t>ROBERTSFORS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45678</v>
      </c>
      <c r="E361" s="1" t="n">
        <v>46286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8.9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46286</v>
      </c>
      <c r="F362" t="inlineStr">
        <is>
          <t>VÄSTERBOTTENS LÄN</t>
        </is>
      </c>
      <c r="G362" t="inlineStr">
        <is>
          <t>ROBERTSFORS</t>
        </is>
      </c>
      <c r="I362" t="n">
        <v>10.8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45565</v>
      </c>
      <c r="E363" s="1" t="n">
        <v>46286</v>
      </c>
      <c r="F363" t="inlineStr">
        <is>
          <t>VÄSTERBOTTENS LÄN</t>
        </is>
      </c>
      <c r="G363" t="inlineStr">
        <is>
          <t>ROBERTSFORS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56703-2024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45627</v>
      </c>
      <c r="E364" s="1" t="n">
        <v>46286</v>
      </c>
      <c r="F364" t="inlineStr">
        <is>
          <t>VÄSTERBOTTENS LÄN</t>
        </is>
      </c>
      <c r="G364" t="inlineStr">
        <is>
          <t>ROBERTSFORS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46183</v>
      </c>
      <c r="E365" s="1" t="n">
        <v>46286</v>
      </c>
      <c r="F365" t="inlineStr">
        <is>
          <t>VÄSTERBOTTENS LÄN</t>
        </is>
      </c>
      <c r="G365" t="inlineStr">
        <is>
          <t>ROBERTSFORS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50187-2023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45215</v>
      </c>
      <c r="E366" s="1" t="n">
        <v>46286</v>
      </c>
      <c r="F366" t="inlineStr">
        <is>
          <t>VÄSTERBOTTENS LÄN</t>
        </is>
      </c>
      <c r="G366" t="inlineStr">
        <is>
          <t>ROBERTSFORS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46286</v>
      </c>
      <c r="F367" t="inlineStr">
        <is>
          <t>VÄSTERBOTTENS LÄN</t>
        </is>
      </c>
      <c r="G367" t="inlineStr">
        <is>
          <t>ROBERTSFORS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46286</v>
      </c>
      <c r="F368" t="inlineStr">
        <is>
          <t>VÄSTERBOTTENS LÄN</t>
        </is>
      </c>
      <c r="G368" t="inlineStr">
        <is>
          <t>ROBERTSFORS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46286</v>
      </c>
      <c r="F369" t="inlineStr">
        <is>
          <t>VÄSTERBOTTENS LÄN</t>
        </is>
      </c>
      <c r="G369" t="inlineStr">
        <is>
          <t>ROBERTSFORS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46286</v>
      </c>
      <c r="F370" t="inlineStr">
        <is>
          <t>VÄSTERBOTTENS LÄN</t>
        </is>
      </c>
      <c r="G370" t="inlineStr">
        <is>
          <t>ROBERTSFORS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46185</v>
      </c>
      <c r="E371" s="1" t="n">
        <v>46286</v>
      </c>
      <c r="F371" t="inlineStr">
        <is>
          <t>VÄSTERBOTTENS LÄN</t>
        </is>
      </c>
      <c r="G371" t="inlineStr">
        <is>
          <t>ROBERTSFORS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27134-2026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46286</v>
      </c>
      <c r="F372" t="inlineStr">
        <is>
          <t>VÄSTERBOTTENS LÄN</t>
        </is>
      </c>
      <c r="G372" t="inlineStr">
        <is>
          <t>ROBERTSFORS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45049</v>
      </c>
      <c r="E373" s="1" t="n">
        <v>46286</v>
      </c>
      <c r="F373" t="inlineStr">
        <is>
          <t>VÄSTERBOTTENS LÄN</t>
        </is>
      </c>
      <c r="G373" t="inlineStr">
        <is>
          <t>ROBERTSFORS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46286</v>
      </c>
      <c r="F374" t="inlineStr">
        <is>
          <t>VÄSTERBOTTENS LÄN</t>
        </is>
      </c>
      <c r="G374" t="inlineStr">
        <is>
          <t>ROBERTSFORS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58426-2022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44901</v>
      </c>
      <c r="E375" s="1" t="n">
        <v>46286</v>
      </c>
      <c r="F375" t="inlineStr">
        <is>
          <t>VÄSTERBOTTENS LÄN</t>
        </is>
      </c>
      <c r="G375" t="inlineStr">
        <is>
          <t>ROBERTSFORS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34821-2023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46286</v>
      </c>
      <c r="F376" t="inlineStr">
        <is>
          <t>VÄSTERBOTTENS LÄN</t>
        </is>
      </c>
      <c r="G376" t="inlineStr">
        <is>
          <t>ROBERTSFORS</t>
        </is>
      </c>
      <c r="I376" t="n">
        <v>15.3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46286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50046-2024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46286</v>
      </c>
      <c r="F378" t="inlineStr">
        <is>
          <t>VÄSTERBOTTENS LÄN</t>
        </is>
      </c>
      <c r="G378" t="inlineStr">
        <is>
          <t>ROBERTSFORS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27294-2026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46286</v>
      </c>
      <c r="F379" t="inlineStr">
        <is>
          <t>VÄSTERBOTTENS LÄN</t>
        </is>
      </c>
      <c r="G379" t="inlineStr">
        <is>
          <t>ROBERTSFORS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46286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45250</v>
      </c>
      <c r="E381" s="1" t="n">
        <v>46286</v>
      </c>
      <c r="F381" t="inlineStr">
        <is>
          <t>VÄSTERBOTTENS LÄN</t>
        </is>
      </c>
      <c r="G381" t="inlineStr">
        <is>
          <t>ROBERTSFORS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52833-2024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46286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SCA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46663-2024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45583</v>
      </c>
      <c r="E383" s="1" t="n">
        <v>46286</v>
      </c>
      <c r="F383" t="inlineStr">
        <is>
          <t>VÄSTERBOTTENS LÄN</t>
        </is>
      </c>
      <c r="G383" t="inlineStr">
        <is>
          <t>ROBERTSFORS</t>
        </is>
      </c>
      <c r="I383" t="n">
        <v>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27894-2026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46191</v>
      </c>
      <c r="E384" s="1" t="n">
        <v>46286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46286</v>
      </c>
      <c r="F385" t="inlineStr">
        <is>
          <t>VÄSTERBOTTENS LÄN</t>
        </is>
      </c>
      <c r="G385" t="inlineStr">
        <is>
          <t>ROBERTSFORS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45620</v>
      </c>
      <c r="E386" s="1" t="n">
        <v>46286</v>
      </c>
      <c r="F386" t="inlineStr">
        <is>
          <t>VÄSTERBOTTENS LÄN</t>
        </is>
      </c>
      <c r="G386" t="inlineStr">
        <is>
          <t>ROBERTSFORS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44571</v>
      </c>
      <c r="E387" s="1" t="n">
        <v>46286</v>
      </c>
      <c r="F387" t="inlineStr">
        <is>
          <t>VÄSTERBOTTENS LÄN</t>
        </is>
      </c>
      <c r="G387" t="inlineStr">
        <is>
          <t>ROBERTSFORS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58790-2022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44895</v>
      </c>
      <c r="E388" s="1" t="n">
        <v>46286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46286</v>
      </c>
      <c r="F389" t="inlineStr">
        <is>
          <t>VÄSTERBOTTENS LÄN</t>
        </is>
      </c>
      <c r="G389" t="inlineStr">
        <is>
          <t>ROBERTSFORS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46286</v>
      </c>
      <c r="F390" t="inlineStr">
        <is>
          <t>VÄSTERBOTTENS LÄN</t>
        </is>
      </c>
      <c r="G390" t="inlineStr">
        <is>
          <t>ROBERTSFORS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46104</v>
      </c>
      <c r="E391" s="1" t="n">
        <v>46286</v>
      </c>
      <c r="F391" t="inlineStr">
        <is>
          <t>VÄSTERBOTTENS LÄN</t>
        </is>
      </c>
      <c r="G391" t="inlineStr">
        <is>
          <t>ROBERTSFORS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28651-2026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46286</v>
      </c>
      <c r="F392" t="inlineStr">
        <is>
          <t>VÄSTERBOTTENS LÄN</t>
        </is>
      </c>
      <c r="G392" t="inlineStr">
        <is>
          <t>ROBERTSFORS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26368-2024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45468</v>
      </c>
      <c r="E393" s="1" t="n">
        <v>46286</v>
      </c>
      <c r="F393" t="inlineStr">
        <is>
          <t>VÄSTERBOTTENS LÄN</t>
        </is>
      </c>
      <c r="G393" t="inlineStr">
        <is>
          <t>ROBERTSFORS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15302-2026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46286</v>
      </c>
      <c r="F394" t="inlineStr">
        <is>
          <t>VÄSTERBOTTENS LÄN</t>
        </is>
      </c>
      <c r="G394" t="inlineStr">
        <is>
          <t>ROBERTSFORS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45545</v>
      </c>
      <c r="E395" s="1" t="n">
        <v>46286</v>
      </c>
      <c r="F395" t="inlineStr">
        <is>
          <t>VÄSTERBOTTENS LÄN</t>
        </is>
      </c>
      <c r="G395" t="inlineStr">
        <is>
          <t>ROBERTSFORS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45664</v>
      </c>
      <c r="E396" s="1" t="n">
        <v>46286</v>
      </c>
      <c r="F396" t="inlineStr">
        <is>
          <t>VÄSTERBOTTENS LÄN</t>
        </is>
      </c>
      <c r="G396" t="inlineStr">
        <is>
          <t>ROBERTSFORS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46286</v>
      </c>
      <c r="F397" t="inlineStr">
        <is>
          <t>VÄSTERBOTTENS LÄN</t>
        </is>
      </c>
      <c r="G397" t="inlineStr">
        <is>
          <t>ROBERTSFORS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46286</v>
      </c>
      <c r="F398" t="inlineStr">
        <is>
          <t>VÄSTERBOTTENS LÄN</t>
        </is>
      </c>
      <c r="G398" t="inlineStr">
        <is>
          <t>ROBERTSFORS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30733-2024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45496</v>
      </c>
      <c r="E399" s="1" t="n">
        <v>46286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8.6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10173-2022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44622</v>
      </c>
      <c r="E400" s="1" t="n">
        <v>46286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25572-2023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45082</v>
      </c>
      <c r="E401" s="1" t="n">
        <v>46286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60604-2024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46286</v>
      </c>
      <c r="F402" t="inlineStr">
        <is>
          <t>VÄSTERBOTTENS LÄN</t>
        </is>
      </c>
      <c r="G402" t="inlineStr">
        <is>
          <t>ROBERTSFORS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44952</v>
      </c>
      <c r="E403" s="1" t="n">
        <v>46286</v>
      </c>
      <c r="F403" t="inlineStr">
        <is>
          <t>VÄSTERBOTTENS LÄN</t>
        </is>
      </c>
      <c r="G403" t="inlineStr">
        <is>
          <t>ROBERTSFORS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46286</v>
      </c>
      <c r="F404" t="inlineStr">
        <is>
          <t>VÄSTERBOTTENS LÄN</t>
        </is>
      </c>
      <c r="G404" t="inlineStr">
        <is>
          <t>ROBERTSFORS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17765-2026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46286</v>
      </c>
      <c r="F405" t="inlineStr">
        <is>
          <t>VÄSTERBOTTENS LÄN</t>
        </is>
      </c>
      <c r="G405" t="inlineStr">
        <is>
          <t>ROBERTSFORS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46286</v>
      </c>
      <c r="F406" t="inlineStr">
        <is>
          <t>VÄSTERBOTTENS LÄN</t>
        </is>
      </c>
      <c r="G406" t="inlineStr">
        <is>
          <t>ROBERTSFORS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46126</v>
      </c>
      <c r="E407" s="1" t="n">
        <v>46286</v>
      </c>
      <c r="F407" t="inlineStr">
        <is>
          <t>VÄSTERBOTTENS LÄN</t>
        </is>
      </c>
      <c r="G407" t="inlineStr">
        <is>
          <t>ROBERTSFORS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46286</v>
      </c>
      <c r="F408" t="inlineStr">
        <is>
          <t>VÄSTERBOTTENS LÄN</t>
        </is>
      </c>
      <c r="G408" t="inlineStr">
        <is>
          <t>ROBERTSFORS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46244</v>
      </c>
      <c r="E409" s="1" t="n">
        <v>46286</v>
      </c>
      <c r="F409" t="inlineStr">
        <is>
          <t>VÄSTERBOTTENS LÄN</t>
        </is>
      </c>
      <c r="G409" t="inlineStr">
        <is>
          <t>ROBERTSFORS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46286</v>
      </c>
      <c r="F410" t="inlineStr">
        <is>
          <t>VÄSTERBOTTENS LÄN</t>
        </is>
      </c>
      <c r="G410" t="inlineStr">
        <is>
          <t>ROBERTSFORS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8256-2025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45708</v>
      </c>
      <c r="E411" s="1" t="n">
        <v>46286</v>
      </c>
      <c r="F411" t="inlineStr">
        <is>
          <t>VÄSTERBOTTENS LÄN</t>
        </is>
      </c>
      <c r="G411" t="inlineStr">
        <is>
          <t>ROBERTSFORS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46286</v>
      </c>
      <c r="F412" t="inlineStr">
        <is>
          <t>VÄSTERBOTTENS LÄN</t>
        </is>
      </c>
      <c r="G412" t="inlineStr">
        <is>
          <t>ROBERTSFORS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43547-2023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45184</v>
      </c>
      <c r="E413" s="1" t="n">
        <v>46286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46286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SCA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46286</v>
      </c>
      <c r="F415" t="inlineStr">
        <is>
          <t>VÄSTERBOTTENS LÄN</t>
        </is>
      </c>
      <c r="G415" t="inlineStr">
        <is>
          <t>ROBERTSFORS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19103-2026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46286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46286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44952</v>
      </c>
      <c r="E418" s="1" t="n">
        <v>46286</v>
      </c>
      <c r="F418" t="inlineStr">
        <is>
          <t>VÄSTERBOTTENS LÄN</t>
        </is>
      </c>
      <c r="G418" t="inlineStr">
        <is>
          <t>ROBERTSFORS</t>
        </is>
      </c>
      <c r="I418" t="n">
        <v>16.1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46286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46286</v>
      </c>
      <c r="F420" t="inlineStr">
        <is>
          <t>VÄSTERBOTTENS LÄN</t>
        </is>
      </c>
      <c r="G420" t="inlineStr">
        <is>
          <t>ROBERTSFORS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46135</v>
      </c>
      <c r="E421" s="1" t="n">
        <v>46286</v>
      </c>
      <c r="F421" t="inlineStr">
        <is>
          <t>VÄSTERBOTTENS LÄN</t>
        </is>
      </c>
      <c r="G421" t="inlineStr">
        <is>
          <t>ROBERTSFORS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46135</v>
      </c>
      <c r="E422" s="1" t="n">
        <v>46286</v>
      </c>
      <c r="F422" t="inlineStr">
        <is>
          <t>VÄSTERBOTTENS LÄN</t>
        </is>
      </c>
      <c r="G422" t="inlineStr">
        <is>
          <t>ROBERTSFORS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51873-2024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45607</v>
      </c>
      <c r="E423" s="1" t="n">
        <v>46286</v>
      </c>
      <c r="F423" t="inlineStr">
        <is>
          <t>VÄSTERBOTTENS LÄN</t>
        </is>
      </c>
      <c r="G423" t="inlineStr">
        <is>
          <t>ROBERTSFORS</t>
        </is>
      </c>
      <c r="I423" t="n">
        <v>7.6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46286</v>
      </c>
      <c r="F424" t="inlineStr">
        <is>
          <t>VÄSTERBOTTENS LÄN</t>
        </is>
      </c>
      <c r="G424" t="inlineStr">
        <is>
          <t>ROBERTSFORS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31059-2024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45502</v>
      </c>
      <c r="E425" s="1" t="n">
        <v>46286</v>
      </c>
      <c r="F425" t="inlineStr">
        <is>
          <t>VÄSTERBOTTENS LÄN</t>
        </is>
      </c>
      <c r="G425" t="inlineStr">
        <is>
          <t>ROBERTSFORS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45659</v>
      </c>
      <c r="E426" s="1" t="n">
        <v>46286</v>
      </c>
      <c r="F426" t="inlineStr">
        <is>
          <t>VÄSTERBOTTENS LÄN</t>
        </is>
      </c>
      <c r="G426" t="inlineStr">
        <is>
          <t>ROBERTSFORS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46286</v>
      </c>
      <c r="F427" t="inlineStr">
        <is>
          <t>VÄSTERBOTTENS LÄN</t>
        </is>
      </c>
      <c r="G427" t="inlineStr">
        <is>
          <t>ROBERTSFORS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43095-2023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46286</v>
      </c>
      <c r="F428" t="inlineStr">
        <is>
          <t>VÄSTERBOTTENS LÄN</t>
        </is>
      </c>
      <c r="G428" t="inlineStr">
        <is>
          <t>ROBERTSFORS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46286</v>
      </c>
      <c r="F429" t="inlineStr">
        <is>
          <t>VÄSTERBOTTENS LÄN</t>
        </is>
      </c>
      <c r="G429" t="inlineStr">
        <is>
          <t>ROBERTSFORS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58030-2024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45631</v>
      </c>
      <c r="E430" s="1" t="n">
        <v>46286</v>
      </c>
      <c r="F430" t="inlineStr">
        <is>
          <t>VÄSTERBOTTENS LÄN</t>
        </is>
      </c>
      <c r="G430" t="inlineStr">
        <is>
          <t>ROBERTSFORS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45145</v>
      </c>
      <c r="E431" s="1" t="n">
        <v>46286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45135</v>
      </c>
      <c r="E432" s="1" t="n">
        <v>46286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46286</v>
      </c>
      <c r="F433" t="inlineStr">
        <is>
          <t>VÄSTERBOTTENS LÄN</t>
        </is>
      </c>
      <c r="G433" t="inlineStr">
        <is>
          <t>ROBERTSFORS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29958-2026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46286</v>
      </c>
      <c r="F434" t="inlineStr">
        <is>
          <t>VÄSTERBOTTENS LÄN</t>
        </is>
      </c>
      <c r="G434" t="inlineStr">
        <is>
          <t>ROBERTSFORS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46286</v>
      </c>
      <c r="F435" t="inlineStr">
        <is>
          <t>VÄSTERBOTTENS LÄN</t>
        </is>
      </c>
      <c r="G435" t="inlineStr">
        <is>
          <t>ROBERTSFORS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59051-2024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46286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46286</v>
      </c>
      <c r="F437" t="inlineStr">
        <is>
          <t>VÄSTERBOTTENS LÄN</t>
        </is>
      </c>
      <c r="G437" t="inlineStr">
        <is>
          <t>ROBERTSFORS</t>
        </is>
      </c>
      <c r="I437" t="n">
        <v>11.5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17848-2022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44683</v>
      </c>
      <c r="E438" s="1" t="n">
        <v>46286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46286</v>
      </c>
      <c r="F439" t="inlineStr">
        <is>
          <t>VÄSTERBOTTENS LÄN</t>
        </is>
      </c>
      <c r="G439" t="inlineStr">
        <is>
          <t>ROBERTSFORS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46286</v>
      </c>
      <c r="F440" t="inlineStr">
        <is>
          <t>VÄSTERBOTTENS LÄN</t>
        </is>
      </c>
      <c r="G440" t="inlineStr">
        <is>
          <t>ROBERTSFORS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44588</v>
      </c>
      <c r="E441" s="1" t="n">
        <v>46286</v>
      </c>
      <c r="F441" t="inlineStr">
        <is>
          <t>VÄSTERBOTTENS LÄN</t>
        </is>
      </c>
      <c r="G441" t="inlineStr">
        <is>
          <t>ROBERTSFORS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46254</v>
      </c>
      <c r="E442" s="1" t="n">
        <v>46286</v>
      </c>
      <c r="F442" t="inlineStr">
        <is>
          <t>VÄSTERBOTTENS LÄN</t>
        </is>
      </c>
      <c r="G442" t="inlineStr">
        <is>
          <t>ROBERTSFORS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46255</v>
      </c>
      <c r="E443" s="1" t="n">
        <v>46286</v>
      </c>
      <c r="F443" t="inlineStr">
        <is>
          <t>VÄSTERBOTTENS LÄN</t>
        </is>
      </c>
      <c r="G443" t="inlineStr">
        <is>
          <t>ROBERTSFORS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46286</v>
      </c>
      <c r="F444" t="inlineStr">
        <is>
          <t>VÄSTERBOTTENS LÄN</t>
        </is>
      </c>
      <c r="G444" t="inlineStr">
        <is>
          <t>ROBERTSFORS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46286</v>
      </c>
      <c r="F445" t="inlineStr">
        <is>
          <t>VÄSTERBOTTENS LÄN</t>
        </is>
      </c>
      <c r="G445" t="inlineStr">
        <is>
          <t>ROBERTSFORS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34434-2024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45525</v>
      </c>
      <c r="E446" s="1" t="n">
        <v>46286</v>
      </c>
      <c r="F446" t="inlineStr">
        <is>
          <t>VÄSTERBOTTENS LÄN</t>
        </is>
      </c>
      <c r="G446" t="inlineStr">
        <is>
          <t>ROBERTSFORS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35011-2026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46259</v>
      </c>
      <c r="E447" s="1" t="n">
        <v>46286</v>
      </c>
      <c r="F447" t="inlineStr">
        <is>
          <t>VÄSTERBOTTENS LÄN</t>
        </is>
      </c>
      <c r="G447" t="inlineStr">
        <is>
          <t>ROBERTSFORS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45692</v>
      </c>
      <c r="E448" s="1" t="n">
        <v>46286</v>
      </c>
      <c r="F448" t="inlineStr">
        <is>
          <t>VÄSTERBOTTENS LÄN</t>
        </is>
      </c>
      <c r="G448" t="inlineStr">
        <is>
          <t>ROBERTSFORS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46286</v>
      </c>
      <c r="F449" t="inlineStr">
        <is>
          <t>VÄSTERBOTTENS LÄN</t>
        </is>
      </c>
      <c r="G449" t="inlineStr">
        <is>
          <t>ROBERTSFORS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34808-2026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46286</v>
      </c>
      <c r="F450" t="inlineStr">
        <is>
          <t>VÄSTERBOTTENS LÄN</t>
        </is>
      </c>
      <c r="G450" t="inlineStr">
        <is>
          <t>ROBERTSFORS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45671</v>
      </c>
      <c r="E451" s="1" t="n">
        <v>46286</v>
      </c>
      <c r="F451" t="inlineStr">
        <is>
          <t>VÄSTERBOTTENS LÄN</t>
        </is>
      </c>
      <c r="G451" t="inlineStr">
        <is>
          <t>ROBERTSFORS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35276-2026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46286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21.2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73557-2021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44551</v>
      </c>
      <c r="E453" s="1" t="n">
        <v>46286</v>
      </c>
      <c r="F453" t="inlineStr">
        <is>
          <t>VÄSTERBOTTENS LÄN</t>
        </is>
      </c>
      <c r="G453" t="inlineStr">
        <is>
          <t>ROBERTSFORS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46286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25575-2022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44732</v>
      </c>
      <c r="E455" s="1" t="n">
        <v>46286</v>
      </c>
      <c r="F455" t="inlineStr">
        <is>
          <t>VÄSTERBOTTENS LÄN</t>
        </is>
      </c>
      <c r="G455" t="inlineStr">
        <is>
          <t>ROBERTSFORS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44811</v>
      </c>
      <c r="E456" s="1" t="n">
        <v>46286</v>
      </c>
      <c r="F456" t="inlineStr">
        <is>
          <t>VÄSTERBOTTENS LÄN</t>
        </is>
      </c>
      <c r="G456" t="inlineStr">
        <is>
          <t>ROBERTSFORS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20519-2022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44699</v>
      </c>
      <c r="E457" s="1" t="n">
        <v>46286</v>
      </c>
      <c r="F457" t="inlineStr">
        <is>
          <t>VÄSTERBOTTENS LÄN</t>
        </is>
      </c>
      <c r="G457" t="inlineStr">
        <is>
          <t>ROBERTSFORS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59833-2022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44901</v>
      </c>
      <c r="E458" s="1" t="n">
        <v>46286</v>
      </c>
      <c r="F458" t="inlineStr">
        <is>
          <t>VÄSTERBOTTENS LÄN</t>
        </is>
      </c>
      <c r="G458" t="inlineStr">
        <is>
          <t>ROBERTSFORS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45005</v>
      </c>
      <c r="E459" s="1" t="n">
        <v>46286</v>
      </c>
      <c r="F459" t="inlineStr">
        <is>
          <t>VÄSTERBOTTENS LÄN</t>
        </is>
      </c>
      <c r="G459" t="inlineStr">
        <is>
          <t>ROBERTSFORS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35787-2023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45148</v>
      </c>
      <c r="E460" s="1" t="n">
        <v>46286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46286</v>
      </c>
      <c r="F461" t="inlineStr">
        <is>
          <t>VÄSTERBOTTENS LÄN</t>
        </is>
      </c>
      <c r="G461" t="inlineStr">
        <is>
          <t>ROBERTSFORS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35583-2026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46262</v>
      </c>
      <c r="E462" s="1" t="n">
        <v>46286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45670</v>
      </c>
      <c r="E463" s="1" t="n">
        <v>46286</v>
      </c>
      <c r="F463" t="inlineStr">
        <is>
          <t>VÄSTERBOTTENS LÄN</t>
        </is>
      </c>
      <c r="G463" t="inlineStr">
        <is>
          <t>ROBERTSFORS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45687</v>
      </c>
      <c r="E464" s="1" t="n">
        <v>46286</v>
      </c>
      <c r="F464" t="inlineStr">
        <is>
          <t>VÄSTERBOTTENS LÄN</t>
        </is>
      </c>
      <c r="G464" t="inlineStr">
        <is>
          <t>ROBERTSFORS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35896-2026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46286</v>
      </c>
      <c r="F465" t="inlineStr">
        <is>
          <t>VÄSTERBOTTENS LÄN</t>
        </is>
      </c>
      <c r="G465" t="inlineStr">
        <is>
          <t>ROBERTSFORS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46225</v>
      </c>
      <c r="E466" s="1" t="n">
        <v>46286</v>
      </c>
      <c r="F466" t="inlineStr">
        <is>
          <t>VÄSTERBOTTENS LÄN</t>
        </is>
      </c>
      <c r="G466" t="inlineStr">
        <is>
          <t>ROBERTSFORS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46225</v>
      </c>
      <c r="E467" s="1" t="n">
        <v>46286</v>
      </c>
      <c r="F467" t="inlineStr">
        <is>
          <t>VÄSTERBOTTENS LÄN</t>
        </is>
      </c>
      <c r="G467" t="inlineStr">
        <is>
          <t>ROBERTSFORS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46225</v>
      </c>
      <c r="E468" s="1" t="n">
        <v>46286</v>
      </c>
      <c r="F468" t="inlineStr">
        <is>
          <t>VÄSTERBOTTENS LÄN</t>
        </is>
      </c>
      <c r="G468" t="inlineStr">
        <is>
          <t>ROBERTSFORS</t>
        </is>
      </c>
      <c r="I468" t="n">
        <v>10.4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35859-2026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46266</v>
      </c>
      <c r="E469" s="1" t="n">
        <v>46286</v>
      </c>
      <c r="F469" t="inlineStr">
        <is>
          <t>VÄSTERBOTTENS LÄN</t>
        </is>
      </c>
      <c r="G469" t="inlineStr">
        <is>
          <t>ROBERTSFORS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45701</v>
      </c>
      <c r="E470" s="1" t="n">
        <v>46286</v>
      </c>
      <c r="F470" t="inlineStr">
        <is>
          <t>VÄSTERBOTTENS LÄN</t>
        </is>
      </c>
      <c r="G470" t="inlineStr">
        <is>
          <t>ROBERTSFORS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46269</v>
      </c>
      <c r="E471" s="1" t="n">
        <v>46286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46286</v>
      </c>
      <c r="F472" t="inlineStr">
        <is>
          <t>VÄSTERBOTTENS LÄN</t>
        </is>
      </c>
      <c r="G472" t="inlineStr">
        <is>
          <t>ROBERTSFORS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36523-2026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46269</v>
      </c>
      <c r="E473" s="1" t="n">
        <v>46286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45161</v>
      </c>
      <c r="E474" s="1" t="n">
        <v>46286</v>
      </c>
      <c r="F474" t="inlineStr">
        <is>
          <t>VÄSTERBOTTENS LÄN</t>
        </is>
      </c>
      <c r="G474" t="inlineStr">
        <is>
          <t>ROBERTSFORS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58582-2023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46286</v>
      </c>
      <c r="F475" t="inlineStr">
        <is>
          <t>VÄSTERBOTTENS LÄN</t>
        </is>
      </c>
      <c r="G475" t="inlineStr">
        <is>
          <t>ROBERTSFORS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58579-2023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45246</v>
      </c>
      <c r="E476" s="1" t="n">
        <v>46286</v>
      </c>
      <c r="F476" t="inlineStr">
        <is>
          <t>VÄSTERBOTTENS LÄN</t>
        </is>
      </c>
      <c r="G476" t="inlineStr">
        <is>
          <t>ROBERTSFORS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38083-2023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46286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45644</v>
      </c>
      <c r="E478" s="1" t="n">
        <v>46286</v>
      </c>
      <c r="F478" t="inlineStr">
        <is>
          <t>VÄSTERBOTTENS LÄN</t>
        </is>
      </c>
      <c r="G478" t="inlineStr">
        <is>
          <t>ROBERTSFORS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57008-2024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45628</v>
      </c>
      <c r="E479" s="1" t="n">
        <v>46286</v>
      </c>
      <c r="F479" t="inlineStr">
        <is>
          <t>VÄSTERBOTTENS LÄN</t>
        </is>
      </c>
      <c r="G479" t="inlineStr">
        <is>
          <t>ROBERTSFORS</t>
        </is>
      </c>
      <c r="I479" t="n">
        <v>12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36500-2026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46269</v>
      </c>
      <c r="E480" s="1" t="n">
        <v>46286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46286</v>
      </c>
      <c r="F481" t="inlineStr">
        <is>
          <t>VÄSTERBOTTENS LÄN</t>
        </is>
      </c>
      <c r="G481" t="inlineStr">
        <is>
          <t>ROBERTSFORS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36381-2026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46268</v>
      </c>
      <c r="E482" s="1" t="n">
        <v>46286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Sveaskog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46230</v>
      </c>
      <c r="E483" s="1" t="n">
        <v>46286</v>
      </c>
      <c r="F483" t="inlineStr">
        <is>
          <t>VÄSTERBOTTENS LÄN</t>
        </is>
      </c>
      <c r="G483" t="inlineStr">
        <is>
          <t>ROBERTSFORS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36473-2026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46269</v>
      </c>
      <c r="E484" s="1" t="n">
        <v>46286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Sveaskog</t>
        </is>
      </c>
      <c r="I484" t="n">
        <v>13.5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46269</v>
      </c>
      <c r="E485" s="1" t="n">
        <v>46286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Sveaskog</t>
        </is>
      </c>
      <c r="I485" t="n">
        <v>12.7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46286</v>
      </c>
      <c r="F486" t="inlineStr">
        <is>
          <t>VÄSTERBOTTENS LÄN</t>
        </is>
      </c>
      <c r="G486" t="inlineStr">
        <is>
          <t>ROBERTSFORS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46279</v>
      </c>
      <c r="E487" s="1" t="n">
        <v>46286</v>
      </c>
      <c r="F487" t="inlineStr">
        <is>
          <t>VÄSTERBOTTENS LÄN</t>
        </is>
      </c>
      <c r="G487" t="inlineStr">
        <is>
          <t>ROBERTSFORS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46286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46276</v>
      </c>
      <c r="E489" s="1" t="n">
        <v>46286</v>
      </c>
      <c r="F489" t="inlineStr">
        <is>
          <t>VÄSTERBOTTENS LÄN</t>
        </is>
      </c>
      <c r="G489" t="inlineStr">
        <is>
          <t>ROBERTSFORS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46286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46279</v>
      </c>
      <c r="E491" s="1" t="n">
        <v>46286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37609-2026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46276</v>
      </c>
      <c r="E492" s="1" t="n">
        <v>46286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38005-2026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46280</v>
      </c>
      <c r="E493" s="1" t="n">
        <v>46286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30643-2024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45495</v>
      </c>
      <c r="E494" s="1" t="n">
        <v>46286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46286</v>
      </c>
      <c r="F495" t="inlineStr">
        <is>
          <t>VÄSTERBOTTENS LÄN</t>
        </is>
      </c>
      <c r="G495" t="inlineStr">
        <is>
          <t>ROBERTSFORS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44372-2023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45188</v>
      </c>
      <c r="E496" s="1" t="n">
        <v>46286</v>
      </c>
      <c r="F496" t="inlineStr">
        <is>
          <t>VÄSTERBOTTENS LÄN</t>
        </is>
      </c>
      <c r="G496" t="inlineStr">
        <is>
          <t>ROBERTSFORS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46280</v>
      </c>
      <c r="E497" s="1" t="n">
        <v>46286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32513-2026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46239</v>
      </c>
      <c r="E498" s="1" t="n">
        <v>46286</v>
      </c>
      <c r="F498" t="inlineStr">
        <is>
          <t>VÄSTERBOTTENS LÄN</t>
        </is>
      </c>
      <c r="G498" t="inlineStr">
        <is>
          <t>ROBERTSFORS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46286</v>
      </c>
      <c r="F499" t="inlineStr">
        <is>
          <t>VÄSTERBOTTENS LÄN</t>
        </is>
      </c>
      <c r="G499" t="inlineStr">
        <is>
          <t>ROBERTSFORS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46286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46286</v>
      </c>
      <c r="F501" t="inlineStr">
        <is>
          <t>VÄSTERBOTTENS LÄN</t>
        </is>
      </c>
      <c r="G501" t="inlineStr">
        <is>
          <t>ROBERTSFORS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46240</v>
      </c>
      <c r="E502" s="1" t="n">
        <v>46286</v>
      </c>
      <c r="F502" t="inlineStr">
        <is>
          <t>VÄSTERBOTTENS LÄN</t>
        </is>
      </c>
      <c r="G502" t="inlineStr">
        <is>
          <t>ROBERTSFORS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46286</v>
      </c>
      <c r="F503" t="inlineStr">
        <is>
          <t>VÄSTERBOTTENS LÄN</t>
        </is>
      </c>
      <c r="G503" t="inlineStr">
        <is>
          <t>ROBERTSFORS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32476-2026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46239</v>
      </c>
      <c r="E504" s="1" t="n">
        <v>46286</v>
      </c>
      <c r="F504" t="inlineStr">
        <is>
          <t>VÄSTERBOTTENS LÄN</t>
        </is>
      </c>
      <c r="G504" t="inlineStr">
        <is>
          <t>ROBERTSFORS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46282</v>
      </c>
      <c r="E505" s="1" t="n">
        <v>46286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46286</v>
      </c>
      <c r="F506" t="inlineStr">
        <is>
          <t>VÄSTERBOTTENS LÄN</t>
        </is>
      </c>
      <c r="G506" t="inlineStr">
        <is>
          <t>ROBERTSFORS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23961-2025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45794</v>
      </c>
      <c r="E507" s="1" t="n">
        <v>46286</v>
      </c>
      <c r="F507" t="inlineStr">
        <is>
          <t>VÄSTERBOTTENS LÄN</t>
        </is>
      </c>
      <c r="G507" t="inlineStr">
        <is>
          <t>ROBERTSFORS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46286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45761</v>
      </c>
      <c r="E509" s="1" t="n">
        <v>46286</v>
      </c>
      <c r="F509" t="inlineStr">
        <is>
          <t>VÄSTERBOTTENS LÄN</t>
        </is>
      </c>
      <c r="G509" t="inlineStr">
        <is>
          <t>ROBERTSFORS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46282</v>
      </c>
      <c r="E510" s="1" t="n">
        <v>46286</v>
      </c>
      <c r="F510" t="inlineStr">
        <is>
          <t>VÄSTERBOTTENS LÄN</t>
        </is>
      </c>
      <c r="G510" t="inlineStr">
        <is>
          <t>ROBERTSFORS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46286</v>
      </c>
      <c r="F511" t="inlineStr">
        <is>
          <t>VÄSTERBOTTENS LÄN</t>
        </is>
      </c>
      <c r="G511" t="inlineStr">
        <is>
          <t>ROBERTSFORS</t>
        </is>
      </c>
      <c r="I511" t="n">
        <v>11.3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46283</v>
      </c>
      <c r="E512" s="1" t="n">
        <v>46286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8.300000000000001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32594-2026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46240</v>
      </c>
      <c r="E513" s="1" t="n">
        <v>46286</v>
      </c>
      <c r="F513" t="inlineStr">
        <is>
          <t>VÄSTERBOTTENS LÄN</t>
        </is>
      </c>
      <c r="G513" t="inlineStr">
        <is>
          <t>ROBERTSFORS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25373-2025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46286</v>
      </c>
      <c r="F514" t="inlineStr">
        <is>
          <t>VÄSTERBOTTENS LÄN</t>
        </is>
      </c>
      <c r="G514" t="inlineStr">
        <is>
          <t>ROBERTSFORS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46240</v>
      </c>
      <c r="E515" s="1" t="n">
        <v>46286</v>
      </c>
      <c r="F515" t="inlineStr">
        <is>
          <t>VÄSTERBOTTENS LÄN</t>
        </is>
      </c>
      <c r="G515" t="inlineStr">
        <is>
          <t>ROBERTSFORS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25333-2025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45800</v>
      </c>
      <c r="E516" s="1" t="n">
        <v>46286</v>
      </c>
      <c r="F516" t="inlineStr">
        <is>
          <t>VÄSTERBOTTENS LÄN</t>
        </is>
      </c>
      <c r="G516" t="inlineStr">
        <is>
          <t>ROBERTSFORS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45803</v>
      </c>
      <c r="E517" s="1" t="n">
        <v>46286</v>
      </c>
      <c r="F517" t="inlineStr">
        <is>
          <t>VÄSTERBOTTENS LÄN</t>
        </is>
      </c>
      <c r="G517" t="inlineStr">
        <is>
          <t>ROBERTSFORS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45803</v>
      </c>
      <c r="E518" s="1" t="n">
        <v>46286</v>
      </c>
      <c r="F518" t="inlineStr">
        <is>
          <t>VÄSTERBOTTENS LÄN</t>
        </is>
      </c>
      <c r="G518" t="inlineStr">
        <is>
          <t>ROBERTSFORS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45687</v>
      </c>
      <c r="E519" s="1" t="n">
        <v>46286</v>
      </c>
      <c r="F519" t="inlineStr">
        <is>
          <t>VÄSTERBOTTENS LÄN</t>
        </is>
      </c>
      <c r="G519" t="inlineStr">
        <is>
          <t>ROBERTSFORS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26984-2025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45811</v>
      </c>
      <c r="E520" s="1" t="n">
        <v>46286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12.7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45636</v>
      </c>
      <c r="E521" s="1" t="n">
        <v>46286</v>
      </c>
      <c r="F521" t="inlineStr">
        <is>
          <t>VÄSTERBOTTENS LÄN</t>
        </is>
      </c>
      <c r="G521" t="inlineStr">
        <is>
          <t>ROBERTSFORS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45813</v>
      </c>
      <c r="E522" s="1" t="n">
        <v>46286</v>
      </c>
      <c r="F522" t="inlineStr">
        <is>
          <t>VÄSTERBOTTENS LÄN</t>
        </is>
      </c>
      <c r="G522" t="inlineStr">
        <is>
          <t>ROBERTSFORS</t>
        </is>
      </c>
      <c r="I522" t="n">
        <v>7.6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28330-2025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45818</v>
      </c>
      <c r="E523" s="1" t="n">
        <v>46286</v>
      </c>
      <c r="F523" t="inlineStr">
        <is>
          <t>VÄSTERBOTTENS LÄN</t>
        </is>
      </c>
      <c r="G523" t="inlineStr">
        <is>
          <t>ROBERTSFORS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30790-2025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46286</v>
      </c>
      <c r="F524" t="inlineStr">
        <is>
          <t>VÄSTERBOTTENS LÄN</t>
        </is>
      </c>
      <c r="G524" t="inlineStr">
        <is>
          <t>ROBERTSFORS</t>
        </is>
      </c>
      <c r="I524" t="n">
        <v>8.800000000000001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31110-2025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45832</v>
      </c>
      <c r="E525" s="1" t="n">
        <v>46286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32820-2025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45839</v>
      </c>
      <c r="E526" s="1" t="n">
        <v>46286</v>
      </c>
      <c r="F526" t="inlineStr">
        <is>
          <t>VÄSTERBOTTENS LÄN</t>
        </is>
      </c>
      <c r="G526" t="inlineStr">
        <is>
          <t>ROBERTSFORS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27557-2024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45474</v>
      </c>
      <c r="E527" s="1" t="n">
        <v>46286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32828-2025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45839</v>
      </c>
      <c r="E528" s="1" t="n">
        <v>46286</v>
      </c>
      <c r="F528" t="inlineStr">
        <is>
          <t>VÄSTERBOTTENS LÄN</t>
        </is>
      </c>
      <c r="G528" t="inlineStr">
        <is>
          <t>ROBERTSFORS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46286</v>
      </c>
      <c r="F529" t="inlineStr">
        <is>
          <t>VÄSTERBOTTENS LÄN</t>
        </is>
      </c>
      <c r="G529" t="inlineStr">
        <is>
          <t>ROBERTSFORS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45839</v>
      </c>
      <c r="E530" s="1" t="n">
        <v>46286</v>
      </c>
      <c r="F530" t="inlineStr">
        <is>
          <t>VÄSTERBOTTENS LÄN</t>
        </is>
      </c>
      <c r="G530" t="inlineStr">
        <is>
          <t>ROBERTSFORS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32823-2025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45839</v>
      </c>
      <c r="E531" s="1" t="n">
        <v>46286</v>
      </c>
      <c r="F531" t="inlineStr">
        <is>
          <t>VÄSTERBOTTENS LÄN</t>
        </is>
      </c>
      <c r="G531" t="inlineStr">
        <is>
          <t>ROBERTSFORS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32826-2025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45839</v>
      </c>
      <c r="E532" s="1" t="n">
        <v>46286</v>
      </c>
      <c r="F532" t="inlineStr">
        <is>
          <t>VÄSTERBOTTENS LÄN</t>
        </is>
      </c>
      <c r="G532" t="inlineStr">
        <is>
          <t>ROBERTSFORS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33368-2025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45841</v>
      </c>
      <c r="E533" s="1" t="n">
        <v>46286</v>
      </c>
      <c r="F533" t="inlineStr">
        <is>
          <t>VÄSTERBOTTENS LÄN</t>
        </is>
      </c>
      <c r="G533" t="inlineStr">
        <is>
          <t>ROBERTSFORS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33375-2025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45841</v>
      </c>
      <c r="E534" s="1" t="n">
        <v>46286</v>
      </c>
      <c r="F534" t="inlineStr">
        <is>
          <t>VÄSTERBOTTENS LÄN</t>
        </is>
      </c>
      <c r="G534" t="inlineStr">
        <is>
          <t>ROBERTSFORS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35565-2025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45856</v>
      </c>
      <c r="E535" s="1" t="n">
        <v>46286</v>
      </c>
      <c r="F535" t="inlineStr">
        <is>
          <t>VÄSTERBOTTENS LÄN</t>
        </is>
      </c>
      <c r="G535" t="inlineStr">
        <is>
          <t>ROBERTSFORS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35543-2025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46286</v>
      </c>
      <c r="F536" t="inlineStr">
        <is>
          <t>VÄSTERBOTTENS LÄN</t>
        </is>
      </c>
      <c r="G536" t="inlineStr">
        <is>
          <t>ROBERTSFORS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45856</v>
      </c>
      <c r="E537" s="1" t="n">
        <v>46286</v>
      </c>
      <c r="F537" t="inlineStr">
        <is>
          <t>VÄSTERBOTTENS LÄN</t>
        </is>
      </c>
      <c r="G537" t="inlineStr">
        <is>
          <t>ROBERTSFORS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22782-2025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45789</v>
      </c>
      <c r="E538" s="1" t="n">
        <v>46286</v>
      </c>
      <c r="F538" t="inlineStr">
        <is>
          <t>VÄSTERBOTTENS LÄN</t>
        </is>
      </c>
      <c r="G538" t="inlineStr">
        <is>
          <t>ROBERTSFORS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36594-2025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45870</v>
      </c>
      <c r="E539" s="1" t="n">
        <v>46286</v>
      </c>
      <c r="F539" t="inlineStr">
        <is>
          <t>VÄSTERBOTTENS LÄN</t>
        </is>
      </c>
      <c r="G539" t="inlineStr">
        <is>
          <t>ROBERTSFORS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36818-2025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45873</v>
      </c>
      <c r="E540" s="1" t="n">
        <v>46286</v>
      </c>
      <c r="F540" t="inlineStr">
        <is>
          <t>VÄSTERBOTTENS LÄN</t>
        </is>
      </c>
      <c r="G540" t="inlineStr">
        <is>
          <t>ROBERTSFORS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2849-2022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44707</v>
      </c>
      <c r="E541" s="1" t="n">
        <v>46286</v>
      </c>
      <c r="F541" t="inlineStr">
        <is>
          <t>VÄSTERBOTTENS LÄN</t>
        </is>
      </c>
      <c r="G541" t="inlineStr">
        <is>
          <t>ROBERTSFORS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8592-2021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44501</v>
      </c>
      <c r="E542" s="1" t="n">
        <v>46286</v>
      </c>
      <c r="F542" t="inlineStr">
        <is>
          <t>VÄSTERBOTTENS LÄN</t>
        </is>
      </c>
      <c r="G542" t="inlineStr">
        <is>
          <t>ROBERTSFORS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1034-2025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45747</v>
      </c>
      <c r="E543" s="1" t="n">
        <v>46286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Sveaskog</t>
        </is>
      </c>
      <c r="I543" t="n">
        <v>14.9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1249-2025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45762</v>
      </c>
      <c r="E544" s="1" t="n">
        <v>46286</v>
      </c>
      <c r="F544" t="inlineStr">
        <is>
          <t>VÄSTERBOTTENS LÄN</t>
        </is>
      </c>
      <c r="G544" t="inlineStr">
        <is>
          <t>ROBERTSFORS</t>
        </is>
      </c>
      <c r="H544" t="inlineStr">
        <is>
          <t>Holmen skog AB</t>
        </is>
      </c>
      <c r="I544" t="n">
        <v>175.8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702-2026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46092</v>
      </c>
      <c r="E545" s="1" t="n">
        <v>46286</v>
      </c>
      <c r="F545" t="inlineStr">
        <is>
          <t>VÄSTERBOTTENS LÄN</t>
        </is>
      </c>
      <c r="G545" t="inlineStr">
        <is>
          <t>ROBERTSFORS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1273-2026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46147</v>
      </c>
      <c r="E546" s="1" t="n">
        <v>46286</v>
      </c>
      <c r="F546" t="inlineStr">
        <is>
          <t>VÄSTERBOTTENS LÄN</t>
        </is>
      </c>
      <c r="G546" t="inlineStr">
        <is>
          <t>ROBERTSFORS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1322-2026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46149</v>
      </c>
      <c r="E547" s="1" t="n">
        <v>46286</v>
      </c>
      <c r="F547" t="inlineStr">
        <is>
          <t>VÄSTERBOTTENS LÄN</t>
        </is>
      </c>
      <c r="G547" t="inlineStr">
        <is>
          <t>ROBERTSFORS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1416-2026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46155</v>
      </c>
      <c r="E548" s="1" t="n">
        <v>46286</v>
      </c>
      <c r="F548" t="inlineStr">
        <is>
          <t>VÄSTERBOTTENS LÄN</t>
        </is>
      </c>
      <c r="G548" t="inlineStr">
        <is>
          <t>ROBERTSFORS</t>
        </is>
      </c>
      <c r="I548" t="n">
        <v>32.7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2026-09-21T02:03:35Z</dcterms:created>
  <dcterms:modified xmlns:dcterms="http://purl.org/dc/terms/" xmlns:xsi="http://www.w3.org/2001/XMLSchema-instance" xsi:type="dcterms:W3CDTF">2026-09-21T02:03:35Z</dcterms:modified>
</cp:coreProperties>
</file>