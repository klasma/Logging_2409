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46304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46304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46304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46304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46304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46304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46304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46304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46304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46304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46304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34727-2025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45848</v>
      </c>
      <c r="E17" s="1" t="n">
        <v>46304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4.3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Talltita
Ullticka
Spindelblomster</t>
        </is>
      </c>
      <c r="W17">
        <f>HYPERLINK("https://klasma.github.io/Logging_2409/artfynd/A 34727-2025 artfynd.xlsx", "A 34727-2025")</f>
        <v/>
      </c>
      <c r="X17">
        <f>HYPERLINK("https://klasma.github.io/Logging_2409/kartor/A 34727-2025 karta.png", "A 34727-2025")</f>
        <v/>
      </c>
      <c r="Y17">
        <f>HYPERLINK("https://klasma.github.io/Logging_2409/kartor_geotiff/A 34727-2025 georefererad karta.tif", "A 34727-2025")</f>
        <v/>
      </c>
      <c r="AA17">
        <f>HYPERLINK("https://klasma.github.io/Logging_2409/klagomål/A 34727-2025 FSC-klagomål.docx", "A 34727-2025")</f>
        <v/>
      </c>
      <c r="AB17">
        <f>HYPERLINK("https://klasma.github.io/Logging_2409/klagomålsmail/A 34727-2025 FSC-klagomål mail.docx", "A 34727-2025")</f>
        <v/>
      </c>
      <c r="AC17">
        <f>HYPERLINK("https://klasma.github.io/Logging_2409/tillsyn/A 34727-2025 tillsynsbegäran.docx", "A 34727-2025")</f>
        <v/>
      </c>
      <c r="AD17">
        <f>HYPERLINK("https://klasma.github.io/Logging_2409/tillsynsmail/A 34727-2025 tillsynsbegäran mail.docx", "A 34727-2025")</f>
        <v/>
      </c>
      <c r="AE17">
        <f>HYPERLINK("https://klasma.github.io/Logging_2409/fåglar/A 34727-2025 prioriterade fågelarter.docx", "A 34727-2025")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46304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46304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46304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46304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46304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46304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46304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26204-2024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46304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3.9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8</v>
      </c>
      <c r="U26" t="n">
        <v>8</v>
      </c>
      <c r="V26" s="2" t="inlineStr">
        <is>
          <t>Tjäder
Orre</t>
        </is>
      </c>
      <c r="W26">
        <f>HYPERLINK("https://klasma.github.io/Logging_2409/artfynd/A 26204-2024 artfynd.xlsx", "A 26204-2024")</f>
        <v/>
      </c>
      <c r="X26">
        <f>HYPERLINK("https://klasma.github.io/Logging_2409/kartor/A 26204-2024 karta.png", "A 26204-2024")</f>
        <v/>
      </c>
      <c r="Y26">
        <f>HYPERLINK("https://klasma.github.io/Logging_2409/kartor_geotiff/A 26204-2024 georefererad karta.tif", "A 26204-2024")</f>
        <v/>
      </c>
      <c r="AA26">
        <f>HYPERLINK("https://klasma.github.io/Logging_2409/klagomål/A 26204-2024 FSC-klagomål.docx", "A 26204-2024")</f>
        <v/>
      </c>
      <c r="AB26">
        <f>HYPERLINK("https://klasma.github.io/Logging_2409/klagomålsmail/A 26204-2024 FSC-klagomål mail.docx", "A 26204-2024")</f>
        <v/>
      </c>
      <c r="AC26">
        <f>HYPERLINK("https://klasma.github.io/Logging_2409/tillsyn/A 26204-2024 tillsynsbegäran.docx", "A 26204-2024")</f>
        <v/>
      </c>
      <c r="AD26">
        <f>HYPERLINK("https://klasma.github.io/Logging_2409/tillsynsmail/A 26204-2024 tillsynsbegäran mail.docx", "A 26204-2024")</f>
        <v/>
      </c>
      <c r="AE26">
        <f>HYPERLINK("https://klasma.github.io/Logging_2409/fåglar/A 26204-2024 prioriterade fågelarter.docx", "A 26204-2024")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46304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46304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46304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46304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46304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46304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43094-2023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46304</v>
      </c>
      <c r="F33" t="inlineStr">
        <is>
          <t>VÄSTERBOTTENS LÄN</t>
        </is>
      </c>
      <c r="G33" t="inlineStr">
        <is>
          <t>ROBERTSFORS</t>
        </is>
      </c>
      <c r="I33" t="n">
        <v>7.7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flugsnappare
Ärtsångare</t>
        </is>
      </c>
      <c r="W33">
        <f>HYPERLINK("https://klasma.github.io/Logging_2409/artfynd/A 43094-2023 artfynd.xlsx", "A 43094-2023")</f>
        <v/>
      </c>
      <c r="X33">
        <f>HYPERLINK("https://klasma.github.io/Logging_2409/kartor/A 43094-2023 karta.png", "A 43094-2023")</f>
        <v/>
      </c>
      <c r="Y33">
        <f>HYPERLINK("https://klasma.github.io/Logging_2409/kartor_geotiff/A 43094-2023 georefererad karta.tif", "A 43094-2023")</f>
        <v/>
      </c>
      <c r="AA33">
        <f>HYPERLINK("https://klasma.github.io/Logging_2409/klagomål/A 43094-2023 FSC-klagomål.docx", "A 43094-2023")</f>
        <v/>
      </c>
      <c r="AB33">
        <f>HYPERLINK("https://klasma.github.io/Logging_2409/klagomålsmail/A 43094-2023 FSC-klagomål mail.docx", "A 43094-2023")</f>
        <v/>
      </c>
      <c r="AC33">
        <f>HYPERLINK("https://klasma.github.io/Logging_2409/tillsyn/A 43094-2023 tillsynsbegäran.docx", "A 43094-2023")</f>
        <v/>
      </c>
      <c r="AD33">
        <f>HYPERLINK("https://klasma.github.io/Logging_2409/tillsynsmail/A 43094-2023 tillsynsbegäran mail.docx", "A 43094-2023")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46304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43097-2023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46304</v>
      </c>
      <c r="F35" t="inlineStr">
        <is>
          <t>VÄSTERBOTTENS LÄN</t>
        </is>
      </c>
      <c r="G35" t="inlineStr">
        <is>
          <t>ROBERTSFORS</t>
        </is>
      </c>
      <c r="I35" t="n">
        <v>3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Talltita</t>
        </is>
      </c>
      <c r="W35">
        <f>HYPERLINK("https://klasma.github.io/Logging_2409/artfynd/A 43097-2023 artfynd.xlsx", "A 43097-2023")</f>
        <v/>
      </c>
      <c r="X35">
        <f>HYPERLINK("https://klasma.github.io/Logging_2409/kartor/A 43097-2023 karta.png", "A 43097-2023")</f>
        <v/>
      </c>
      <c r="Y35">
        <f>HYPERLINK("https://klasma.github.io/Logging_2409/kartor_geotiff/A 43097-2023 georefererad karta.tif", "A 43097-2023")</f>
        <v/>
      </c>
      <c r="AA35">
        <f>HYPERLINK("https://klasma.github.io/Logging_2409/klagomål/A 43097-2023 FSC-klagomål.docx", "A 43097-2023")</f>
        <v/>
      </c>
      <c r="AB35">
        <f>HYPERLINK("https://klasma.github.io/Logging_2409/klagomålsmail/A 43097-2023 FSC-klagomål mail.docx", "A 43097-2023")</f>
        <v/>
      </c>
      <c r="AC35">
        <f>HYPERLINK("https://klasma.github.io/Logging_2409/tillsyn/A 43097-2023 tillsynsbegäran.docx", "A 43097-2023")</f>
        <v/>
      </c>
      <c r="AD35">
        <f>HYPERLINK("https://klasma.github.io/Logging_2409/tillsynsmail/A 43097-2023 tillsynsbegäran mail.docx", "A 43097-2023")</f>
        <v/>
      </c>
      <c r="AE35">
        <f>HYPERLINK("https://klasma.github.io/Logging_2409/fåglar/A 43097-2023 prioriterade fågelarter.docx", "A 43097-2023")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46304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46304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46304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49086-2023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45210</v>
      </c>
      <c r="E40" s="1" t="n">
        <v>46304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8.300000000000001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HYPERLINK("https://klasma.github.io/Logging_2409/artfynd/A 49086-2023 artfynd.xlsx", "A 49086-2023")</f>
        <v/>
      </c>
      <c r="X40">
        <f>HYPERLINK("https://klasma.github.io/Logging_2409/kartor/A 49086-2023 karta.png", "A 49086-2023")</f>
        <v/>
      </c>
      <c r="Y40">
        <f>HYPERLINK("https://klasma.github.io/Logging_2409/kartor_geotiff/A 49086-2023 georefererad karta.tif", "A 49086-2023")</f>
        <v/>
      </c>
      <c r="AA40">
        <f>HYPERLINK("https://klasma.github.io/Logging_2409/klagomål/A 49086-2023 FSC-klagomål.docx", "A 49086-2023")</f>
        <v/>
      </c>
      <c r="AB40">
        <f>HYPERLINK("https://klasma.github.io/Logging_2409/klagomålsmail/A 49086-2023 FSC-klagomål mail.docx", "A 49086-2023")</f>
        <v/>
      </c>
      <c r="AC40">
        <f>HYPERLINK("https://klasma.github.io/Logging_2409/tillsyn/A 49086-2023 tillsynsbegäran.docx", "A 49086-2023")</f>
        <v/>
      </c>
      <c r="AD40">
        <f>HYPERLINK("https://klasma.github.io/Logging_2409/tillsynsmail/A 49086-2023 tillsynsbegäran mail.docx", "A 49086-2023")</f>
        <v/>
      </c>
    </row>
    <row r="41" ht="15" customHeight="1">
      <c r="A41" t="inlineStr">
        <is>
          <t>A 34007-2025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45844</v>
      </c>
      <c r="E41" s="1" t="n">
        <v>46304</v>
      </c>
      <c r="F41" t="inlineStr">
        <is>
          <t>VÄSTERBOTTENS LÄN</t>
        </is>
      </c>
      <c r="G41" t="inlineStr">
        <is>
          <t>ROBERTSFORS</t>
        </is>
      </c>
      <c r="I41" t="n">
        <v>1.3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Harticka</t>
        </is>
      </c>
      <c r="W41">
        <f>HYPERLINK("https://klasma.github.io/Logging_2409/artfynd/A 34007-2025 artfynd.xlsx", "A 34007-2025")</f>
        <v/>
      </c>
      <c r="X41">
        <f>HYPERLINK("https://klasma.github.io/Logging_2409/kartor/A 34007-2025 karta.png", "A 34007-2025")</f>
        <v/>
      </c>
      <c r="Y41">
        <f>HYPERLINK("https://klasma.github.io/Logging_2409/kartor_geotiff/A 34007-2025 georefererad karta.tif", "A 34007-2025")</f>
        <v/>
      </c>
      <c r="AA41">
        <f>HYPERLINK("https://klasma.github.io/Logging_2409/klagomål/A 34007-2025 FSC-klagomål.docx", "A 34007-2025")</f>
        <v/>
      </c>
      <c r="AB41">
        <f>HYPERLINK("https://klasma.github.io/Logging_2409/klagomålsmail/A 34007-2025 FSC-klagomål mail.docx", "A 34007-2025")</f>
        <v/>
      </c>
      <c r="AC41">
        <f>HYPERLINK("https://klasma.github.io/Logging_2409/tillsyn/A 34007-2025 tillsynsbegäran.docx", "A 34007-2025")</f>
        <v/>
      </c>
      <c r="AD41">
        <f>HYPERLINK("https://klasma.github.io/Logging_2409/tillsynsmail/A 34007-2025 tillsynsbegäran mail.docx", "A 34007-2025")</f>
        <v/>
      </c>
    </row>
    <row r="42" ht="15" customHeight="1">
      <c r="A42" t="inlineStr">
        <is>
          <t>A 36703-2023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45153</v>
      </c>
      <c r="E42" s="1" t="n">
        <v>46304</v>
      </c>
      <c r="F42" t="inlineStr">
        <is>
          <t>VÄSTERBOTTENS LÄN</t>
        </is>
      </c>
      <c r="G42" t="inlineStr">
        <is>
          <t>ROBERTSFORS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Tallkötticka</t>
        </is>
      </c>
      <c r="W42">
        <f>HYPERLINK("https://klasma.github.io/Logging_2409/artfynd/A 36703-2023 artfynd.xlsx", "A 36703-2023")</f>
        <v/>
      </c>
      <c r="X42">
        <f>HYPERLINK("https://klasma.github.io/Logging_2409/kartor/A 36703-2023 karta.png", "A 36703-2023")</f>
        <v/>
      </c>
      <c r="Y42">
        <f>HYPERLINK("https://klasma.github.io/Logging_2409/kartor_geotiff/A 36703-2023 georefererad karta.tif", "A 36703-2023")</f>
        <v/>
      </c>
      <c r="AA42">
        <f>HYPERLINK("https://klasma.github.io/Logging_2409/klagomål/A 36703-2023 FSC-klagomål.docx", "A 36703-2023")</f>
        <v/>
      </c>
      <c r="AB42">
        <f>HYPERLINK("https://klasma.github.io/Logging_2409/klagomålsmail/A 36703-2023 FSC-klagomål mail.docx", "A 36703-2023")</f>
        <v/>
      </c>
      <c r="AC42">
        <f>HYPERLINK("https://klasma.github.io/Logging_2409/tillsyn/A 36703-2023 tillsynsbegäran.docx", "A 36703-2023")</f>
        <v/>
      </c>
      <c r="AD42">
        <f>HYPERLINK("https://klasma.github.io/Logging_2409/tillsynsmail/A 36703-2023 tillsynsbegäran mail.docx", "A 36703-2023")</f>
        <v/>
      </c>
    </row>
    <row r="43" ht="15" customHeight="1">
      <c r="A43" t="inlineStr">
        <is>
          <t>A 54484-2023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46304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3</v>
      </c>
      <c r="U43" t="n">
        <v>1</v>
      </c>
      <c r="V43" s="2" t="inlineStr">
        <is>
          <t>Dropptaggsvamp</t>
        </is>
      </c>
      <c r="W43">
        <f>HYPERLINK("https://klasma.github.io/Logging_2409/artfynd/A 54484-2023 artfynd.xlsx", "A 54484-2023")</f>
        <v/>
      </c>
      <c r="X43">
        <f>HYPERLINK("https://klasma.github.io/Logging_2409/kartor/A 54484-2023 karta.png", "A 54484-2023")</f>
        <v/>
      </c>
      <c r="Y43">
        <f>HYPERLINK("https://klasma.github.io/Logging_2409/kartor_geotiff/A 54484-2023 georefererad karta.tif", "A 54484-2023")</f>
        <v/>
      </c>
      <c r="AA43">
        <f>HYPERLINK("https://klasma.github.io/Logging_2409/klagomål/A 54484-2023 FSC-klagomål.docx", "A 54484-2023")</f>
        <v/>
      </c>
      <c r="AB43">
        <f>HYPERLINK("https://klasma.github.io/Logging_2409/klagomålsmail/A 54484-2023 FSC-klagomål mail.docx", "A 54484-2023")</f>
        <v/>
      </c>
      <c r="AC43">
        <f>HYPERLINK("https://klasma.github.io/Logging_2409/tillsyn/A 54484-2023 tillsynsbegäran.docx", "A 54484-2023")</f>
        <v/>
      </c>
      <c r="AD43">
        <f>HYPERLINK("https://klasma.github.io/Logging_2409/tillsynsmail/A 54484-2023 tillsynsbegäran mail.docx", "A 54484-2023")</f>
        <v/>
      </c>
    </row>
    <row r="44" ht="15" customHeight="1">
      <c r="A44" t="inlineStr">
        <is>
          <t>A 57284-2023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45245</v>
      </c>
      <c r="E44" s="1" t="n">
        <v>46304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6.8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Tallticka</t>
        </is>
      </c>
      <c r="W44">
        <f>HYPERLINK("https://klasma.github.io/Logging_2409/artfynd/A 57284-2023 artfynd.xlsx", "A 57284-2023")</f>
        <v/>
      </c>
      <c r="X44">
        <f>HYPERLINK("https://klasma.github.io/Logging_2409/kartor/A 57284-2023 karta.png", "A 57284-2023")</f>
        <v/>
      </c>
      <c r="Y44">
        <f>HYPERLINK("https://klasma.github.io/Logging_2409/kartor_geotiff/A 57284-2023 georefererad karta.tif", "A 57284-2023")</f>
        <v/>
      </c>
      <c r="AA44">
        <f>HYPERLINK("https://klasma.github.io/Logging_2409/klagomål/A 57284-2023 FSC-klagomål.docx", "A 57284-2023")</f>
        <v/>
      </c>
      <c r="AB44">
        <f>HYPERLINK("https://klasma.github.io/Logging_2409/klagomålsmail/A 57284-2023 FSC-klagomål mail.docx", "A 57284-2023")</f>
        <v/>
      </c>
      <c r="AC44">
        <f>HYPERLINK("https://klasma.github.io/Logging_2409/tillsyn/A 57284-2023 tillsynsbegäran.docx", "A 57284-2023")</f>
        <v/>
      </c>
      <c r="AD44">
        <f>HYPERLINK("https://klasma.github.io/Logging_2409/tillsynsmail/A 57284-2023 tillsynsbegäran mail.docx", "A 57284-2023")</f>
        <v/>
      </c>
    </row>
    <row r="45" ht="15" customHeight="1">
      <c r="A45" t="inlineStr">
        <is>
          <t>A 32023-2024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45510</v>
      </c>
      <c r="E45" s="1" t="n">
        <v>46304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Dropptaggsvamp</t>
        </is>
      </c>
      <c r="W45">
        <f>HYPERLINK("https://klasma.github.io/Logging_2409/artfynd/A 32023-2024 artfynd.xlsx", "A 32023-2024")</f>
        <v/>
      </c>
      <c r="X45">
        <f>HYPERLINK("https://klasma.github.io/Logging_2409/kartor/A 32023-2024 karta.png", "A 32023-2024")</f>
        <v/>
      </c>
      <c r="Y45">
        <f>HYPERLINK("https://klasma.github.io/Logging_2409/kartor_geotiff/A 32023-2024 georefererad karta.tif", "A 32023-2024")</f>
        <v/>
      </c>
      <c r="AA45">
        <f>HYPERLINK("https://klasma.github.io/Logging_2409/klagomål/A 32023-2024 FSC-klagomål.docx", "A 32023-2024")</f>
        <v/>
      </c>
      <c r="AB45">
        <f>HYPERLINK("https://klasma.github.io/Logging_2409/klagomålsmail/A 32023-2024 FSC-klagomål mail.docx", "A 32023-2024")</f>
        <v/>
      </c>
      <c r="AC45">
        <f>HYPERLINK("https://klasma.github.io/Logging_2409/tillsyn/A 32023-2024 tillsynsbegäran.docx", "A 32023-2024")</f>
        <v/>
      </c>
      <c r="AD45">
        <f>HYPERLINK("https://klasma.github.io/Logging_2409/tillsynsmail/A 32023-2024 tillsynsbegäran mail.docx", "A 32023-2024")</f>
        <v/>
      </c>
    </row>
    <row r="46" ht="15" customHeight="1">
      <c r="A46" t="inlineStr">
        <is>
          <t>A 40600-2022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46304</v>
      </c>
      <c r="F46" t="inlineStr">
        <is>
          <t>VÄSTERBOTTENS LÄN</t>
        </is>
      </c>
      <c r="G46" t="inlineStr">
        <is>
          <t>ROBERTSFORS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HYPERLINK("https://klasma.github.io/Logging_2409/artfynd/A 40600-2022 artfynd.xlsx", "A 40600-2022")</f>
        <v/>
      </c>
      <c r="X46">
        <f>HYPERLINK("https://klasma.github.io/Logging_2409/kartor/A 40600-2022 karta.png", "A 40600-2022")</f>
        <v/>
      </c>
      <c r="Y46">
        <f>HYPERLINK("https://klasma.github.io/Logging_2409/kartor_geotiff/A 40600-2022 georefererad karta.tif", "A 40600-2022")</f>
        <v/>
      </c>
      <c r="AA46">
        <f>HYPERLINK("https://klasma.github.io/Logging_2409/klagomål/A 40600-2022 FSC-klagomål.docx", "A 40600-2022")</f>
        <v/>
      </c>
      <c r="AB46">
        <f>HYPERLINK("https://klasma.github.io/Logging_2409/klagomålsmail/A 40600-2022 FSC-klagomål mail.docx", "A 40600-2022")</f>
        <v/>
      </c>
      <c r="AC46">
        <f>HYPERLINK("https://klasma.github.io/Logging_2409/tillsyn/A 40600-2022 tillsynsbegäran.docx", "A 40600-2022")</f>
        <v/>
      </c>
      <c r="AD46">
        <f>HYPERLINK("https://klasma.github.io/Logging_2409/tillsynsmail/A 40600-2022 tillsynsbegäran mail.docx", "A 40600-2022")</f>
        <v/>
      </c>
      <c r="AE46">
        <f>HYPERLINK("https://klasma.github.io/Logging_2409/fåglar/A 40600-2022 prioriterade fågelarter.docx", "A 40600-2022")</f>
        <v/>
      </c>
    </row>
    <row r="47" ht="15" customHeight="1">
      <c r="A47" t="inlineStr">
        <is>
          <t>A 35497-2023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46304</v>
      </c>
      <c r="F47" t="inlineStr">
        <is>
          <t>VÄSTERBOTTENS LÄN</t>
        </is>
      </c>
      <c r="G47" t="inlineStr">
        <is>
          <t>ROBERTSFORS</t>
        </is>
      </c>
      <c r="I47" t="n">
        <v>0.2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35497-2023 artfynd.xlsx", "A 35497-2023")</f>
        <v/>
      </c>
      <c r="X47">
        <f>HYPERLINK("https://klasma.github.io/Logging_2409/kartor/A 35497-2023 karta.png", "A 35497-2023")</f>
        <v/>
      </c>
      <c r="Y47">
        <f>HYPERLINK("https://klasma.github.io/Logging_2409/kartor_geotiff/A 35497-2023 georefererad karta.tif", "A 35497-2023")</f>
        <v/>
      </c>
      <c r="AA47">
        <f>HYPERLINK("https://klasma.github.io/Logging_2409/klagomål/A 35497-2023 FSC-klagomål.docx", "A 35497-2023")</f>
        <v/>
      </c>
      <c r="AB47">
        <f>HYPERLINK("https://klasma.github.io/Logging_2409/klagomålsmail/A 35497-2023 FSC-klagomål mail.docx", "A 35497-2023")</f>
        <v/>
      </c>
      <c r="AC47">
        <f>HYPERLINK("https://klasma.github.io/Logging_2409/tillsyn/A 35497-2023 tillsynsbegäran.docx", "A 35497-2023")</f>
        <v/>
      </c>
      <c r="AD47">
        <f>HYPERLINK("https://klasma.github.io/Logging_2409/tillsynsmail/A 35497-2023 tillsynsbegäran mail.docx", "A 35497-2023")</f>
        <v/>
      </c>
    </row>
    <row r="48" ht="15" customHeight="1">
      <c r="A48" t="inlineStr">
        <is>
          <t>A 32876-2023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45124</v>
      </c>
      <c r="E48" s="1" t="n">
        <v>46304</v>
      </c>
      <c r="F48" t="inlineStr">
        <is>
          <t>VÄSTERBOTTENS LÄN</t>
        </is>
      </c>
      <c r="G48" t="inlineStr">
        <is>
          <t>ROBERTSFORS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Revlummer</t>
        </is>
      </c>
      <c r="W48">
        <f>HYPERLINK("https://klasma.github.io/Logging_2409/artfynd/A 32876-2023 artfynd.xlsx", "A 32876-2023")</f>
        <v/>
      </c>
      <c r="X48">
        <f>HYPERLINK("https://klasma.github.io/Logging_2409/kartor/A 32876-2023 karta.png", "A 32876-2023")</f>
        <v/>
      </c>
      <c r="Y48">
        <f>HYPERLINK("https://klasma.github.io/Logging_2409/kartor_geotiff/A 32876-2023 georefererad karta.tif", "A 32876-2023")</f>
        <v/>
      </c>
      <c r="AA48">
        <f>HYPERLINK("https://klasma.github.io/Logging_2409/klagomål/A 32876-2023 FSC-klagomål.docx", "A 32876-2023")</f>
        <v/>
      </c>
      <c r="AB48">
        <f>HYPERLINK("https://klasma.github.io/Logging_2409/klagomålsmail/A 32876-2023 FSC-klagomål mail.docx", "A 32876-2023")</f>
        <v/>
      </c>
      <c r="AC48">
        <f>HYPERLINK("https://klasma.github.io/Logging_2409/tillsyn/A 32876-2023 tillsynsbegäran.docx", "A 32876-2023")</f>
        <v/>
      </c>
      <c r="AD48">
        <f>HYPERLINK("https://klasma.github.io/Logging_2409/tillsynsmail/A 32876-2023 tillsynsbegäran mail.docx", "A 32876-2023")</f>
        <v/>
      </c>
    </row>
    <row r="49" ht="15" customHeight="1">
      <c r="A49" t="inlineStr">
        <is>
          <t>A 35551-2025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45856</v>
      </c>
      <c r="E49" s="1" t="n">
        <v>46304</v>
      </c>
      <c r="F49" t="inlineStr">
        <is>
          <t>VÄSTERBOTTENS LÄN</t>
        </is>
      </c>
      <c r="G49" t="inlineStr">
        <is>
          <t>ROBERTSFORS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HYPERLINK("https://klasma.github.io/Logging_2409/artfynd/A 35551-2025 artfynd.xlsx", "A 35551-2025")</f>
        <v/>
      </c>
      <c r="X49">
        <f>HYPERLINK("https://klasma.github.io/Logging_2409/kartor/A 35551-2025 karta.png", "A 35551-2025")</f>
        <v/>
      </c>
      <c r="Y49">
        <f>HYPERLINK("https://klasma.github.io/Logging_2409/kartor_geotiff/A 35551-2025 georefererad karta.tif", "A 35551-2025")</f>
        <v/>
      </c>
      <c r="AA49">
        <f>HYPERLINK("https://klasma.github.io/Logging_2409/klagomål/A 35551-2025 FSC-klagomål.docx", "A 35551-2025")</f>
        <v/>
      </c>
      <c r="AB49">
        <f>HYPERLINK("https://klasma.github.io/Logging_2409/klagomålsmail/A 35551-2025 FSC-klagomål mail.docx", "A 35551-2025")</f>
        <v/>
      </c>
      <c r="AC49">
        <f>HYPERLINK("https://klasma.github.io/Logging_2409/tillsyn/A 35551-2025 tillsynsbegäran.docx", "A 35551-2025")</f>
        <v/>
      </c>
      <c r="AD49">
        <f>HYPERLINK("https://klasma.github.io/Logging_2409/tillsynsmail/A 35551-2025 tillsynsbegäran mail.docx", "A 35551-2025")</f>
        <v/>
      </c>
      <c r="AE49">
        <f>HYPERLINK("https://klasma.github.io/Logging_2409/fåglar/A 35551-2025 prioriterade fågelarter.docx", "A 35551-2025")</f>
        <v/>
      </c>
    </row>
    <row r="50" ht="15" customHeight="1">
      <c r="A50" t="inlineStr">
        <is>
          <t>A 38777-2023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45163</v>
      </c>
      <c r="E50" s="1" t="n">
        <v>46304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5.9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HYPERLINK("https://klasma.github.io/Logging_2409/artfynd/A 38777-2023 artfynd.xlsx", "A 38777-2023")</f>
        <v/>
      </c>
      <c r="X50">
        <f>HYPERLINK("https://klasma.github.io/Logging_2409/kartor/A 38777-2023 karta.png", "A 38777-2023")</f>
        <v/>
      </c>
      <c r="Y50">
        <f>HYPERLINK("https://klasma.github.io/Logging_2409/kartor_geotiff/A 38777-2023 georefererad karta.tif", "A 38777-2023")</f>
        <v/>
      </c>
      <c r="AA50">
        <f>HYPERLINK("https://klasma.github.io/Logging_2409/klagomål/A 38777-2023 FSC-klagomål.docx", "A 38777-2023")</f>
        <v/>
      </c>
      <c r="AB50">
        <f>HYPERLINK("https://klasma.github.io/Logging_2409/klagomålsmail/A 38777-2023 FSC-klagomål mail.docx", "A 38777-2023")</f>
        <v/>
      </c>
      <c r="AC50">
        <f>HYPERLINK("https://klasma.github.io/Logging_2409/tillsyn/A 38777-2023 tillsynsbegäran.docx", "A 38777-2023")</f>
        <v/>
      </c>
      <c r="AD50">
        <f>HYPERLINK("https://klasma.github.io/Logging_2409/tillsynsmail/A 38777-2023 tillsynsbegäran mail.docx", "A 38777-2023")</f>
        <v/>
      </c>
      <c r="AE50">
        <f>HYPERLINK("https://klasma.github.io/Logging_2409/fåglar/A 38777-2023 prioriterade fågelarter.docx", "A 38777-2023")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46304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HYPERLINK("https://klasma.github.io/Logging_2409/artfynd/A 5285-2026 artfynd.xlsx", "A 5285-2026")</f>
        <v/>
      </c>
      <c r="X51">
        <f>HYPERLINK("https://klasma.github.io/Logging_2409/kartor/A 5285-2026 karta.png", "A 5285-2026")</f>
        <v/>
      </c>
      <c r="Y51">
        <f>HYPERLINK("https://klasma.github.io/Logging_2409/kartor_geotiff/A 5285-2026 georefererad karta.tif", "A 5285-2026")</f>
        <v/>
      </c>
      <c r="AA51">
        <f>HYPERLINK("https://klasma.github.io/Logging_2409/klagomål/A 5285-2026 FSC-klagomål.docx", "A 5285-2026")</f>
        <v/>
      </c>
      <c r="AB51">
        <f>HYPERLINK("https://klasma.github.io/Logging_2409/klagomålsmail/A 5285-2026 FSC-klagomål mail.docx", "A 5285-2026")</f>
        <v/>
      </c>
      <c r="AC51">
        <f>HYPERLINK("https://klasma.github.io/Logging_2409/tillsyn/A 5285-2026 tillsynsbegäran.docx", "A 5285-2026")</f>
        <v/>
      </c>
      <c r="AD51">
        <f>HYPERLINK("https://klasma.github.io/Logging_2409/tillsynsmail/A 5285-2026 tillsynsbegäran mail.docx", "A 5285-2026")</f>
        <v/>
      </c>
      <c r="AE51">
        <f>HYPERLINK("https://klasma.github.io/Logging_2409/fåglar/A 5285-2026 prioriterade fågelarter.docx", "A 5285-2026")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46304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Björktrast</t>
        </is>
      </c>
      <c r="W52">
        <f>HYPERLINK("https://klasma.github.io/Logging_2409/artfynd/A 5289-2026 artfynd.xlsx", "A 5289-2026")</f>
        <v/>
      </c>
      <c r="X52">
        <f>HYPERLINK("https://klasma.github.io/Logging_2409/kartor/A 5289-2026 karta.png", "A 5289-2026")</f>
        <v/>
      </c>
      <c r="Y52">
        <f>HYPERLINK("https://klasma.github.io/Logging_2409/kartor_geotiff/A 5289-2026 georefererad karta.tif", "A 5289-2026")</f>
        <v/>
      </c>
      <c r="AA52">
        <f>HYPERLINK("https://klasma.github.io/Logging_2409/klagomål/A 5289-2026 FSC-klagomål.docx", "A 5289-2026")</f>
        <v/>
      </c>
      <c r="AB52">
        <f>HYPERLINK("https://klasma.github.io/Logging_2409/klagomålsmail/A 5289-2026 FSC-klagomål mail.docx", "A 5289-2026")</f>
        <v/>
      </c>
      <c r="AC52">
        <f>HYPERLINK("https://klasma.github.io/Logging_2409/tillsyn/A 5289-2026 tillsynsbegäran.docx", "A 5289-2026")</f>
        <v/>
      </c>
      <c r="AD52">
        <f>HYPERLINK("https://klasma.github.io/Logging_2409/tillsynsmail/A 5289-2026 tillsynsbegäran mail.docx", "A 5289-2026")</f>
        <v/>
      </c>
      <c r="AE52">
        <f>HYPERLINK("https://klasma.github.io/Logging_2409/fåglar/A 5289-2026 prioriterade fågelarter.docx", "A 5289-2026")</f>
        <v/>
      </c>
    </row>
    <row r="53" ht="15" customHeight="1">
      <c r="A53" t="inlineStr">
        <is>
          <t>A 5284-2026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46304</v>
      </c>
      <c r="F53" t="inlineStr">
        <is>
          <t>VÄSTERBOTTENS LÄN</t>
        </is>
      </c>
      <c r="G53" t="inlineStr">
        <is>
          <t>ROBERTSFORS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HYPERLINK("https://klasma.github.io/Logging_2409/artfynd/A 5284-2026 artfynd.xlsx", "A 5284-2026")</f>
        <v/>
      </c>
      <c r="X53">
        <f>HYPERLINK("https://klasma.github.io/Logging_2409/kartor/A 5284-2026 karta.png", "A 5284-2026")</f>
        <v/>
      </c>
      <c r="Y53">
        <f>HYPERLINK("https://klasma.github.io/Logging_2409/kartor_geotiff/A 5284-2026 georefererad karta.tif", "A 5284-2026")</f>
        <v/>
      </c>
      <c r="AA53">
        <f>HYPERLINK("https://klasma.github.io/Logging_2409/klagomål/A 5284-2026 FSC-klagomål.docx", "A 5284-2026")</f>
        <v/>
      </c>
      <c r="AB53">
        <f>HYPERLINK("https://klasma.github.io/Logging_2409/klagomålsmail/A 5284-2026 FSC-klagomål mail.docx", "A 5284-2026")</f>
        <v/>
      </c>
      <c r="AC53">
        <f>HYPERLINK("https://klasma.github.io/Logging_2409/tillsyn/A 5284-2026 tillsynsbegäran.docx", "A 5284-2026")</f>
        <v/>
      </c>
      <c r="AD53">
        <f>HYPERLINK("https://klasma.github.io/Logging_2409/tillsynsmail/A 5284-2026 tillsynsbegäran mail.docx", "A 5284-2026")</f>
        <v/>
      </c>
      <c r="AE53">
        <f>HYPERLINK("https://klasma.github.io/Logging_2409/fåglar/A 5284-2026 prioriterade fågelarter.docx", "A 5284-2026")</f>
        <v/>
      </c>
    </row>
    <row r="54" ht="15" customHeight="1">
      <c r="A54" t="inlineStr">
        <is>
          <t>A 57653-2024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46304</v>
      </c>
      <c r="F54" t="inlineStr">
        <is>
          <t>VÄSTERBOTTENS LÄN</t>
        </is>
      </c>
      <c r="G54" t="inlineStr">
        <is>
          <t>ROBERTSFORS</t>
        </is>
      </c>
      <c r="I54" t="n">
        <v>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Blå kärrhök</t>
        </is>
      </c>
      <c r="W54">
        <f>HYPERLINK("https://klasma.github.io/Logging_2409/artfynd/A 57653-2024 artfynd.xlsx", "A 57653-2024")</f>
        <v/>
      </c>
      <c r="X54">
        <f>HYPERLINK("https://klasma.github.io/Logging_2409/kartor/A 57653-2024 karta.png", "A 57653-2024")</f>
        <v/>
      </c>
      <c r="Y54">
        <f>HYPERLINK("https://klasma.github.io/Logging_2409/kartor_geotiff/A 57653-2024 georefererad karta.tif", "A 57653-2024")</f>
        <v/>
      </c>
      <c r="AA54">
        <f>HYPERLINK("https://klasma.github.io/Logging_2409/klagomål/A 57653-2024 FSC-klagomål.docx", "A 57653-2024")</f>
        <v/>
      </c>
      <c r="AB54">
        <f>HYPERLINK("https://klasma.github.io/Logging_2409/klagomålsmail/A 57653-2024 FSC-klagomål mail.docx", "A 57653-2024")</f>
        <v/>
      </c>
      <c r="AC54">
        <f>HYPERLINK("https://klasma.github.io/Logging_2409/tillsyn/A 57653-2024 tillsynsbegäran.docx", "A 57653-2024")</f>
        <v/>
      </c>
      <c r="AD54">
        <f>HYPERLINK("https://klasma.github.io/Logging_2409/tillsynsmail/A 57653-2024 tillsynsbegäran mail.docx", "A 57653-2024")</f>
        <v/>
      </c>
      <c r="AE54">
        <f>HYPERLINK("https://klasma.github.io/Logging_2409/fåglar/A 57653-2024 prioriterade fågelarter.docx", "A 57653-2024")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46304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10145-2025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45719</v>
      </c>
      <c r="E56" s="1" t="n">
        <v>46304</v>
      </c>
      <c r="F56" t="inlineStr">
        <is>
          <t>VÄSTERBOTTENS LÄN</t>
        </is>
      </c>
      <c r="G56" t="inlineStr">
        <is>
          <t>ROBERTSFORS</t>
        </is>
      </c>
      <c r="I56" t="n">
        <v>5.3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HYPERLINK("https://klasma.github.io/Logging_2409/artfynd/A 10145-2025 artfynd.xlsx", "A 10145-2025")</f>
        <v/>
      </c>
      <c r="X56">
        <f>HYPERLINK("https://klasma.github.io/Logging_2409/kartor/A 10145-2025 karta.png", "A 10145-2025")</f>
        <v/>
      </c>
      <c r="Y56">
        <f>HYPERLINK("https://klasma.github.io/Logging_2409/kartor_geotiff/A 10145-2025 georefererad karta.tif", "A 10145-2025")</f>
        <v/>
      </c>
      <c r="AA56">
        <f>HYPERLINK("https://klasma.github.io/Logging_2409/klagomål/A 10145-2025 FSC-klagomål.docx", "A 10145-2025")</f>
        <v/>
      </c>
      <c r="AB56">
        <f>HYPERLINK("https://klasma.github.io/Logging_2409/klagomålsmail/A 10145-2025 FSC-klagomål mail.docx", "A 10145-2025")</f>
        <v/>
      </c>
      <c r="AC56">
        <f>HYPERLINK("https://klasma.github.io/Logging_2409/tillsyn/A 10145-2025 tillsynsbegäran.docx", "A 10145-2025")</f>
        <v/>
      </c>
      <c r="AD56">
        <f>HYPERLINK("https://klasma.github.io/Logging_2409/tillsynsmail/A 10145-2025 tillsynsbegäran mail.docx", "A 10145-2025")</f>
        <v/>
      </c>
    </row>
    <row r="57" ht="15" customHeight="1">
      <c r="A57" t="inlineStr">
        <is>
          <t>A 57270-2023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45245</v>
      </c>
      <c r="E57" s="1" t="n">
        <v>46304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HYPERLINK("https://klasma.github.io/Logging_2409/artfynd/A 57270-2023 artfynd.xlsx", "A 57270-2023")</f>
        <v/>
      </c>
      <c r="X57">
        <f>HYPERLINK("https://klasma.github.io/Logging_2409/kartor/A 57270-2023 karta.png", "A 57270-2023")</f>
        <v/>
      </c>
      <c r="Y57">
        <f>HYPERLINK("https://klasma.github.io/Logging_2409/kartor_geotiff/A 57270-2023 georefererad karta.tif", "A 57270-2023")</f>
        <v/>
      </c>
      <c r="AA57">
        <f>HYPERLINK("https://klasma.github.io/Logging_2409/klagomål/A 57270-2023 FSC-klagomål.docx", "A 57270-2023")</f>
        <v/>
      </c>
      <c r="AB57">
        <f>HYPERLINK("https://klasma.github.io/Logging_2409/klagomålsmail/A 57270-2023 FSC-klagomål mail.docx", "A 57270-2023")</f>
        <v/>
      </c>
      <c r="AC57">
        <f>HYPERLINK("https://klasma.github.io/Logging_2409/tillsyn/A 57270-2023 tillsynsbegäran.docx", "A 57270-2023")</f>
        <v/>
      </c>
      <c r="AD57">
        <f>HYPERLINK("https://klasma.github.io/Logging_2409/tillsynsmail/A 57270-2023 tillsynsbegäran mail.docx", "A 57270-2023")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46304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5969-2025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45695</v>
      </c>
      <c r="E59" s="1" t="n">
        <v>46304</v>
      </c>
      <c r="F59" t="inlineStr">
        <is>
          <t>VÄSTERBOTTENS LÄN</t>
        </is>
      </c>
      <c r="G59" t="inlineStr">
        <is>
          <t>ROBERTSFORS</t>
        </is>
      </c>
      <c r="I59" t="n">
        <v>18.1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Tretåig hackspett</t>
        </is>
      </c>
      <c r="W59">
        <f>HYPERLINK("https://klasma.github.io/Logging_2409/artfynd/A 5969-2025 artfynd.xlsx", "A 5969-2025")</f>
        <v/>
      </c>
      <c r="X59">
        <f>HYPERLINK("https://klasma.github.io/Logging_2409/kartor/A 5969-2025 karta.png", "A 5969-2025")</f>
        <v/>
      </c>
      <c r="Y59">
        <f>HYPERLINK("https://klasma.github.io/Logging_2409/kartor_geotiff/A 5969-2025 georefererad karta.tif", "A 5969-2025")</f>
        <v/>
      </c>
      <c r="AA59">
        <f>HYPERLINK("https://klasma.github.io/Logging_2409/klagomål/A 5969-2025 FSC-klagomål.docx", "A 5969-2025")</f>
        <v/>
      </c>
      <c r="AB59">
        <f>HYPERLINK("https://klasma.github.io/Logging_2409/klagomålsmail/A 5969-2025 FSC-klagomål mail.docx", "A 5969-2025")</f>
        <v/>
      </c>
      <c r="AC59">
        <f>HYPERLINK("https://klasma.github.io/Logging_2409/tillsyn/A 5969-2025 tillsynsbegäran.docx", "A 5969-2025")</f>
        <v/>
      </c>
      <c r="AD59">
        <f>HYPERLINK("https://klasma.github.io/Logging_2409/tillsynsmail/A 5969-2025 tillsynsbegäran mail.docx", "A 5969-2025")</f>
        <v/>
      </c>
      <c r="AE59">
        <f>HYPERLINK("https://klasma.github.io/Logging_2409/fåglar/A 5969-2025 prioriterade fågelarter.docx", "A 5969-2025")</f>
        <v/>
      </c>
    </row>
    <row r="60" ht="15" customHeight="1">
      <c r="A60" t="inlineStr">
        <is>
          <t>A 28750-2026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46304</v>
      </c>
      <c r="F60" t="inlineStr">
        <is>
          <t>VÄSTERBOTTENS LÄN</t>
        </is>
      </c>
      <c r="G60" t="inlineStr">
        <is>
          <t>ROBERTSFORS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Nordfladdermus</t>
        </is>
      </c>
      <c r="W60">
        <f>HYPERLINK("https://klasma.github.io/Logging_2409/artfynd/A 28750-2026 artfynd.xlsx", "A 28750-2026")</f>
        <v/>
      </c>
      <c r="X60">
        <f>HYPERLINK("https://klasma.github.io/Logging_2409/kartor/A 28750-2026 karta.png", "A 28750-2026")</f>
        <v/>
      </c>
      <c r="Y60">
        <f>HYPERLINK("https://klasma.github.io/Logging_2409/kartor_geotiff/A 28750-2026 georefererad karta.tif", "A 28750-2026")</f>
        <v/>
      </c>
      <c r="AA60">
        <f>HYPERLINK("https://klasma.github.io/Logging_2409/klagomål/A 28750-2026 FSC-klagomål.docx", "A 28750-2026")</f>
        <v/>
      </c>
      <c r="AB60">
        <f>HYPERLINK("https://klasma.github.io/Logging_2409/klagomålsmail/A 28750-2026 FSC-klagomål mail.docx", "A 28750-2026")</f>
        <v/>
      </c>
      <c r="AC60">
        <f>HYPERLINK("https://klasma.github.io/Logging_2409/tillsyn/A 28750-2026 tillsynsbegäran.docx", "A 28750-2026")</f>
        <v/>
      </c>
      <c r="AD60">
        <f>HYPERLINK("https://klasma.github.io/Logging_2409/tillsynsmail/A 28750-2026 tillsynsbegäran mail.docx", "A 28750-2026")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46304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8753-2025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45712</v>
      </c>
      <c r="E62" s="1" t="n">
        <v>46304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Kommuner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Nattviol</t>
        </is>
      </c>
      <c r="W62">
        <f>HYPERLINK("https://klasma.github.io/Logging_2409/artfynd/A 8753-2025 artfynd.xlsx", "A 8753-2025")</f>
        <v/>
      </c>
      <c r="X62">
        <f>HYPERLINK("https://klasma.github.io/Logging_2409/kartor/A 8753-2025 karta.png", "A 8753-2025")</f>
        <v/>
      </c>
      <c r="Y62">
        <f>HYPERLINK("https://klasma.github.io/Logging_2409/kartor_geotiff/A 8753-2025 georefererad karta.tif", "A 8753-2025")</f>
        <v/>
      </c>
      <c r="AA62">
        <f>HYPERLINK("https://klasma.github.io/Logging_2409/klagomål/A 8753-2025 FSC-klagomål.docx", "A 8753-2025")</f>
        <v/>
      </c>
      <c r="AB62">
        <f>HYPERLINK("https://klasma.github.io/Logging_2409/klagomålsmail/A 8753-2025 FSC-klagomål mail.docx", "A 8753-2025")</f>
        <v/>
      </c>
      <c r="AC62">
        <f>HYPERLINK("https://klasma.github.io/Logging_2409/tillsyn/A 8753-2025 tillsynsbegäran.docx", "A 8753-2025")</f>
        <v/>
      </c>
      <c r="AD62">
        <f>HYPERLINK("https://klasma.github.io/Logging_2409/tillsynsmail/A 8753-2025 tillsynsbegäran mail.docx", "A 8753-2025")</f>
        <v/>
      </c>
    </row>
    <row r="63" ht="15" customHeight="1">
      <c r="A63" t="inlineStr">
        <is>
          <t>A 41767-2023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46304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0.8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41767-2023 artfynd.xlsx", "A 41767-2023")</f>
        <v/>
      </c>
      <c r="X63">
        <f>HYPERLINK("https://klasma.github.io/Logging_2409/kartor/A 41767-2023 karta.png", "A 41767-2023")</f>
        <v/>
      </c>
      <c r="Y63">
        <f>HYPERLINK("https://klasma.github.io/Logging_2409/kartor_geotiff/A 41767-2023 georefererad karta.tif", "A 41767-2023")</f>
        <v/>
      </c>
      <c r="AA63">
        <f>HYPERLINK("https://klasma.github.io/Logging_2409/klagomål/A 41767-2023 FSC-klagomål.docx", "A 41767-2023")</f>
        <v/>
      </c>
      <c r="AB63">
        <f>HYPERLINK("https://klasma.github.io/Logging_2409/klagomålsmail/A 41767-2023 FSC-klagomål mail.docx", "A 41767-2023")</f>
        <v/>
      </c>
      <c r="AC63">
        <f>HYPERLINK("https://klasma.github.io/Logging_2409/tillsyn/A 41767-2023 tillsynsbegäran.docx", "A 41767-2023")</f>
        <v/>
      </c>
      <c r="AD63">
        <f>HYPERLINK("https://klasma.github.io/Logging_2409/tillsynsmail/A 41767-2023 tillsynsbegäran mail.docx", "A 41767-2023")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46304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30344-2025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46304</v>
      </c>
      <c r="F65" t="inlineStr">
        <is>
          <t>VÄSTERBOTTENS LÄN</t>
        </is>
      </c>
      <c r="G65" t="inlineStr">
        <is>
          <t>ROBERTSFORS</t>
        </is>
      </c>
      <c r="I65" t="n">
        <v>22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HYPERLINK("https://klasma.github.io/Logging_2409/artfynd/A 30344-2025 artfynd.xlsx", "A 30344-2025")</f>
        <v/>
      </c>
      <c r="X65">
        <f>HYPERLINK("https://klasma.github.io/Logging_2409/kartor/A 30344-2025 karta.png", "A 30344-2025")</f>
        <v/>
      </c>
      <c r="Y65">
        <f>HYPERLINK("https://klasma.github.io/Logging_2409/kartor_geotiff/A 30344-2025 georefererad karta.tif", "A 30344-2025")</f>
        <v/>
      </c>
      <c r="AA65">
        <f>HYPERLINK("https://klasma.github.io/Logging_2409/klagomål/A 30344-2025 FSC-klagomål.docx", "A 30344-2025")</f>
        <v/>
      </c>
      <c r="AB65">
        <f>HYPERLINK("https://klasma.github.io/Logging_2409/klagomålsmail/A 30344-2025 FSC-klagomål mail.docx", "A 30344-2025")</f>
        <v/>
      </c>
      <c r="AC65">
        <f>HYPERLINK("https://klasma.github.io/Logging_2409/tillsyn/A 30344-2025 tillsynsbegäran.docx", "A 30344-2025")</f>
        <v/>
      </c>
      <c r="AD65">
        <f>HYPERLINK("https://klasma.github.io/Logging_2409/tillsynsmail/A 30344-2025 tillsynsbegäran mail.docx", "A 30344-2025")</f>
        <v/>
      </c>
      <c r="AE65">
        <f>HYPERLINK("https://klasma.github.io/Logging_2409/fåglar/A 30344-2025 prioriterade fågelarter.docx", "A 30344-2025")</f>
        <v/>
      </c>
    </row>
    <row r="66" ht="15" customHeight="1">
      <c r="A66" t="inlineStr">
        <is>
          <t>A 32263-2025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46304</v>
      </c>
      <c r="F66" t="inlineStr">
        <is>
          <t>VÄSTERBOTTENS LÄN</t>
        </is>
      </c>
      <c r="G66" t="inlineStr">
        <is>
          <t>ROBERTSFORS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HYPERLINK("https://klasma.github.io/Logging_2409/artfynd/A 32263-2025 artfynd.xlsx", "A 32263-2025")</f>
        <v/>
      </c>
      <c r="X66">
        <f>HYPERLINK("https://klasma.github.io/Logging_2409/kartor/A 32263-2025 karta.png", "A 32263-2025")</f>
        <v/>
      </c>
      <c r="Y66">
        <f>HYPERLINK("https://klasma.github.io/Logging_2409/kartor_geotiff/A 32263-2025 georefererad karta.tif", "A 32263-2025")</f>
        <v/>
      </c>
      <c r="AA66">
        <f>HYPERLINK("https://klasma.github.io/Logging_2409/klagomål/A 32263-2025 FSC-klagomål.docx", "A 32263-2025")</f>
        <v/>
      </c>
      <c r="AB66">
        <f>HYPERLINK("https://klasma.github.io/Logging_2409/klagomålsmail/A 32263-2025 FSC-klagomål mail.docx", "A 32263-2025")</f>
        <v/>
      </c>
      <c r="AC66">
        <f>HYPERLINK("https://klasma.github.io/Logging_2409/tillsyn/A 32263-2025 tillsynsbegäran.docx", "A 32263-2025")</f>
        <v/>
      </c>
      <c r="AD66">
        <f>HYPERLINK("https://klasma.github.io/Logging_2409/tillsynsmail/A 32263-2025 tillsynsbegäran mail.docx", "A 32263-2025")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46304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46304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46304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46304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46304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46304</v>
      </c>
      <c r="F72" t="inlineStr">
        <is>
          <t>VÄSTERBOTTENS LÄN</t>
        </is>
      </c>
      <c r="G72" t="inlineStr">
        <is>
          <t>ROBERTSFORS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46304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46304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46304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46304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46304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46304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46304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46304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44612</v>
      </c>
      <c r="E81" s="1" t="n">
        <v>46304</v>
      </c>
      <c r="F81" t="inlineStr">
        <is>
          <t>VÄSTERBOTTENS LÄN</t>
        </is>
      </c>
      <c r="G81" t="inlineStr">
        <is>
          <t>ROBERTSFORS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46304</v>
      </c>
      <c r="F82" t="inlineStr">
        <is>
          <t>VÄSTERBOTTENS LÄN</t>
        </is>
      </c>
      <c r="G82" t="inlineStr">
        <is>
          <t>ROBERTSFORS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46304</v>
      </c>
      <c r="F83" t="inlineStr">
        <is>
          <t>VÄSTERBOTTENS LÄN</t>
        </is>
      </c>
      <c r="G83" t="inlineStr">
        <is>
          <t>ROBERTSFORS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46304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46304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46304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26231-2022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46304</v>
      </c>
      <c r="F87" t="inlineStr">
        <is>
          <t>VÄSTERBOTTENS LÄN</t>
        </is>
      </c>
      <c r="G87" t="inlineStr">
        <is>
          <t>ROBERTSFORS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46304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46304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46304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46304</v>
      </c>
      <c r="F91" t="inlineStr">
        <is>
          <t>VÄSTERBOTTENS LÄN</t>
        </is>
      </c>
      <c r="G91" t="inlineStr">
        <is>
          <t>ROBERTSFORS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44571</v>
      </c>
      <c r="E92" s="1" t="n">
        <v>46304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69805-2021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44532</v>
      </c>
      <c r="E93" s="1" t="n">
        <v>46304</v>
      </c>
      <c r="F93" t="inlineStr">
        <is>
          <t>VÄSTERBOTTENS LÄN</t>
        </is>
      </c>
      <c r="G93" t="inlineStr">
        <is>
          <t>ROBERTSFORS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44844</v>
      </c>
      <c r="E94" s="1" t="n">
        <v>46304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Holmen skog AB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46304</v>
      </c>
      <c r="F95" t="inlineStr">
        <is>
          <t>VÄSTERBOTTENS LÄN</t>
        </is>
      </c>
      <c r="G95" t="inlineStr">
        <is>
          <t>ROBERTSFORS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46304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46304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46304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46304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46304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46304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46304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46304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46304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46304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46304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46304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46304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46304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46304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46304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46304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46304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46304</v>
      </c>
      <c r="F114" t="inlineStr">
        <is>
          <t>VÄSTERBOTTENS LÄN</t>
        </is>
      </c>
      <c r="G114" t="inlineStr">
        <is>
          <t>ROBERTSFORS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46304</v>
      </c>
      <c r="F115" t="inlineStr">
        <is>
          <t>VÄSTERBOTTENS LÄN</t>
        </is>
      </c>
      <c r="G115" t="inlineStr">
        <is>
          <t>ROBERTSFORS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46304</v>
      </c>
      <c r="F116" t="inlineStr">
        <is>
          <t>VÄSTERBOTTENS LÄN</t>
        </is>
      </c>
      <c r="G116" t="inlineStr">
        <is>
          <t>ROBERTSFORS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45687</v>
      </c>
      <c r="E117" s="1" t="n">
        <v>46304</v>
      </c>
      <c r="F117" t="inlineStr">
        <is>
          <t>VÄSTERBOTTENS LÄN</t>
        </is>
      </c>
      <c r="G117" t="inlineStr">
        <is>
          <t>ROBERTSFORS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46304</v>
      </c>
      <c r="F118" t="inlineStr">
        <is>
          <t>VÄSTERBOTTENS LÄN</t>
        </is>
      </c>
      <c r="G118" t="inlineStr">
        <is>
          <t>ROBERTSFORS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45033</v>
      </c>
      <c r="E119" s="1" t="n">
        <v>46304</v>
      </c>
      <c r="F119" t="inlineStr">
        <is>
          <t>VÄSTERBOTTENS LÄN</t>
        </is>
      </c>
      <c r="G119" t="inlineStr">
        <is>
          <t>ROBERTSFORS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45625</v>
      </c>
      <c r="E120" s="1" t="n">
        <v>46304</v>
      </c>
      <c r="F120" t="inlineStr">
        <is>
          <t>VÄSTERBOTTENS LÄN</t>
        </is>
      </c>
      <c r="G120" t="inlineStr">
        <is>
          <t>ROBERTSFORS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46304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46304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46304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Holmen skog AB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46304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46304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46304</v>
      </c>
      <c r="F126" t="inlineStr">
        <is>
          <t>VÄSTERBOTTENS LÄN</t>
        </is>
      </c>
      <c r="G126" t="inlineStr">
        <is>
          <t>ROBERTSFORS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46304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46304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46304</v>
      </c>
      <c r="F129" t="inlineStr">
        <is>
          <t>VÄSTERBOTTENS LÄN</t>
        </is>
      </c>
      <c r="G129" t="inlineStr">
        <is>
          <t>ROBERTSFORS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46304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46304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45019</v>
      </c>
      <c r="E132" s="1" t="n">
        <v>46304</v>
      </c>
      <c r="F132" t="inlineStr">
        <is>
          <t>VÄSTERBOTTENS LÄN</t>
        </is>
      </c>
      <c r="G132" t="inlineStr">
        <is>
          <t>ROBERTSFORS</t>
        </is>
      </c>
      <c r="I132" t="n">
        <v>9.9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46304</v>
      </c>
      <c r="F133" t="inlineStr">
        <is>
          <t>VÄSTERBOTTENS LÄN</t>
        </is>
      </c>
      <c r="G133" t="inlineStr">
        <is>
          <t>ROBERTSFORS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45184</v>
      </c>
      <c r="E134" s="1" t="n">
        <v>46304</v>
      </c>
      <c r="F134" t="inlineStr">
        <is>
          <t>VÄSTERBOTTENS LÄN</t>
        </is>
      </c>
      <c r="G134" t="inlineStr">
        <is>
          <t>ROBERTSFORS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30722-2024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45496</v>
      </c>
      <c r="E135" s="1" t="n">
        <v>46304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45553</v>
      </c>
      <c r="E136" s="1" t="n">
        <v>46304</v>
      </c>
      <c r="F136" t="inlineStr">
        <is>
          <t>VÄSTERBOTTENS LÄN</t>
        </is>
      </c>
      <c r="G136" t="inlineStr">
        <is>
          <t>ROBERTSFORS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54366-2024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45617</v>
      </c>
      <c r="E137" s="1" t="n">
        <v>46304</v>
      </c>
      <c r="F137" t="inlineStr">
        <is>
          <t>VÄSTERBOTTENS LÄN</t>
        </is>
      </c>
      <c r="G137" t="inlineStr">
        <is>
          <t>ROBERTSFORS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45484</v>
      </c>
      <c r="E138" s="1" t="n">
        <v>46304</v>
      </c>
      <c r="F138" t="inlineStr">
        <is>
          <t>VÄSTERBOTTENS LÄN</t>
        </is>
      </c>
      <c r="G138" t="inlineStr">
        <is>
          <t>ROBERTSFORS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46304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46304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46304</v>
      </c>
      <c r="F141" t="inlineStr">
        <is>
          <t>VÄSTERBOTTENS LÄN</t>
        </is>
      </c>
      <c r="G141" t="inlineStr">
        <is>
          <t>ROBERTSFORS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46304</v>
      </c>
      <c r="F142" t="inlineStr">
        <is>
          <t>VÄSTERBOTTENS LÄN</t>
        </is>
      </c>
      <c r="G142" t="inlineStr">
        <is>
          <t>ROBERTSFORS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46304</v>
      </c>
      <c r="F143" t="inlineStr">
        <is>
          <t>VÄSTERBOTTENS LÄN</t>
        </is>
      </c>
      <c r="G143" t="inlineStr">
        <is>
          <t>ROBERTSFORS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45468</v>
      </c>
      <c r="E144" s="1" t="n">
        <v>46304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46304</v>
      </c>
      <c r="F145" t="inlineStr">
        <is>
          <t>VÄSTERBOTTENS LÄN</t>
        </is>
      </c>
      <c r="G145" t="inlineStr">
        <is>
          <t>ROBERTSFORS</t>
        </is>
      </c>
      <c r="I145" t="n">
        <v>14.3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59256-2022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44904</v>
      </c>
      <c r="E146" s="1" t="n">
        <v>46304</v>
      </c>
      <c r="F146" t="inlineStr">
        <is>
          <t>VÄSTERBOTTENS LÄN</t>
        </is>
      </c>
      <c r="G146" t="inlineStr">
        <is>
          <t>ROBERTSFORS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46304</v>
      </c>
      <c r="F147" t="inlineStr">
        <is>
          <t>VÄSTERBOTTENS LÄN</t>
        </is>
      </c>
      <c r="G147" t="inlineStr">
        <is>
          <t>ROBERTSFORS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46304</v>
      </c>
      <c r="F148" t="inlineStr">
        <is>
          <t>VÄSTERBOTTENS LÄN</t>
        </is>
      </c>
      <c r="G148" t="inlineStr">
        <is>
          <t>ROBERTSFORS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46304</v>
      </c>
      <c r="F149" t="inlineStr">
        <is>
          <t>VÄSTERBOTTENS LÄN</t>
        </is>
      </c>
      <c r="G149" t="inlineStr">
        <is>
          <t>ROBERTSFORS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46304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44913</v>
      </c>
      <c r="E151" s="1" t="n">
        <v>46304</v>
      </c>
      <c r="F151" t="inlineStr">
        <is>
          <t>VÄSTERBOTTENS LÄN</t>
        </is>
      </c>
      <c r="G151" t="inlineStr">
        <is>
          <t>ROBERTSFORS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46304</v>
      </c>
      <c r="F152" t="inlineStr">
        <is>
          <t>VÄSTERBOTTENS LÄN</t>
        </is>
      </c>
      <c r="G152" t="inlineStr">
        <is>
          <t>ROBERTSFORS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46304</v>
      </c>
      <c r="F153" t="inlineStr">
        <is>
          <t>VÄSTERBOTTENS LÄN</t>
        </is>
      </c>
      <c r="G153" t="inlineStr">
        <is>
          <t>ROBERTSFORS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45070</v>
      </c>
      <c r="E154" s="1" t="n">
        <v>46304</v>
      </c>
      <c r="F154" t="inlineStr">
        <is>
          <t>VÄSTERBOTTENS LÄN</t>
        </is>
      </c>
      <c r="G154" t="inlineStr">
        <is>
          <t>ROBERTSFORS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46304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46304</v>
      </c>
      <c r="F156" t="inlineStr">
        <is>
          <t>VÄSTERBOTTENS LÄN</t>
        </is>
      </c>
      <c r="G156" t="inlineStr">
        <is>
          <t>ROBERTSFORS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45251</v>
      </c>
      <c r="E157" s="1" t="n">
        <v>46304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45030</v>
      </c>
      <c r="E158" s="1" t="n">
        <v>46304</v>
      </c>
      <c r="F158" t="inlineStr">
        <is>
          <t>VÄSTERBOTTENS LÄN</t>
        </is>
      </c>
      <c r="G158" t="inlineStr">
        <is>
          <t>ROBERTSFORS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46304</v>
      </c>
      <c r="F159" t="inlineStr">
        <is>
          <t>VÄSTERBOTTENS LÄN</t>
        </is>
      </c>
      <c r="G159" t="inlineStr">
        <is>
          <t>ROBERTSFORS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16993-2023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45033</v>
      </c>
      <c r="E160" s="1" t="n">
        <v>46304</v>
      </c>
      <c r="F160" t="inlineStr">
        <is>
          <t>VÄSTERBOTTENS LÄN</t>
        </is>
      </c>
      <c r="G160" t="inlineStr">
        <is>
          <t>ROBERTSFORS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44805</v>
      </c>
      <c r="E161" s="1" t="n">
        <v>46304</v>
      </c>
      <c r="F161" t="inlineStr">
        <is>
          <t>VÄSTERBOTTENS LÄN</t>
        </is>
      </c>
      <c r="G161" t="inlineStr">
        <is>
          <t>ROBERTSFORS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46304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SCA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46304</v>
      </c>
      <c r="F163" t="inlineStr">
        <is>
          <t>VÄSTERBOTTENS LÄN</t>
        </is>
      </c>
      <c r="G163" t="inlineStr">
        <is>
          <t>ROBERTSFORS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46304</v>
      </c>
      <c r="F164" t="inlineStr">
        <is>
          <t>VÄSTERBOTTENS LÄN</t>
        </is>
      </c>
      <c r="G164" t="inlineStr">
        <is>
          <t>ROBERTSFORS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46304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46304</v>
      </c>
      <c r="F166" t="inlineStr">
        <is>
          <t>VÄSTERBOTTENS LÄN</t>
        </is>
      </c>
      <c r="G166" t="inlineStr">
        <is>
          <t>ROBERTSFORS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46304</v>
      </c>
      <c r="F167" t="inlineStr">
        <is>
          <t>VÄSTERBOTTENS LÄN</t>
        </is>
      </c>
      <c r="G167" t="inlineStr">
        <is>
          <t>ROBERTSFORS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46304</v>
      </c>
      <c r="F168" t="inlineStr">
        <is>
          <t>VÄSTERBOTTENS LÄN</t>
        </is>
      </c>
      <c r="G168" t="inlineStr">
        <is>
          <t>ROBERTSFORS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46304</v>
      </c>
      <c r="F169" t="inlineStr">
        <is>
          <t>VÄSTERBOTTENS LÄN</t>
        </is>
      </c>
      <c r="G169" t="inlineStr">
        <is>
          <t>ROBERTSFORS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46304</v>
      </c>
      <c r="F170" t="inlineStr">
        <is>
          <t>VÄSTERBOTTENS LÄN</t>
        </is>
      </c>
      <c r="G170" t="inlineStr">
        <is>
          <t>ROBERTSFORS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46304</v>
      </c>
      <c r="F171" t="inlineStr">
        <is>
          <t>VÄSTERBOTTENS LÄN</t>
        </is>
      </c>
      <c r="G171" t="inlineStr">
        <is>
          <t>ROBERTSFORS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45841</v>
      </c>
      <c r="E172" s="1" t="n">
        <v>46304</v>
      </c>
      <c r="F172" t="inlineStr">
        <is>
          <t>VÄSTERBOTTENS LÄN</t>
        </is>
      </c>
      <c r="G172" t="inlineStr">
        <is>
          <t>ROBERTSFORS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33375-2025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45841</v>
      </c>
      <c r="E173" s="1" t="n">
        <v>46304</v>
      </c>
      <c r="F173" t="inlineStr">
        <is>
          <t>VÄSTERBOTTENS LÄN</t>
        </is>
      </c>
      <c r="G173" t="inlineStr">
        <is>
          <t>ROBERTSFORS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46304</v>
      </c>
      <c r="F174" t="inlineStr">
        <is>
          <t>VÄSTERBOTTENS LÄN</t>
        </is>
      </c>
      <c r="G174" t="inlineStr">
        <is>
          <t>ROBERTSFORS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46304</v>
      </c>
      <c r="F175" t="inlineStr">
        <is>
          <t>VÄSTERBOTTENS LÄN</t>
        </is>
      </c>
      <c r="G175" t="inlineStr">
        <is>
          <t>ROBERTSFORS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46304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46304</v>
      </c>
      <c r="F177" t="inlineStr">
        <is>
          <t>VÄSTERBOTTENS LÄN</t>
        </is>
      </c>
      <c r="G177" t="inlineStr">
        <is>
          <t>ROBERTSFORS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46304</v>
      </c>
      <c r="F178" t="inlineStr">
        <is>
          <t>VÄSTERBOTTENS LÄN</t>
        </is>
      </c>
      <c r="G178" t="inlineStr">
        <is>
          <t>ROBERTSFORS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45856</v>
      </c>
      <c r="E179" s="1" t="n">
        <v>46304</v>
      </c>
      <c r="F179" t="inlineStr">
        <is>
          <t>VÄSTERBOTTENS LÄN</t>
        </is>
      </c>
      <c r="G179" t="inlineStr">
        <is>
          <t>ROBERTSFORS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45856</v>
      </c>
      <c r="E180" s="1" t="n">
        <v>46304</v>
      </c>
      <c r="F180" t="inlineStr">
        <is>
          <t>VÄSTERBOTTENS LÄN</t>
        </is>
      </c>
      <c r="G180" t="inlineStr">
        <is>
          <t>ROBERTSFORS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35562-2025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45856</v>
      </c>
      <c r="E181" s="1" t="n">
        <v>46304</v>
      </c>
      <c r="F181" t="inlineStr">
        <is>
          <t>VÄSTERBOTTENS LÄN</t>
        </is>
      </c>
      <c r="G181" t="inlineStr">
        <is>
          <t>ROBERTSFORS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45789</v>
      </c>
      <c r="E182" s="1" t="n">
        <v>46304</v>
      </c>
      <c r="F182" t="inlineStr">
        <is>
          <t>VÄSTERBOTTENS LÄN</t>
        </is>
      </c>
      <c r="G182" t="inlineStr">
        <is>
          <t>ROBERTSFORS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46300-2024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46304</v>
      </c>
      <c r="F183" t="inlineStr">
        <is>
          <t>VÄSTERBOTTENS LÄN</t>
        </is>
      </c>
      <c r="G183" t="inlineStr">
        <is>
          <t>ROBERTSFORS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46304</v>
      </c>
      <c r="F184" t="inlineStr">
        <is>
          <t>VÄSTERBOTTENS LÄN</t>
        </is>
      </c>
      <c r="G184" t="inlineStr">
        <is>
          <t>ROBERTSFORS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45617</v>
      </c>
      <c r="E185" s="1" t="n">
        <v>46304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39677-2025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45890</v>
      </c>
      <c r="E186" s="1" t="n">
        <v>46304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46304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39655-2025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45890</v>
      </c>
      <c r="E188" s="1" t="n">
        <v>46304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45458</v>
      </c>
      <c r="E189" s="1" t="n">
        <v>46304</v>
      </c>
      <c r="F189" t="inlineStr">
        <is>
          <t>VÄSTERBOTTENS LÄN</t>
        </is>
      </c>
      <c r="G189" t="inlineStr">
        <is>
          <t>ROBERTSFORS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45895</v>
      </c>
      <c r="E190" s="1" t="n">
        <v>46304</v>
      </c>
      <c r="F190" t="inlineStr">
        <is>
          <t>VÄSTERBOTTENS LÄN</t>
        </is>
      </c>
      <c r="G190" t="inlineStr">
        <is>
          <t>ROBERTSFORS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39982-2025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45893</v>
      </c>
      <c r="E191" s="1" t="n">
        <v>46304</v>
      </c>
      <c r="F191" t="inlineStr">
        <is>
          <t>VÄSTERBOTTENS LÄN</t>
        </is>
      </c>
      <c r="G191" t="inlineStr">
        <is>
          <t>ROBERTSFORS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45870</v>
      </c>
      <c r="E192" s="1" t="n">
        <v>46304</v>
      </c>
      <c r="F192" t="inlineStr">
        <is>
          <t>VÄSTERBOTTENS LÄN</t>
        </is>
      </c>
      <c r="G192" t="inlineStr">
        <is>
          <t>ROBERTSFORS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45635</v>
      </c>
      <c r="E193" s="1" t="n">
        <v>46304</v>
      </c>
      <c r="F193" t="inlineStr">
        <is>
          <t>VÄSTERBOTTENS LÄN</t>
        </is>
      </c>
      <c r="G193" t="inlineStr">
        <is>
          <t>ROBERTSFORS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46304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45873</v>
      </c>
      <c r="E195" s="1" t="n">
        <v>46304</v>
      </c>
      <c r="F195" t="inlineStr">
        <is>
          <t>VÄSTERBOTTENS LÄN</t>
        </is>
      </c>
      <c r="G195" t="inlineStr">
        <is>
          <t>ROBERTSFORS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16921-2023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46304</v>
      </c>
      <c r="F196" t="inlineStr">
        <is>
          <t>VÄSTERBOTTENS LÄN</t>
        </is>
      </c>
      <c r="G196" t="inlineStr">
        <is>
          <t>ROBERTSFORS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46304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65771-2021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44516</v>
      </c>
      <c r="E198" s="1" t="n">
        <v>46304</v>
      </c>
      <c r="F198" t="inlineStr">
        <is>
          <t>VÄSTERBOTTENS LÄN</t>
        </is>
      </c>
      <c r="G198" t="inlineStr">
        <is>
          <t>ROBERTSFORS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45480</v>
      </c>
      <c r="E199" s="1" t="n">
        <v>46304</v>
      </c>
      <c r="F199" t="inlineStr">
        <is>
          <t>VÄSTERBOTTENS LÄN</t>
        </is>
      </c>
      <c r="G199" t="inlineStr">
        <is>
          <t>ROBERTSFORS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45661</v>
      </c>
      <c r="E200" s="1" t="n">
        <v>46304</v>
      </c>
      <c r="F200" t="inlineStr">
        <is>
          <t>VÄSTERBOTTENS LÄN</t>
        </is>
      </c>
      <c r="G200" t="inlineStr">
        <is>
          <t>ROBERTSFORS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46304</v>
      </c>
      <c r="F201" t="inlineStr">
        <is>
          <t>VÄSTERBOTTENS LÄN</t>
        </is>
      </c>
      <c r="G201" t="inlineStr">
        <is>
          <t>ROBERTSFORS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65772-2021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44516</v>
      </c>
      <c r="E202" s="1" t="n">
        <v>46304</v>
      </c>
      <c r="F202" t="inlineStr">
        <is>
          <t>VÄSTERBOTTENS LÄN</t>
        </is>
      </c>
      <c r="G202" t="inlineStr">
        <is>
          <t>ROBERTSFORS</t>
        </is>
      </c>
      <c r="I202" t="n">
        <v>18.2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64625-2023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46304</v>
      </c>
      <c r="F203" t="inlineStr">
        <is>
          <t>VÄSTERBOTTENS LÄN</t>
        </is>
      </c>
      <c r="G203" t="inlineStr">
        <is>
          <t>ROBERTSFORS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46304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45191</v>
      </c>
      <c r="E205" s="1" t="n">
        <v>46304</v>
      </c>
      <c r="F205" t="inlineStr">
        <is>
          <t>VÄSTERBOTTENS LÄN</t>
        </is>
      </c>
      <c r="G205" t="inlineStr">
        <is>
          <t>ROBERTSFORS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45512</v>
      </c>
      <c r="E206" s="1" t="n">
        <v>46304</v>
      </c>
      <c r="F206" t="inlineStr">
        <is>
          <t>VÄSTERBOTTENS LÄN</t>
        </is>
      </c>
      <c r="G206" t="inlineStr">
        <is>
          <t>ROBERTSFORS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46304</v>
      </c>
      <c r="F207" t="inlineStr">
        <is>
          <t>VÄSTERBOTTENS LÄN</t>
        </is>
      </c>
      <c r="G207" t="inlineStr">
        <is>
          <t>ROBERTSFORS</t>
        </is>
      </c>
      <c r="I207" t="n">
        <v>12.7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37357-2024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46304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44783</v>
      </c>
      <c r="E209" s="1" t="n">
        <v>46304</v>
      </c>
      <c r="F209" t="inlineStr">
        <is>
          <t>VÄSTERBOTTENS LÄN</t>
        </is>
      </c>
      <c r="G209" t="inlineStr">
        <is>
          <t>ROBERTSFORS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44838</v>
      </c>
      <c r="E210" s="1" t="n">
        <v>46304</v>
      </c>
      <c r="F210" t="inlineStr">
        <is>
          <t>VÄSTERBOTTENS LÄN</t>
        </is>
      </c>
      <c r="G210" t="inlineStr">
        <is>
          <t>ROBERTSFORS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46304</v>
      </c>
      <c r="F211" t="inlineStr">
        <is>
          <t>VÄSTERBOTTENS LÄN</t>
        </is>
      </c>
      <c r="G211" t="inlineStr">
        <is>
          <t>ROBERTSFORS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45653</v>
      </c>
      <c r="E212" s="1" t="n">
        <v>46304</v>
      </c>
      <c r="F212" t="inlineStr">
        <is>
          <t>VÄSTERBOTTENS LÄN</t>
        </is>
      </c>
      <c r="G212" t="inlineStr">
        <is>
          <t>ROBERTSFORS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44938</v>
      </c>
      <c r="E213" s="1" t="n">
        <v>46304</v>
      </c>
      <c r="F213" t="inlineStr">
        <is>
          <t>VÄSTERBOTTENS LÄN</t>
        </is>
      </c>
      <c r="G213" t="inlineStr">
        <is>
          <t>ROBERTSFORS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44130-2025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45915</v>
      </c>
      <c r="E214" s="1" t="n">
        <v>46304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14096-2026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46304</v>
      </c>
      <c r="F215" t="inlineStr">
        <is>
          <t>VÄSTERBOTTENS LÄN</t>
        </is>
      </c>
      <c r="G215" t="inlineStr">
        <is>
          <t>ROBERTSFORS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46304</v>
      </c>
      <c r="F216" t="inlineStr">
        <is>
          <t>VÄSTERBOTTENS LÄN</t>
        </is>
      </c>
      <c r="G216" t="inlineStr">
        <is>
          <t>ROBERTSFORS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57979-2021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46304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46304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45919</v>
      </c>
      <c r="E219" s="1" t="n">
        <v>46304</v>
      </c>
      <c r="F219" t="inlineStr">
        <is>
          <t>VÄSTERBOTTENS LÄN</t>
        </is>
      </c>
      <c r="G219" t="inlineStr">
        <is>
          <t>ROBERTSFORS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46304</v>
      </c>
      <c r="F220" t="inlineStr">
        <is>
          <t>VÄSTERBOTTENS LÄN</t>
        </is>
      </c>
      <c r="G220" t="inlineStr">
        <is>
          <t>ROBERTSFORS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38026-2024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45544</v>
      </c>
      <c r="E221" s="1" t="n">
        <v>46304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SCA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46168-2025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46304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45701</v>
      </c>
      <c r="E223" s="1" t="n">
        <v>46304</v>
      </c>
      <c r="F223" t="inlineStr">
        <is>
          <t>VÄSTERBOTTENS LÄN</t>
        </is>
      </c>
      <c r="G223" t="inlineStr">
        <is>
          <t>ROBERTSFORS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46304</v>
      </c>
      <c r="F224" t="inlineStr">
        <is>
          <t>VÄSTERBOTTENS LÄN</t>
        </is>
      </c>
      <c r="G224" t="inlineStr">
        <is>
          <t>ROBERTSFORS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59877-2022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44901</v>
      </c>
      <c r="E225" s="1" t="n">
        <v>46304</v>
      </c>
      <c r="F225" t="inlineStr">
        <is>
          <t>VÄSTERBOTTENS LÄN</t>
        </is>
      </c>
      <c r="G225" t="inlineStr">
        <is>
          <t>ROBERTSFORS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46304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46304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15302-2026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46304</v>
      </c>
      <c r="F228" t="inlineStr">
        <is>
          <t>VÄSTERBOTTENS LÄN</t>
        </is>
      </c>
      <c r="G228" t="inlineStr">
        <is>
          <t>ROBERTSFORS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5902-2024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45335</v>
      </c>
      <c r="E229" s="1" t="n">
        <v>46304</v>
      </c>
      <c r="F229" t="inlineStr">
        <is>
          <t>VÄSTERBOTTENS LÄN</t>
        </is>
      </c>
      <c r="G229" t="inlineStr">
        <is>
          <t>ROBERTSFORS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45671</v>
      </c>
      <c r="E230" s="1" t="n">
        <v>46304</v>
      </c>
      <c r="F230" t="inlineStr">
        <is>
          <t>VÄSTERBOTTENS LÄN</t>
        </is>
      </c>
      <c r="G230" t="inlineStr">
        <is>
          <t>ROBERTSFORS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46304</v>
      </c>
      <c r="F231" t="inlineStr">
        <is>
          <t>VÄSTERBOTTENS LÄN</t>
        </is>
      </c>
      <c r="G231" t="inlineStr">
        <is>
          <t>ROBERTSFORS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46304</v>
      </c>
      <c r="F232" t="inlineStr">
        <is>
          <t>VÄSTERBOTTENS LÄN</t>
        </is>
      </c>
      <c r="G232" t="inlineStr">
        <is>
          <t>ROBERTSFORS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46304</v>
      </c>
      <c r="F233" t="inlineStr">
        <is>
          <t>VÄSTERBOTTENS LÄN</t>
        </is>
      </c>
      <c r="G233" t="inlineStr">
        <is>
          <t>ROBERTSFORS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45005</v>
      </c>
      <c r="E234" s="1" t="n">
        <v>46304</v>
      </c>
      <c r="F234" t="inlineStr">
        <is>
          <t>VÄSTERBOTTENS LÄN</t>
        </is>
      </c>
      <c r="G234" t="inlineStr">
        <is>
          <t>ROBERTSFORS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44580</v>
      </c>
      <c r="E235" s="1" t="n">
        <v>46304</v>
      </c>
      <c r="F235" t="inlineStr">
        <is>
          <t>VÄSTERBOTTENS LÄN</t>
        </is>
      </c>
      <c r="G235" t="inlineStr">
        <is>
          <t>ROBERTSFORS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45020</v>
      </c>
      <c r="E236" s="1" t="n">
        <v>46304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46304</v>
      </c>
      <c r="F237" t="inlineStr">
        <is>
          <t>VÄSTERBOTTENS LÄN</t>
        </is>
      </c>
      <c r="G237" t="inlineStr">
        <is>
          <t>ROBERTSFORS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62187-2021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44502</v>
      </c>
      <c r="E238" s="1" t="n">
        <v>46304</v>
      </c>
      <c r="F238" t="inlineStr">
        <is>
          <t>VÄSTERBOTTENS LÄN</t>
        </is>
      </c>
      <c r="G238" t="inlineStr">
        <is>
          <t>ROBERTSFORS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46304</v>
      </c>
      <c r="F239" t="inlineStr">
        <is>
          <t>VÄSTERBOTTENS LÄN</t>
        </is>
      </c>
      <c r="G239" t="inlineStr">
        <is>
          <t>ROBERTSFORS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46304</v>
      </c>
      <c r="F240" t="inlineStr">
        <is>
          <t>VÄSTERBOTTENS LÄN</t>
        </is>
      </c>
      <c r="G240" t="inlineStr">
        <is>
          <t>ROBERTSFORS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45958</v>
      </c>
      <c r="E241" s="1" t="n">
        <v>46304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53320-2025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45959</v>
      </c>
      <c r="E242" s="1" t="n">
        <v>46304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46304</v>
      </c>
      <c r="F243" t="inlineStr">
        <is>
          <t>VÄSTERBOTTENS LÄN</t>
        </is>
      </c>
      <c r="G243" t="inlineStr">
        <is>
          <t>ROBERTSFORS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46304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46304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53824-2025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45961</v>
      </c>
      <c r="E246" s="1" t="n">
        <v>46304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46126</v>
      </c>
      <c r="E247" s="1" t="n">
        <v>46304</v>
      </c>
      <c r="F247" t="inlineStr">
        <is>
          <t>VÄSTERBOTTENS LÄN</t>
        </is>
      </c>
      <c r="G247" t="inlineStr">
        <is>
          <t>ROBERTSFORS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46304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46304</v>
      </c>
      <c r="F249" t="inlineStr">
        <is>
          <t>VÄSTERBOTTENS LÄN</t>
        </is>
      </c>
      <c r="G249" t="inlineStr">
        <is>
          <t>ROBERTSFORS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46304</v>
      </c>
      <c r="F250" t="inlineStr">
        <is>
          <t>VÄSTERBOTTENS LÄN</t>
        </is>
      </c>
      <c r="G250" t="inlineStr">
        <is>
          <t>ROBERTSFORS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46126</v>
      </c>
      <c r="E251" s="1" t="n">
        <v>46304</v>
      </c>
      <c r="F251" t="inlineStr">
        <is>
          <t>VÄSTERBOTTENS LÄN</t>
        </is>
      </c>
      <c r="G251" t="inlineStr">
        <is>
          <t>ROBERTSFORS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54607-2025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45966</v>
      </c>
      <c r="E252" s="1" t="n">
        <v>46304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46304</v>
      </c>
      <c r="F253" t="inlineStr">
        <is>
          <t>VÄSTERBOTTENS LÄN</t>
        </is>
      </c>
      <c r="G253" t="inlineStr">
        <is>
          <t>ROBERTSFORS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46304</v>
      </c>
      <c r="F254" t="inlineStr">
        <is>
          <t>VÄSTERBOTTENS LÄN</t>
        </is>
      </c>
      <c r="G254" t="inlineStr">
        <is>
          <t>ROBERTSFORS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58526-2023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45251</v>
      </c>
      <c r="E255" s="1" t="n">
        <v>46304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13.9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45510</v>
      </c>
      <c r="E256" s="1" t="n">
        <v>46304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45246</v>
      </c>
      <c r="E257" s="1" t="n">
        <v>46304</v>
      </c>
      <c r="F257" t="inlineStr">
        <is>
          <t>VÄSTERBOTTENS LÄN</t>
        </is>
      </c>
      <c r="G257" t="inlineStr">
        <is>
          <t>ROBERTSFORS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46304</v>
      </c>
      <c r="F258" t="inlineStr">
        <is>
          <t>VÄSTERBOTTENS LÄN</t>
        </is>
      </c>
      <c r="G258" t="inlineStr">
        <is>
          <t>ROBERTSFORS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46304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46304</v>
      </c>
      <c r="F260" t="inlineStr">
        <is>
          <t>VÄSTERBOTTENS LÄN</t>
        </is>
      </c>
      <c r="G260" t="inlineStr">
        <is>
          <t>ROBERTSFORS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9135-2024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45357</v>
      </c>
      <c r="E261" s="1" t="n">
        <v>46304</v>
      </c>
      <c r="F261" t="inlineStr">
        <is>
          <t>VÄSTERBOTTENS LÄN</t>
        </is>
      </c>
      <c r="G261" t="inlineStr">
        <is>
          <t>ROBERTSFORS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45712</v>
      </c>
      <c r="E262" s="1" t="n">
        <v>46304</v>
      </c>
      <c r="F262" t="inlineStr">
        <is>
          <t>VÄSTERBOTTENS LÄN</t>
        </is>
      </c>
      <c r="G262" t="inlineStr">
        <is>
          <t>ROBERTSFORS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46304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45628</v>
      </c>
      <c r="E264" s="1" t="n">
        <v>46304</v>
      </c>
      <c r="F264" t="inlineStr">
        <is>
          <t>VÄSTERBOTTENS LÄN</t>
        </is>
      </c>
      <c r="G264" t="inlineStr">
        <is>
          <t>ROBERTSFORS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46304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46304</v>
      </c>
      <c r="F266" t="inlineStr">
        <is>
          <t>VÄSTERBOTTENS LÄN</t>
        </is>
      </c>
      <c r="G266" t="inlineStr">
        <is>
          <t>ROBERTSFORS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46132</v>
      </c>
      <c r="E267" s="1" t="n">
        <v>46304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47420-2024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45587</v>
      </c>
      <c r="E268" s="1" t="n">
        <v>46304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SCA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46304</v>
      </c>
      <c r="F269" t="inlineStr">
        <is>
          <t>VÄSTERBOTTENS LÄN</t>
        </is>
      </c>
      <c r="G269" t="inlineStr">
        <is>
          <t>ROBERTSFORS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46304</v>
      </c>
      <c r="F270" t="inlineStr">
        <is>
          <t>VÄSTERBOTTENS LÄN</t>
        </is>
      </c>
      <c r="G270" t="inlineStr">
        <is>
          <t>ROBERTSFORS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46304</v>
      </c>
      <c r="F271" t="inlineStr">
        <is>
          <t>VÄSTERBOTTENS LÄN</t>
        </is>
      </c>
      <c r="G271" t="inlineStr">
        <is>
          <t>ROBERTSFORS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45013</v>
      </c>
      <c r="E272" s="1" t="n">
        <v>46304</v>
      </c>
      <c r="F272" t="inlineStr">
        <is>
          <t>VÄSTERBOTTENS LÄN</t>
        </is>
      </c>
      <c r="G272" t="inlineStr">
        <is>
          <t>ROBERTSFORS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46304</v>
      </c>
      <c r="F273" t="inlineStr">
        <is>
          <t>VÄSTERBOTTENS LÄN</t>
        </is>
      </c>
      <c r="G273" t="inlineStr">
        <is>
          <t>ROBERTSFORS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45042</v>
      </c>
      <c r="E274" s="1" t="n">
        <v>46304</v>
      </c>
      <c r="F274" t="inlineStr">
        <is>
          <t>VÄSTERBOTTENS LÄN</t>
        </is>
      </c>
      <c r="G274" t="inlineStr">
        <is>
          <t>ROBERTSFORS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46304</v>
      </c>
      <c r="F275" t="inlineStr">
        <is>
          <t>VÄSTERBOTTENS LÄN</t>
        </is>
      </c>
      <c r="G275" t="inlineStr">
        <is>
          <t>ROBERTSFORS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45679</v>
      </c>
      <c r="E276" s="1" t="n">
        <v>46304</v>
      </c>
      <c r="F276" t="inlineStr">
        <is>
          <t>VÄSTERBOTTENS LÄN</t>
        </is>
      </c>
      <c r="G276" t="inlineStr">
        <is>
          <t>ROBERTSFORS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46304</v>
      </c>
      <c r="F277" t="inlineStr">
        <is>
          <t>VÄSTERBOTTENS LÄN</t>
        </is>
      </c>
      <c r="G277" t="inlineStr">
        <is>
          <t>ROBERTSFORS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45502</v>
      </c>
      <c r="E278" s="1" t="n">
        <v>46304</v>
      </c>
      <c r="F278" t="inlineStr">
        <is>
          <t>VÄSTERBOTTENS LÄN</t>
        </is>
      </c>
      <c r="G278" t="inlineStr">
        <is>
          <t>ROBERTSFORS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34844-2023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46304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45664</v>
      </c>
      <c r="E280" s="1" t="n">
        <v>46304</v>
      </c>
      <c r="F280" t="inlineStr">
        <is>
          <t>VÄSTERBOTTENS LÄN</t>
        </is>
      </c>
      <c r="G280" t="inlineStr">
        <is>
          <t>ROBERTSFORS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35149-2023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45145</v>
      </c>
      <c r="E281" s="1" t="n">
        <v>46304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46304</v>
      </c>
      <c r="F282" t="inlineStr">
        <is>
          <t>VÄSTERBOTTENS LÄN</t>
        </is>
      </c>
      <c r="G282" t="inlineStr">
        <is>
          <t>ROBERTSFORS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46304</v>
      </c>
      <c r="F283" t="inlineStr">
        <is>
          <t>VÄSTERBOTTENS LÄN</t>
        </is>
      </c>
      <c r="G283" t="inlineStr">
        <is>
          <t>ROBERTSFORS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46304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61114-2025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46304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Sveaskog</t>
        </is>
      </c>
      <c r="I285" t="n">
        <v>9.199999999999999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44734</v>
      </c>
      <c r="E286" s="1" t="n">
        <v>46304</v>
      </c>
      <c r="F286" t="inlineStr">
        <is>
          <t>VÄSTERBOTTENS LÄN</t>
        </is>
      </c>
      <c r="G286" t="inlineStr">
        <is>
          <t>ROBERTSFORS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48259-2023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45205</v>
      </c>
      <c r="E287" s="1" t="n">
        <v>46304</v>
      </c>
      <c r="F287" t="inlineStr">
        <is>
          <t>VÄSTERBOTTENS LÄN</t>
        </is>
      </c>
      <c r="G287" t="inlineStr">
        <is>
          <t>ROBERTSFORS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45826</v>
      </c>
      <c r="E288" s="1" t="n">
        <v>46304</v>
      </c>
      <c r="F288" t="inlineStr">
        <is>
          <t>VÄSTERBOTTENS LÄN</t>
        </is>
      </c>
      <c r="G288" t="inlineStr">
        <is>
          <t>ROBERTSFORS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45076</v>
      </c>
      <c r="E289" s="1" t="n">
        <v>46304</v>
      </c>
      <c r="F289" t="inlineStr">
        <is>
          <t>VÄSTERBOTTENS LÄN</t>
        </is>
      </c>
      <c r="G289" t="inlineStr">
        <is>
          <t>ROBERTSFORS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46304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Sveaskog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46304</v>
      </c>
      <c r="F291" t="inlineStr">
        <is>
          <t>VÄSTERBOTTENS LÄN</t>
        </is>
      </c>
      <c r="G291" t="inlineStr">
        <is>
          <t>ROBERTSFORS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46139</v>
      </c>
      <c r="E292" s="1" t="n">
        <v>46304</v>
      </c>
      <c r="F292" t="inlineStr">
        <is>
          <t>VÄSTERBOTTENS LÄN</t>
        </is>
      </c>
      <c r="G292" t="inlineStr">
        <is>
          <t>ROBERTSFORS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46304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46304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44980</v>
      </c>
      <c r="E295" s="1" t="n">
        <v>46304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45002</v>
      </c>
      <c r="E296" s="1" t="n">
        <v>46304</v>
      </c>
      <c r="F296" t="inlineStr">
        <is>
          <t>VÄSTERBOTTENS LÄN</t>
        </is>
      </c>
      <c r="G296" t="inlineStr">
        <is>
          <t>ROBERTSFORS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45734</v>
      </c>
      <c r="E297" s="1" t="n">
        <v>46304</v>
      </c>
      <c r="F297" t="inlineStr">
        <is>
          <t>VÄSTERBOTTENS LÄN</t>
        </is>
      </c>
      <c r="G297" t="inlineStr">
        <is>
          <t>ROBERTSFORS</t>
        </is>
      </c>
      <c r="I297" t="n">
        <v>24.4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46304</v>
      </c>
      <c r="F298" t="inlineStr">
        <is>
          <t>VÄSTERBOTTENS LÄN</t>
        </is>
      </c>
      <c r="G298" t="inlineStr">
        <is>
          <t>ROBERTSFORS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33438-2023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45129</v>
      </c>
      <c r="E299" s="1" t="n">
        <v>46304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46304</v>
      </c>
      <c r="F300" t="inlineStr">
        <is>
          <t>VÄSTERBOTTENS LÄN</t>
        </is>
      </c>
      <c r="G300" t="inlineStr">
        <is>
          <t>ROBERTSFORS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46304</v>
      </c>
      <c r="F301" t="inlineStr">
        <is>
          <t>VÄSTERBOTTENS LÄN</t>
        </is>
      </c>
      <c r="G301" t="inlineStr">
        <is>
          <t>ROBERTSFORS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46304</v>
      </c>
      <c r="F302" t="inlineStr">
        <is>
          <t>VÄSTERBOTTENS LÄN</t>
        </is>
      </c>
      <c r="G302" t="inlineStr">
        <is>
          <t>ROBERTSFORS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46304</v>
      </c>
      <c r="F303" t="inlineStr">
        <is>
          <t>VÄSTERBOTTENS LÄN</t>
        </is>
      </c>
      <c r="G303" t="inlineStr">
        <is>
          <t>ROBERTSFORS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46304</v>
      </c>
      <c r="F304" t="inlineStr">
        <is>
          <t>VÄSTERBOTTENS LÄN</t>
        </is>
      </c>
      <c r="G304" t="inlineStr">
        <is>
          <t>ROBERTSFORS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46304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45404</v>
      </c>
      <c r="E306" s="1" t="n">
        <v>46304</v>
      </c>
      <c r="F306" t="inlineStr">
        <is>
          <t>VÄSTERBOTTENS LÄN</t>
        </is>
      </c>
      <c r="G306" t="inlineStr">
        <is>
          <t>ROBERTSFORS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45610</v>
      </c>
      <c r="E307" s="1" t="n">
        <v>46304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SCA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45302</v>
      </c>
      <c r="E308" s="1" t="n">
        <v>46304</v>
      </c>
      <c r="F308" t="inlineStr">
        <is>
          <t>VÄSTERBOTTENS LÄN</t>
        </is>
      </c>
      <c r="G308" t="inlineStr">
        <is>
          <t>ROBERTSFORS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46304</v>
      </c>
      <c r="F309" t="inlineStr">
        <is>
          <t>VÄSTERBOTTENS LÄN</t>
        </is>
      </c>
      <c r="G309" t="inlineStr">
        <is>
          <t>ROBERTSFORS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46304</v>
      </c>
      <c r="F310" t="inlineStr">
        <is>
          <t>VÄSTERBOTTENS LÄN</t>
        </is>
      </c>
      <c r="G310" t="inlineStr">
        <is>
          <t>ROBERTSFORS</t>
        </is>
      </c>
      <c r="I310" t="n">
        <v>9.9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46304</v>
      </c>
      <c r="F311" t="inlineStr">
        <is>
          <t>VÄSTERBOTTENS LÄN</t>
        </is>
      </c>
      <c r="G311" t="inlineStr">
        <is>
          <t>ROBERTSFORS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46304</v>
      </c>
      <c r="F312" t="inlineStr">
        <is>
          <t>VÄSTERBOTTENS LÄN</t>
        </is>
      </c>
      <c r="G312" t="inlineStr">
        <is>
          <t>ROBERTSFORS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45475</v>
      </c>
      <c r="E313" s="1" t="n">
        <v>46304</v>
      </c>
      <c r="F313" t="inlineStr">
        <is>
          <t>VÄSTERBOTTENS LÄN</t>
        </is>
      </c>
      <c r="G313" t="inlineStr">
        <is>
          <t>ROBERTSFORS</t>
        </is>
      </c>
      <c r="I313" t="n">
        <v>10.5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46304</v>
      </c>
      <c r="F314" t="inlineStr">
        <is>
          <t>VÄSTERBOTTENS LÄN</t>
        </is>
      </c>
      <c r="G314" t="inlineStr">
        <is>
          <t>ROBERTSFORS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46304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45635</v>
      </c>
      <c r="E316" s="1" t="n">
        <v>46304</v>
      </c>
      <c r="F316" t="inlineStr">
        <is>
          <t>VÄSTERBOTTENS LÄN</t>
        </is>
      </c>
      <c r="G316" t="inlineStr">
        <is>
          <t>ROBERTSFORS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46304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45458</v>
      </c>
      <c r="E318" s="1" t="n">
        <v>46304</v>
      </c>
      <c r="F318" t="inlineStr">
        <is>
          <t>VÄSTERBOTTENS LÄN</t>
        </is>
      </c>
      <c r="G318" t="inlineStr">
        <is>
          <t>ROBERTSFORS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46304</v>
      </c>
      <c r="F319" t="inlineStr">
        <is>
          <t>VÄSTERBOTTENS LÄN</t>
        </is>
      </c>
      <c r="G319" t="inlineStr">
        <is>
          <t>ROBERTSFORS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46304</v>
      </c>
      <c r="F320" t="inlineStr">
        <is>
          <t>VÄSTERBOTTENS LÄN</t>
        </is>
      </c>
      <c r="G320" t="inlineStr">
        <is>
          <t>ROBERTSFORS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45041</v>
      </c>
      <c r="E321" s="1" t="n">
        <v>46304</v>
      </c>
      <c r="F321" t="inlineStr">
        <is>
          <t>VÄSTERBOTTENS LÄN</t>
        </is>
      </c>
      <c r="G321" t="inlineStr">
        <is>
          <t>ROBERTSFORS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46304</v>
      </c>
      <c r="F322" t="inlineStr">
        <is>
          <t>VÄSTERBOTTENS LÄN</t>
        </is>
      </c>
      <c r="G322" t="inlineStr">
        <is>
          <t>ROBERTSFORS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46065</v>
      </c>
      <c r="E323" s="1" t="n">
        <v>46304</v>
      </c>
      <c r="F323" t="inlineStr">
        <is>
          <t>VÄSTERBOTTENS LÄN</t>
        </is>
      </c>
      <c r="G323" t="inlineStr">
        <is>
          <t>ROBERTSFORS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46304</v>
      </c>
      <c r="F324" t="inlineStr">
        <is>
          <t>VÄSTERBOTTENS LÄN</t>
        </is>
      </c>
      <c r="G324" t="inlineStr">
        <is>
          <t>ROBERTSFORS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45133</v>
      </c>
      <c r="E325" s="1" t="n">
        <v>46304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45756</v>
      </c>
      <c r="E326" s="1" t="n">
        <v>46304</v>
      </c>
      <c r="F326" t="inlineStr">
        <is>
          <t>VÄSTERBOTTENS LÄN</t>
        </is>
      </c>
      <c r="G326" t="inlineStr">
        <is>
          <t>ROBERTSFORS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46304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45551</v>
      </c>
      <c r="E328" s="1" t="n">
        <v>46304</v>
      </c>
      <c r="F328" t="inlineStr">
        <is>
          <t>VÄSTERBOTTENS LÄN</t>
        </is>
      </c>
      <c r="G328" t="inlineStr">
        <is>
          <t>ROBERTSFORS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46304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46304</v>
      </c>
      <c r="F330" t="inlineStr">
        <is>
          <t>VÄSTERBOTTENS LÄN</t>
        </is>
      </c>
      <c r="G330" t="inlineStr">
        <is>
          <t>ROBERTSFORS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46304</v>
      </c>
      <c r="F331" t="inlineStr">
        <is>
          <t>VÄSTERBOTTENS LÄN</t>
        </is>
      </c>
      <c r="G331" t="inlineStr">
        <is>
          <t>ROBERTSFORS</t>
        </is>
      </c>
      <c r="I331" t="n">
        <v>10.8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46304</v>
      </c>
      <c r="F332" t="inlineStr">
        <is>
          <t>VÄSTERBOTTENS LÄN</t>
        </is>
      </c>
      <c r="G332" t="inlineStr">
        <is>
          <t>ROBERTSFORS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45307</v>
      </c>
      <c r="E333" s="1" t="n">
        <v>46304</v>
      </c>
      <c r="F333" t="inlineStr">
        <is>
          <t>VÄSTERBOTTENS LÄN</t>
        </is>
      </c>
      <c r="G333" t="inlineStr">
        <is>
          <t>ROBERTSFORS</t>
        </is>
      </c>
      <c r="I333" t="n">
        <v>12.1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45146</v>
      </c>
      <c r="E334" s="1" t="n">
        <v>46304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46304</v>
      </c>
      <c r="F335" t="inlineStr">
        <is>
          <t>VÄSTERBOTTENS LÄN</t>
        </is>
      </c>
      <c r="G335" t="inlineStr">
        <is>
          <t>ROBERTSFORS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46083</v>
      </c>
      <c r="E336" s="1" t="n">
        <v>46304</v>
      </c>
      <c r="F336" t="inlineStr">
        <is>
          <t>VÄSTERBOTTENS LÄN</t>
        </is>
      </c>
      <c r="G336" t="inlineStr">
        <is>
          <t>ROBERTSFORS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26894-2024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45470</v>
      </c>
      <c r="E337" s="1" t="n">
        <v>46304</v>
      </c>
      <c r="F337" t="inlineStr">
        <is>
          <t>VÄSTERBOTTENS LÄN</t>
        </is>
      </c>
      <c r="G337" t="inlineStr">
        <is>
          <t>ROBERTSFORS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45301</v>
      </c>
      <c r="E338" s="1" t="n">
        <v>46304</v>
      </c>
      <c r="F338" t="inlineStr">
        <is>
          <t>VÄSTERBOTTENS LÄN</t>
        </is>
      </c>
      <c r="G338" t="inlineStr">
        <is>
          <t>ROBERTSFORS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46304</v>
      </c>
      <c r="F339" t="inlineStr">
        <is>
          <t>VÄSTERBOTTENS LÄN</t>
        </is>
      </c>
      <c r="G339" t="inlineStr">
        <is>
          <t>ROBERTSFORS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21176-2026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46304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61553-2023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45261</v>
      </c>
      <c r="E341" s="1" t="n">
        <v>46304</v>
      </c>
      <c r="F341" t="inlineStr">
        <is>
          <t>VÄSTERBOTTENS LÄN</t>
        </is>
      </c>
      <c r="G341" t="inlineStr">
        <is>
          <t>ROBERTSFORS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46304</v>
      </c>
      <c r="F342" t="inlineStr">
        <is>
          <t>VÄSTERBOTTENS LÄN</t>
        </is>
      </c>
      <c r="G342" t="inlineStr">
        <is>
          <t>ROBERTSFORS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45617</v>
      </c>
      <c r="E343" s="1" t="n">
        <v>46304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45160</v>
      </c>
      <c r="E344" s="1" t="n">
        <v>46304</v>
      </c>
      <c r="F344" t="inlineStr">
        <is>
          <t>VÄSTERBOTTENS LÄN</t>
        </is>
      </c>
      <c r="G344" t="inlineStr">
        <is>
          <t>ROBERTSFORS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46304</v>
      </c>
      <c r="F345" t="inlineStr">
        <is>
          <t>VÄSTERBOTTENS LÄN</t>
        </is>
      </c>
      <c r="G345" t="inlineStr">
        <is>
          <t>ROBERTSFORS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46304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46150</v>
      </c>
      <c r="E347" s="1" t="n">
        <v>46304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45176</v>
      </c>
      <c r="E348" s="1" t="n">
        <v>46304</v>
      </c>
      <c r="F348" t="inlineStr">
        <is>
          <t>VÄSTERBOTTENS LÄN</t>
        </is>
      </c>
      <c r="G348" t="inlineStr">
        <is>
          <t>ROBERTSFORS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46304</v>
      </c>
      <c r="F349" t="inlineStr">
        <is>
          <t>VÄSTERBOTTENS LÄN</t>
        </is>
      </c>
      <c r="G349" t="inlineStr">
        <is>
          <t>ROBERTSFORS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46304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10330-2024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45365</v>
      </c>
      <c r="E351" s="1" t="n">
        <v>46304</v>
      </c>
      <c r="F351" t="inlineStr">
        <is>
          <t>VÄSTERBOTTENS LÄN</t>
        </is>
      </c>
      <c r="G351" t="inlineStr">
        <is>
          <t>ROBERTSFORS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46304</v>
      </c>
      <c r="F352" t="inlineStr">
        <is>
          <t>VÄSTERBOTTENS LÄN</t>
        </is>
      </c>
      <c r="G352" t="inlineStr">
        <is>
          <t>ROBERTSFORS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45548</v>
      </c>
      <c r="E353" s="1" t="n">
        <v>46304</v>
      </c>
      <c r="F353" t="inlineStr">
        <is>
          <t>VÄSTERBOTTENS LÄN</t>
        </is>
      </c>
      <c r="G353" t="inlineStr">
        <is>
          <t>ROBERTSFORS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43424-2024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45568</v>
      </c>
      <c r="E354" s="1" t="n">
        <v>46304</v>
      </c>
      <c r="F354" t="inlineStr">
        <is>
          <t>VÄSTERBOTTENS LÄN</t>
        </is>
      </c>
      <c r="G354" t="inlineStr">
        <is>
          <t>ROBERTSFORS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46304</v>
      </c>
      <c r="F355" t="inlineStr">
        <is>
          <t>VÄSTERBOTTENS LÄN</t>
        </is>
      </c>
      <c r="G355" t="inlineStr">
        <is>
          <t>ROBERTSFORS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45667</v>
      </c>
      <c r="E356" s="1" t="n">
        <v>46304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52832-2024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45610</v>
      </c>
      <c r="E357" s="1" t="n">
        <v>46304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SCA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44580</v>
      </c>
      <c r="E358" s="1" t="n">
        <v>46304</v>
      </c>
      <c r="F358" t="inlineStr">
        <is>
          <t>VÄSTERBOTTENS LÄN</t>
        </is>
      </c>
      <c r="G358" t="inlineStr">
        <is>
          <t>ROBERTSFORS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45526</v>
      </c>
      <c r="E359" s="1" t="n">
        <v>46304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45432</v>
      </c>
      <c r="E360" s="1" t="n">
        <v>46304</v>
      </c>
      <c r="F360" t="inlineStr">
        <is>
          <t>VÄSTERBOTTENS LÄN</t>
        </is>
      </c>
      <c r="G360" t="inlineStr">
        <is>
          <t>ROBERTSFORS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45502</v>
      </c>
      <c r="E361" s="1" t="n">
        <v>46304</v>
      </c>
      <c r="F361" t="inlineStr">
        <is>
          <t>VÄSTERBOTTENS LÄN</t>
        </is>
      </c>
      <c r="G361" t="inlineStr">
        <is>
          <t>ROBERTSFORS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45636</v>
      </c>
      <c r="E362" s="1" t="n">
        <v>46304</v>
      </c>
      <c r="F362" t="inlineStr">
        <is>
          <t>VÄSTERBOTTENS LÄN</t>
        </is>
      </c>
      <c r="G362" t="inlineStr">
        <is>
          <t>ROBERTSFORS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46160</v>
      </c>
      <c r="E363" s="1" t="n">
        <v>46304</v>
      </c>
      <c r="F363" t="inlineStr">
        <is>
          <t>VÄSTERBOTTENS LÄN</t>
        </is>
      </c>
      <c r="G363" t="inlineStr">
        <is>
          <t>ROBERTSFORS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45644</v>
      </c>
      <c r="E364" s="1" t="n">
        <v>46304</v>
      </c>
      <c r="F364" t="inlineStr">
        <is>
          <t>VÄSTERBOTTENS LÄN</t>
        </is>
      </c>
      <c r="G364" t="inlineStr">
        <is>
          <t>ROBERTSFORS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46304</v>
      </c>
      <c r="F365" t="inlineStr">
        <is>
          <t>VÄSTERBOTTENS LÄN</t>
        </is>
      </c>
      <c r="G365" t="inlineStr">
        <is>
          <t>ROBERTSFORS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46304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50448-2024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46304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53984-2022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44876</v>
      </c>
      <c r="E368" s="1" t="n">
        <v>46304</v>
      </c>
      <c r="F368" t="inlineStr">
        <is>
          <t>VÄSTERBOTTENS LÄN</t>
        </is>
      </c>
      <c r="G368" t="inlineStr">
        <is>
          <t>ROBERTSFORS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45846-2024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45580</v>
      </c>
      <c r="E369" s="1" t="n">
        <v>46304</v>
      </c>
      <c r="F369" t="inlineStr">
        <is>
          <t>VÄSTERBOTTENS LÄN</t>
        </is>
      </c>
      <c r="G369" t="inlineStr">
        <is>
          <t>ROBERTSFORS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46304</v>
      </c>
      <c r="F370" t="inlineStr">
        <is>
          <t>VÄSTERBOTTENS LÄN</t>
        </is>
      </c>
      <c r="G370" t="inlineStr">
        <is>
          <t>ROBERTSFORS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16865-2023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45029</v>
      </c>
      <c r="E371" s="1" t="n">
        <v>46304</v>
      </c>
      <c r="F371" t="inlineStr">
        <is>
          <t>VÄSTERBOTTENS LÄN</t>
        </is>
      </c>
      <c r="G371" t="inlineStr">
        <is>
          <t>ROBERTSFORS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24647-2026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46171</v>
      </c>
      <c r="E372" s="1" t="n">
        <v>46304</v>
      </c>
      <c r="F372" t="inlineStr">
        <is>
          <t>VÄSTERBOTTENS LÄN</t>
        </is>
      </c>
      <c r="G372" t="inlineStr">
        <is>
          <t>ROBERTSFORS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46304</v>
      </c>
      <c r="F373" t="inlineStr">
        <is>
          <t>VÄSTERBOTTENS LÄN</t>
        </is>
      </c>
      <c r="G373" t="inlineStr">
        <is>
          <t>ROBERTSFORS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45386</v>
      </c>
      <c r="E374" s="1" t="n">
        <v>46304</v>
      </c>
      <c r="F374" t="inlineStr">
        <is>
          <t>VÄSTERBOTTENS LÄN</t>
        </is>
      </c>
      <c r="G374" t="inlineStr">
        <is>
          <t>ROBERTSFORS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42494-2024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45565</v>
      </c>
      <c r="E375" s="1" t="n">
        <v>46304</v>
      </c>
      <c r="F375" t="inlineStr">
        <is>
          <t>VÄSTERBOTTENS LÄN</t>
        </is>
      </c>
      <c r="G375" t="inlineStr">
        <is>
          <t>ROBERTSFORS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45627</v>
      </c>
      <c r="E376" s="1" t="n">
        <v>46304</v>
      </c>
      <c r="F376" t="inlineStr">
        <is>
          <t>VÄSTERBOTTENS LÄN</t>
        </is>
      </c>
      <c r="G376" t="inlineStr">
        <is>
          <t>ROBERTSFORS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46304</v>
      </c>
      <c r="F377" t="inlineStr">
        <is>
          <t>VÄSTERBOTTENS LÄN</t>
        </is>
      </c>
      <c r="G377" t="inlineStr">
        <is>
          <t>ROBERTSFORS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45215</v>
      </c>
      <c r="E378" s="1" t="n">
        <v>46304</v>
      </c>
      <c r="F378" t="inlineStr">
        <is>
          <t>VÄSTERBOTTENS LÄN</t>
        </is>
      </c>
      <c r="G378" t="inlineStr">
        <is>
          <t>ROBERTSFORS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46304</v>
      </c>
      <c r="F379" t="inlineStr">
        <is>
          <t>VÄSTERBOTTENS LÄN</t>
        </is>
      </c>
      <c r="G379" t="inlineStr">
        <is>
          <t>ROBERTSFORS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46304</v>
      </c>
      <c r="F380" t="inlineStr">
        <is>
          <t>VÄSTERBOTTENS LÄN</t>
        </is>
      </c>
      <c r="G380" t="inlineStr">
        <is>
          <t>ROBERTSFORS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46304</v>
      </c>
      <c r="F381" t="inlineStr">
        <is>
          <t>VÄSTERBOTTENS LÄN</t>
        </is>
      </c>
      <c r="G381" t="inlineStr">
        <is>
          <t>ROBERTSFORS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58426-2022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44901</v>
      </c>
      <c r="E382" s="1" t="n">
        <v>46304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46304</v>
      </c>
      <c r="F383" t="inlineStr">
        <is>
          <t>VÄSTERBOTTENS LÄN</t>
        </is>
      </c>
      <c r="G383" t="inlineStr">
        <is>
          <t>ROBERTSFORS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45454</v>
      </c>
      <c r="E384" s="1" t="n">
        <v>46304</v>
      </c>
      <c r="F384" t="inlineStr">
        <is>
          <t>VÄSTERBOTTENS LÄN</t>
        </is>
      </c>
      <c r="G384" t="inlineStr">
        <is>
          <t>ROBERTSFORS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50046-2024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45600</v>
      </c>
      <c r="E385" s="1" t="n">
        <v>46304</v>
      </c>
      <c r="F385" t="inlineStr">
        <is>
          <t>VÄSTERBOTTENS LÄN</t>
        </is>
      </c>
      <c r="G385" t="inlineStr">
        <is>
          <t>ROBERTSFORS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46177</v>
      </c>
      <c r="E386" s="1" t="n">
        <v>46304</v>
      </c>
      <c r="F386" t="inlineStr">
        <is>
          <t>VÄSTERBOTTENS LÄN</t>
        </is>
      </c>
      <c r="G386" t="inlineStr">
        <is>
          <t>ROBERTSFORS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46304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45250</v>
      </c>
      <c r="E388" s="1" t="n">
        <v>46304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46304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45583</v>
      </c>
      <c r="E390" s="1" t="n">
        <v>46304</v>
      </c>
      <c r="F390" t="inlineStr">
        <is>
          <t>VÄSTERBOTTENS LÄN</t>
        </is>
      </c>
      <c r="G390" t="inlineStr">
        <is>
          <t>ROBERTSFORS</t>
        </is>
      </c>
      <c r="I390" t="n">
        <v>9.6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44571</v>
      </c>
      <c r="E391" s="1" t="n">
        <v>46304</v>
      </c>
      <c r="F391" t="inlineStr">
        <is>
          <t>VÄSTERBOTTENS LÄN</t>
        </is>
      </c>
      <c r="G391" t="inlineStr">
        <is>
          <t>ROBERTSFORS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58790-2022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44895</v>
      </c>
      <c r="E392" s="1" t="n">
        <v>46304</v>
      </c>
      <c r="F392" t="inlineStr">
        <is>
          <t>VÄSTERBOTTENS LÄN</t>
        </is>
      </c>
      <c r="G392" t="inlineStr">
        <is>
          <t>ROBERTSFORS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46183</v>
      </c>
      <c r="E393" s="1" t="n">
        <v>46304</v>
      </c>
      <c r="F393" t="inlineStr">
        <is>
          <t>VÄSTERBOTTENS LÄN</t>
        </is>
      </c>
      <c r="G393" t="inlineStr">
        <is>
          <t>ROBERTSFORS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45468</v>
      </c>
      <c r="E394" s="1" t="n">
        <v>46304</v>
      </c>
      <c r="F394" t="inlineStr">
        <is>
          <t>VÄSTERBOTTENS LÄN</t>
        </is>
      </c>
      <c r="G394" t="inlineStr">
        <is>
          <t>ROBERTSFORS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26949-2026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46304</v>
      </c>
      <c r="F395" t="inlineStr">
        <is>
          <t>VÄSTERBOTTENS LÄN</t>
        </is>
      </c>
      <c r="G395" t="inlineStr">
        <is>
          <t>ROBERTSFORS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45545</v>
      </c>
      <c r="E396" s="1" t="n">
        <v>46304</v>
      </c>
      <c r="F396" t="inlineStr">
        <is>
          <t>VÄSTERBOTTENS LÄN</t>
        </is>
      </c>
      <c r="G396" t="inlineStr">
        <is>
          <t>ROBERTSFORS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45664</v>
      </c>
      <c r="E397" s="1" t="n">
        <v>46304</v>
      </c>
      <c r="F397" t="inlineStr">
        <is>
          <t>VÄSTERBOTTENS LÄN</t>
        </is>
      </c>
      <c r="G397" t="inlineStr">
        <is>
          <t>ROBERTSFORS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46185</v>
      </c>
      <c r="E398" s="1" t="n">
        <v>46304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46304</v>
      </c>
      <c r="F399" t="inlineStr">
        <is>
          <t>VÄSTERBOTTENS LÄN</t>
        </is>
      </c>
      <c r="G399" t="inlineStr">
        <is>
          <t>ROBERTSFORS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46304</v>
      </c>
      <c r="F400" t="inlineStr">
        <is>
          <t>VÄSTERBOTTENS LÄN</t>
        </is>
      </c>
      <c r="G400" t="inlineStr">
        <is>
          <t>ROBERTSFORS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46304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46304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45708</v>
      </c>
      <c r="E403" s="1" t="n">
        <v>46304</v>
      </c>
      <c r="F403" t="inlineStr">
        <is>
          <t>VÄSTERBOTTENS LÄN</t>
        </is>
      </c>
      <c r="G403" t="inlineStr">
        <is>
          <t>ROBERTSFORS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30733-2024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45496</v>
      </c>
      <c r="E404" s="1" t="n">
        <v>46304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8.6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10173-2022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44622</v>
      </c>
      <c r="E405" s="1" t="n">
        <v>46304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25572-2023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45082</v>
      </c>
      <c r="E406" s="1" t="n">
        <v>46304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60604-2024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45644</v>
      </c>
      <c r="E407" s="1" t="n">
        <v>46304</v>
      </c>
      <c r="F407" t="inlineStr">
        <is>
          <t>VÄSTERBOTTENS LÄN</t>
        </is>
      </c>
      <c r="G407" t="inlineStr">
        <is>
          <t>ROBERTSFORS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44952</v>
      </c>
      <c r="E408" s="1" t="n">
        <v>46304</v>
      </c>
      <c r="F408" t="inlineStr">
        <is>
          <t>VÄSTERBOTTENS LÄN</t>
        </is>
      </c>
      <c r="G408" t="inlineStr">
        <is>
          <t>ROBERTSFORS</t>
        </is>
      </c>
      <c r="I408" t="n">
        <v>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10334-2023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46304</v>
      </c>
      <c r="F409" t="inlineStr">
        <is>
          <t>VÄSTERBOTTENS LÄN</t>
        </is>
      </c>
      <c r="G409" t="inlineStr">
        <is>
          <t>ROBERTSFORS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45620</v>
      </c>
      <c r="E410" s="1" t="n">
        <v>46304</v>
      </c>
      <c r="F410" t="inlineStr">
        <is>
          <t>VÄSTERBOTTENS LÄN</t>
        </is>
      </c>
      <c r="G410" t="inlineStr">
        <is>
          <t>ROBERTSFORS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46304</v>
      </c>
      <c r="F411" t="inlineStr">
        <is>
          <t>VÄSTERBOTTENS LÄN</t>
        </is>
      </c>
      <c r="G411" t="inlineStr">
        <is>
          <t>ROBERTSFORS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8256-2025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45708</v>
      </c>
      <c r="E412" s="1" t="n">
        <v>46304</v>
      </c>
      <c r="F412" t="inlineStr">
        <is>
          <t>VÄSTERBOTTENS LÄN</t>
        </is>
      </c>
      <c r="G412" t="inlineStr">
        <is>
          <t>ROBERTSFORS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43547-2023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45184</v>
      </c>
      <c r="E413" s="1" t="n">
        <v>46304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46304</v>
      </c>
      <c r="F414" t="inlineStr">
        <is>
          <t>VÄSTERBOTTENS LÄN</t>
        </is>
      </c>
      <c r="G414" t="inlineStr">
        <is>
          <t>ROBERTSFORS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46304</v>
      </c>
      <c r="F415" t="inlineStr">
        <is>
          <t>VÄSTERBOTTENS LÄN</t>
        </is>
      </c>
      <c r="G415" t="inlineStr">
        <is>
          <t>ROBERTSFORS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46304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SCA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45659</v>
      </c>
      <c r="E417" s="1" t="n">
        <v>46304</v>
      </c>
      <c r="F417" t="inlineStr">
        <is>
          <t>VÄSTERBOTTENS LÄN</t>
        </is>
      </c>
      <c r="G417" t="inlineStr">
        <is>
          <t>ROBERTSFORS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44980</v>
      </c>
      <c r="E418" s="1" t="n">
        <v>46304</v>
      </c>
      <c r="F418" t="inlineStr">
        <is>
          <t>VÄSTERBOTTENS LÄN</t>
        </is>
      </c>
      <c r="G418" t="inlineStr">
        <is>
          <t>ROBERTSFORS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43095-2023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45182</v>
      </c>
      <c r="E419" s="1" t="n">
        <v>46304</v>
      </c>
      <c r="F419" t="inlineStr">
        <is>
          <t>VÄSTERBOTTENS LÄN</t>
        </is>
      </c>
      <c r="G419" t="inlineStr">
        <is>
          <t>ROBERTSFORS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46304</v>
      </c>
      <c r="F420" t="inlineStr">
        <is>
          <t>VÄSTERBOTTENS LÄN</t>
        </is>
      </c>
      <c r="G420" t="inlineStr">
        <is>
          <t>ROBERTSFORS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45631</v>
      </c>
      <c r="E421" s="1" t="n">
        <v>46304</v>
      </c>
      <c r="F421" t="inlineStr">
        <is>
          <t>VÄSTERBOTTENS LÄN</t>
        </is>
      </c>
      <c r="G421" t="inlineStr">
        <is>
          <t>ROBERTSFORS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46304</v>
      </c>
      <c r="F422" t="inlineStr">
        <is>
          <t>VÄSTERBOTTENS LÄN</t>
        </is>
      </c>
      <c r="G422" t="inlineStr">
        <is>
          <t>ROBERTSFORS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46304</v>
      </c>
      <c r="F423" t="inlineStr">
        <is>
          <t>VÄSTERBOTTENS LÄN</t>
        </is>
      </c>
      <c r="G423" t="inlineStr">
        <is>
          <t>ROBERTSFORS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46304</v>
      </c>
      <c r="F424" t="inlineStr">
        <is>
          <t>VÄSTERBOTTENS LÄN</t>
        </is>
      </c>
      <c r="G424" t="inlineStr">
        <is>
          <t>ROBERTSFORS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45135</v>
      </c>
      <c r="E425" s="1" t="n">
        <v>46304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45636</v>
      </c>
      <c r="E426" s="1" t="n">
        <v>46304</v>
      </c>
      <c r="F426" t="inlineStr">
        <is>
          <t>VÄSTERBOTTENS LÄN</t>
        </is>
      </c>
      <c r="G426" t="inlineStr">
        <is>
          <t>ROBERTSFORS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18143-2023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45040</v>
      </c>
      <c r="E427" s="1" t="n">
        <v>46304</v>
      </c>
      <c r="F427" t="inlineStr">
        <is>
          <t>VÄSTERBOTTENS LÄN</t>
        </is>
      </c>
      <c r="G427" t="inlineStr">
        <is>
          <t>ROBERTSFORS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46304</v>
      </c>
      <c r="F428" t="inlineStr">
        <is>
          <t>VÄSTERBOTTENS LÄN</t>
        </is>
      </c>
      <c r="G428" t="inlineStr">
        <is>
          <t>ROBERTSFORS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44683</v>
      </c>
      <c r="E429" s="1" t="n">
        <v>46304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46262</v>
      </c>
      <c r="E430" s="1" t="n">
        <v>46304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35222-2024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45530</v>
      </c>
      <c r="E431" s="1" t="n">
        <v>46304</v>
      </c>
      <c r="F431" t="inlineStr">
        <is>
          <t>VÄSTERBOTTENS LÄN</t>
        </is>
      </c>
      <c r="G431" t="inlineStr">
        <is>
          <t>ROBERTSFORS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44960</v>
      </c>
      <c r="E432" s="1" t="n">
        <v>46304</v>
      </c>
      <c r="F432" t="inlineStr">
        <is>
          <t>VÄSTERBOTTENS LÄN</t>
        </is>
      </c>
      <c r="G432" t="inlineStr">
        <is>
          <t>ROBERTSFORS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44588</v>
      </c>
      <c r="E433" s="1" t="n">
        <v>46304</v>
      </c>
      <c r="F433" t="inlineStr">
        <is>
          <t>VÄSTERBOTTENS LÄN</t>
        </is>
      </c>
      <c r="G433" t="inlineStr">
        <is>
          <t>ROBERTSFORS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46266</v>
      </c>
      <c r="E434" s="1" t="n">
        <v>46304</v>
      </c>
      <c r="F434" t="inlineStr">
        <is>
          <t>VÄSTERBOTTENS LÄN</t>
        </is>
      </c>
      <c r="G434" t="inlineStr">
        <is>
          <t>ROBERTSFORS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46304</v>
      </c>
      <c r="F435" t="inlineStr">
        <is>
          <t>VÄSTERBOTTENS LÄN</t>
        </is>
      </c>
      <c r="G435" t="inlineStr">
        <is>
          <t>ROBERTSFORS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31666-2026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46225</v>
      </c>
      <c r="E436" s="1" t="n">
        <v>46304</v>
      </c>
      <c r="F436" t="inlineStr">
        <is>
          <t>VÄSTERBOTTENS LÄN</t>
        </is>
      </c>
      <c r="G436" t="inlineStr">
        <is>
          <t>ROBERTSFORS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46225</v>
      </c>
      <c r="E437" s="1" t="n">
        <v>46304</v>
      </c>
      <c r="F437" t="inlineStr">
        <is>
          <t>VÄSTERBOTTENS LÄN</t>
        </is>
      </c>
      <c r="G437" t="inlineStr">
        <is>
          <t>ROBERTSFORS</t>
        </is>
      </c>
      <c r="I437" t="n">
        <v>10.4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46266</v>
      </c>
      <c r="E438" s="1" t="n">
        <v>46304</v>
      </c>
      <c r="F438" t="inlineStr">
        <is>
          <t>VÄSTERBOTTENS LÄN</t>
        </is>
      </c>
      <c r="G438" t="inlineStr">
        <is>
          <t>ROBERTSFORS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45659</v>
      </c>
      <c r="E439" s="1" t="n">
        <v>46304</v>
      </c>
      <c r="F439" t="inlineStr">
        <is>
          <t>VÄSTERBOTTENS LÄN</t>
        </is>
      </c>
      <c r="G439" t="inlineStr">
        <is>
          <t>ROBERTSFORS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46269</v>
      </c>
      <c r="E440" s="1" t="n">
        <v>46304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46268</v>
      </c>
      <c r="E441" s="1" t="n">
        <v>46304</v>
      </c>
      <c r="F441" t="inlineStr">
        <is>
          <t>VÄSTERBOTTENS LÄN</t>
        </is>
      </c>
      <c r="G441" t="inlineStr">
        <is>
          <t>ROBERTSFORS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46304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34434-2024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45525</v>
      </c>
      <c r="E443" s="1" t="n">
        <v>46304</v>
      </c>
      <c r="F443" t="inlineStr">
        <is>
          <t>VÄSTERBOTTENS LÄN</t>
        </is>
      </c>
      <c r="G443" t="inlineStr">
        <is>
          <t>ROBERTSFORS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46304</v>
      </c>
      <c r="F444" t="inlineStr">
        <is>
          <t>VÄSTERBOTTENS LÄN</t>
        </is>
      </c>
      <c r="G444" t="inlineStr">
        <is>
          <t>ROBERTSFORS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45671</v>
      </c>
      <c r="E445" s="1" t="n">
        <v>46304</v>
      </c>
      <c r="F445" t="inlineStr">
        <is>
          <t>VÄSTERBOTTENS LÄN</t>
        </is>
      </c>
      <c r="G445" t="inlineStr">
        <is>
          <t>ROBERTSFORS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73557-2021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44551</v>
      </c>
      <c r="E446" s="1" t="n">
        <v>46304</v>
      </c>
      <c r="F446" t="inlineStr">
        <is>
          <t>VÄSTERBOTTENS LÄN</t>
        </is>
      </c>
      <c r="G446" t="inlineStr">
        <is>
          <t>ROBERTSFORS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36500-2026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46269</v>
      </c>
      <c r="E447" s="1" t="n">
        <v>46304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46273</v>
      </c>
      <c r="E448" s="1" t="n">
        <v>46304</v>
      </c>
      <c r="F448" t="inlineStr">
        <is>
          <t>VÄSTERBOTTENS LÄN</t>
        </is>
      </c>
      <c r="G448" t="inlineStr">
        <is>
          <t>ROBERTSFORS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25575-2022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44732</v>
      </c>
      <c r="E449" s="1" t="n">
        <v>46304</v>
      </c>
      <c r="F449" t="inlineStr">
        <is>
          <t>VÄSTERBOTTENS LÄN</t>
        </is>
      </c>
      <c r="G449" t="inlineStr">
        <is>
          <t>ROBERTSFORS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38092-2022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44811</v>
      </c>
      <c r="E450" s="1" t="n">
        <v>46304</v>
      </c>
      <c r="F450" t="inlineStr">
        <is>
          <t>VÄSTERBOTTENS LÄN</t>
        </is>
      </c>
      <c r="G450" t="inlineStr">
        <is>
          <t>ROBERTSFORS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20519-2022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44699</v>
      </c>
      <c r="E451" s="1" t="n">
        <v>46304</v>
      </c>
      <c r="F451" t="inlineStr">
        <is>
          <t>VÄSTERBOTTENS LÄN</t>
        </is>
      </c>
      <c r="G451" t="inlineStr">
        <is>
          <t>ROBERTSFORS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59833-2022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44901</v>
      </c>
      <c r="E452" s="1" t="n">
        <v>46304</v>
      </c>
      <c r="F452" t="inlineStr">
        <is>
          <t>VÄSTERBOTTENS LÄN</t>
        </is>
      </c>
      <c r="G452" t="inlineStr">
        <is>
          <t>ROBERTSFORS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46268</v>
      </c>
      <c r="E453" s="1" t="n">
        <v>46304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Sveaskog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46230</v>
      </c>
      <c r="E454" s="1" t="n">
        <v>46304</v>
      </c>
      <c r="F454" t="inlineStr">
        <is>
          <t>VÄSTERBOTTENS LÄN</t>
        </is>
      </c>
      <c r="G454" t="inlineStr">
        <is>
          <t>ROBERTSFORS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45005</v>
      </c>
      <c r="E455" s="1" t="n">
        <v>46304</v>
      </c>
      <c r="F455" t="inlineStr">
        <is>
          <t>VÄSTERBOTTENS LÄN</t>
        </is>
      </c>
      <c r="G455" t="inlineStr">
        <is>
          <t>ROBERTSFORS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46269</v>
      </c>
      <c r="E456" s="1" t="n">
        <v>46304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Sveaskog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36532-2026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46269</v>
      </c>
      <c r="E457" s="1" t="n">
        <v>46304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Sveaskog</t>
        </is>
      </c>
      <c r="I457" t="n">
        <v>12.7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46304</v>
      </c>
      <c r="F458" t="inlineStr">
        <is>
          <t>VÄSTERBOTTENS LÄN</t>
        </is>
      </c>
      <c r="G458" t="inlineStr">
        <is>
          <t>ROBERTSFORS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46304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45670</v>
      </c>
      <c r="E460" s="1" t="n">
        <v>46304</v>
      </c>
      <c r="F460" t="inlineStr">
        <is>
          <t>VÄSTERBOTTENS LÄN</t>
        </is>
      </c>
      <c r="G460" t="inlineStr">
        <is>
          <t>ROBERTSFORS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45687</v>
      </c>
      <c r="E461" s="1" t="n">
        <v>46304</v>
      </c>
      <c r="F461" t="inlineStr">
        <is>
          <t>VÄSTERBOTTENS LÄN</t>
        </is>
      </c>
      <c r="G461" t="inlineStr">
        <is>
          <t>ROBERTSFORS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46304</v>
      </c>
      <c r="F462" t="inlineStr">
        <is>
          <t>VÄSTERBOTTENS LÄN</t>
        </is>
      </c>
      <c r="G462" t="inlineStr">
        <is>
          <t>ROBERTSFORS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46279</v>
      </c>
      <c r="E463" s="1" t="n">
        <v>46304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37613-2026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46276</v>
      </c>
      <c r="E464" s="1" t="n">
        <v>46304</v>
      </c>
      <c r="F464" t="inlineStr">
        <is>
          <t>VÄSTERBOTTENS LÄN</t>
        </is>
      </c>
      <c r="G464" t="inlineStr">
        <is>
          <t>ROBERTSFORS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45701</v>
      </c>
      <c r="E465" s="1" t="n">
        <v>46304</v>
      </c>
      <c r="F465" t="inlineStr">
        <is>
          <t>VÄSTERBOTTENS LÄN</t>
        </is>
      </c>
      <c r="G465" t="inlineStr">
        <is>
          <t>ROBERTSFORS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37831-2026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46279</v>
      </c>
      <c r="E466" s="1" t="n">
        <v>46304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46279</v>
      </c>
      <c r="E467" s="1" t="n">
        <v>46304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46276</v>
      </c>
      <c r="E468" s="1" t="n">
        <v>46304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38005-2026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46280</v>
      </c>
      <c r="E469" s="1" t="n">
        <v>46304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45161</v>
      </c>
      <c r="E470" s="1" t="n">
        <v>46304</v>
      </c>
      <c r="F470" t="inlineStr">
        <is>
          <t>VÄSTERBOTTENS LÄN</t>
        </is>
      </c>
      <c r="G470" t="inlineStr">
        <is>
          <t>ROBERTSFORS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45246</v>
      </c>
      <c r="E471" s="1" t="n">
        <v>46304</v>
      </c>
      <c r="F471" t="inlineStr">
        <is>
          <t>VÄSTERBOTTENS LÄN</t>
        </is>
      </c>
      <c r="G471" t="inlineStr">
        <is>
          <t>ROBERTSFORS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45246</v>
      </c>
      <c r="E472" s="1" t="n">
        <v>46304</v>
      </c>
      <c r="F472" t="inlineStr">
        <is>
          <t>VÄSTERBOTTENS LÄN</t>
        </is>
      </c>
      <c r="G472" t="inlineStr">
        <is>
          <t>ROBERTSFORS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38083-2023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45160</v>
      </c>
      <c r="E473" s="1" t="n">
        <v>46304</v>
      </c>
      <c r="F473" t="inlineStr">
        <is>
          <t>VÄSTERBOTTENS LÄN</t>
        </is>
      </c>
      <c r="G473" t="inlineStr">
        <is>
          <t>ROBERTSFORS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60570-2024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45644</v>
      </c>
      <c r="E474" s="1" t="n">
        <v>46304</v>
      </c>
      <c r="F474" t="inlineStr">
        <is>
          <t>VÄSTERBOTTENS LÄN</t>
        </is>
      </c>
      <c r="G474" t="inlineStr">
        <is>
          <t>ROBERTSFORS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45628</v>
      </c>
      <c r="E475" s="1" t="n">
        <v>46304</v>
      </c>
      <c r="F475" t="inlineStr">
        <is>
          <t>VÄSTERBOTTENS LÄN</t>
        </is>
      </c>
      <c r="G475" t="inlineStr">
        <is>
          <t>ROBERTSFORS</t>
        </is>
      </c>
      <c r="I475" t="n">
        <v>12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37996-2026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46280</v>
      </c>
      <c r="E476" s="1" t="n">
        <v>46304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32513-2026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46239</v>
      </c>
      <c r="E477" s="1" t="n">
        <v>46304</v>
      </c>
      <c r="F477" t="inlineStr">
        <is>
          <t>VÄSTERBOTTENS LÄN</t>
        </is>
      </c>
      <c r="G477" t="inlineStr">
        <is>
          <t>ROBERTSFORS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32447-2026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46239</v>
      </c>
      <c r="E478" s="1" t="n">
        <v>46304</v>
      </c>
      <c r="F478" t="inlineStr">
        <is>
          <t>VÄSTERBOTTENS LÄN</t>
        </is>
      </c>
      <c r="G478" t="inlineStr">
        <is>
          <t>ROBERTSFORS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46240</v>
      </c>
      <c r="E479" s="1" t="n">
        <v>46304</v>
      </c>
      <c r="F479" t="inlineStr">
        <is>
          <t>VÄSTERBOTTENS LÄN</t>
        </is>
      </c>
      <c r="G479" t="inlineStr">
        <is>
          <t>ROBERTSFORS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46240</v>
      </c>
      <c r="E480" s="1" t="n">
        <v>46304</v>
      </c>
      <c r="F480" t="inlineStr">
        <is>
          <t>VÄSTERBOTTENS LÄN</t>
        </is>
      </c>
      <c r="G480" t="inlineStr">
        <is>
          <t>ROBERTSFORS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46240</v>
      </c>
      <c r="E481" s="1" t="n">
        <v>46304</v>
      </c>
      <c r="F481" t="inlineStr">
        <is>
          <t>VÄSTERBOTTENS LÄN</t>
        </is>
      </c>
      <c r="G481" t="inlineStr">
        <is>
          <t>ROBERTSFORS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46239</v>
      </c>
      <c r="E482" s="1" t="n">
        <v>46304</v>
      </c>
      <c r="F482" t="inlineStr">
        <is>
          <t>VÄSTERBOTTENS LÄN</t>
        </is>
      </c>
      <c r="G482" t="inlineStr">
        <is>
          <t>ROBERTSFORS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38472-2026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46282</v>
      </c>
      <c r="E483" s="1" t="n">
        <v>46304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32512-2026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46239</v>
      </c>
      <c r="E484" s="1" t="n">
        <v>46304</v>
      </c>
      <c r="F484" t="inlineStr">
        <is>
          <t>VÄSTERBOTTENS LÄN</t>
        </is>
      </c>
      <c r="G484" t="inlineStr">
        <is>
          <t>ROBERTSFORS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46240</v>
      </c>
      <c r="E485" s="1" t="n">
        <v>46304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46282</v>
      </c>
      <c r="E486" s="1" t="n">
        <v>46304</v>
      </c>
      <c r="F486" t="inlineStr">
        <is>
          <t>VÄSTERBOTTENS LÄN</t>
        </is>
      </c>
      <c r="G486" t="inlineStr">
        <is>
          <t>ROBERTSFORS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46304</v>
      </c>
      <c r="F487" t="inlineStr">
        <is>
          <t>VÄSTERBOTTENS LÄN</t>
        </is>
      </c>
      <c r="G487" t="inlineStr">
        <is>
          <t>ROBERTSFORS</t>
        </is>
      </c>
      <c r="I487" t="n">
        <v>11.3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46304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32594-2026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46240</v>
      </c>
      <c r="E489" s="1" t="n">
        <v>46304</v>
      </c>
      <c r="F489" t="inlineStr">
        <is>
          <t>VÄSTERBOTTENS LÄN</t>
        </is>
      </c>
      <c r="G489" t="inlineStr">
        <is>
          <t>ROBERTSFORS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46240</v>
      </c>
      <c r="E490" s="1" t="n">
        <v>46304</v>
      </c>
      <c r="F490" t="inlineStr">
        <is>
          <t>VÄSTERBOTTENS LÄN</t>
        </is>
      </c>
      <c r="G490" t="inlineStr">
        <is>
          <t>ROBERTSFORS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46286</v>
      </c>
      <c r="E491" s="1" t="n">
        <v>46304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27003-2026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46304</v>
      </c>
      <c r="F492" t="inlineStr">
        <is>
          <t>VÄSTERBOTTENS LÄN</t>
        </is>
      </c>
      <c r="G492" t="inlineStr">
        <is>
          <t>ROBERTSFORS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30643-2024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45495</v>
      </c>
      <c r="E493" s="1" t="n">
        <v>46304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45642</v>
      </c>
      <c r="E494" s="1" t="n">
        <v>46304</v>
      </c>
      <c r="F494" t="inlineStr">
        <is>
          <t>VÄSTERBOTTENS LÄN</t>
        </is>
      </c>
      <c r="G494" t="inlineStr">
        <is>
          <t>ROBERTSFORS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44372-2023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45188</v>
      </c>
      <c r="E495" s="1" t="n">
        <v>46304</v>
      </c>
      <c r="F495" t="inlineStr">
        <is>
          <t>VÄSTERBOTTENS LÄN</t>
        </is>
      </c>
      <c r="G495" t="inlineStr">
        <is>
          <t>ROBERTSFORS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46286</v>
      </c>
      <c r="E496" s="1" t="n">
        <v>46304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32912-2026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46304</v>
      </c>
      <c r="F497" t="inlineStr">
        <is>
          <t>VÄSTERBOTTENS LÄN</t>
        </is>
      </c>
      <c r="G497" t="inlineStr">
        <is>
          <t>ROBERTSFORS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46288</v>
      </c>
      <c r="E498" s="1" t="n">
        <v>46304</v>
      </c>
      <c r="F498" t="inlineStr">
        <is>
          <t>VÄSTERBOTTENS LÄN</t>
        </is>
      </c>
      <c r="G498" t="inlineStr">
        <is>
          <t>ROBERTSFORS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39696-2026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46304</v>
      </c>
      <c r="F499" t="inlineStr">
        <is>
          <t>VÄSTERBOTTENS LÄN</t>
        </is>
      </c>
      <c r="G499" t="inlineStr">
        <is>
          <t>ROBERTSFORS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45794</v>
      </c>
      <c r="E500" s="1" t="n">
        <v>46304</v>
      </c>
      <c r="F500" t="inlineStr">
        <is>
          <t>VÄSTERBOTTENS LÄN</t>
        </is>
      </c>
      <c r="G500" t="inlineStr">
        <is>
          <t>ROBERTSFORS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45761</v>
      </c>
      <c r="E501" s="1" t="n">
        <v>46304</v>
      </c>
      <c r="F501" t="inlineStr">
        <is>
          <t>VÄSTERBOTTENS LÄN</t>
        </is>
      </c>
      <c r="G501" t="inlineStr">
        <is>
          <t>ROBERTSFORS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46304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11.5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46288</v>
      </c>
      <c r="E503" s="1" t="n">
        <v>46304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46289</v>
      </c>
      <c r="E504" s="1" t="n">
        <v>46304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14.1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25373-2025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46304</v>
      </c>
      <c r="F505" t="inlineStr">
        <is>
          <t>VÄSTERBOTTENS LÄN</t>
        </is>
      </c>
      <c r="G505" t="inlineStr">
        <is>
          <t>ROBERTSFORS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32638-2026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46240</v>
      </c>
      <c r="E506" s="1" t="n">
        <v>46304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28222-2026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46304</v>
      </c>
      <c r="F507" t="inlineStr">
        <is>
          <t>VÄSTERBOTTENS LÄN</t>
        </is>
      </c>
      <c r="G507" t="inlineStr">
        <is>
          <t>ROBERTSFORS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46304</v>
      </c>
      <c r="F508" t="inlineStr">
        <is>
          <t>VÄSTERBOTTENS LÄN</t>
        </is>
      </c>
      <c r="G508" t="inlineStr">
        <is>
          <t>ROBERTSFORS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39959-2026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46291</v>
      </c>
      <c r="E509" s="1" t="n">
        <v>46304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45803</v>
      </c>
      <c r="E510" s="1" t="n">
        <v>46304</v>
      </c>
      <c r="F510" t="inlineStr">
        <is>
          <t>VÄSTERBOTTENS LÄN</t>
        </is>
      </c>
      <c r="G510" t="inlineStr">
        <is>
          <t>ROBERTSFORS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46304</v>
      </c>
      <c r="F511" t="inlineStr">
        <is>
          <t>VÄSTERBOTTENS LÄN</t>
        </is>
      </c>
      <c r="G511" t="inlineStr">
        <is>
          <t>ROBERTSFORS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45803</v>
      </c>
      <c r="E512" s="1" t="n">
        <v>46304</v>
      </c>
      <c r="F512" t="inlineStr">
        <is>
          <t>VÄSTERBOTTENS LÄN</t>
        </is>
      </c>
      <c r="G512" t="inlineStr">
        <is>
          <t>ROBERTSFORS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39960-2026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46291</v>
      </c>
      <c r="E513" s="1" t="n">
        <v>46304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19126-2026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46304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45687</v>
      </c>
      <c r="E515" s="1" t="n">
        <v>46304</v>
      </c>
      <c r="F515" t="inlineStr">
        <is>
          <t>VÄSTERBOTTENS LÄN</t>
        </is>
      </c>
      <c r="G515" t="inlineStr">
        <is>
          <t>ROBERTSFORS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45636</v>
      </c>
      <c r="E516" s="1" t="n">
        <v>46304</v>
      </c>
      <c r="F516" t="inlineStr">
        <is>
          <t>VÄSTERBOTTENS LÄN</t>
        </is>
      </c>
      <c r="G516" t="inlineStr">
        <is>
          <t>ROBERTSFORS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45813</v>
      </c>
      <c r="E517" s="1" t="n">
        <v>46304</v>
      </c>
      <c r="F517" t="inlineStr">
        <is>
          <t>VÄSTERBOTTENS LÄN</t>
        </is>
      </c>
      <c r="G517" t="inlineStr">
        <is>
          <t>ROBERTSFORS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46304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28330-2025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45818</v>
      </c>
      <c r="E519" s="1" t="n">
        <v>46304</v>
      </c>
      <c r="F519" t="inlineStr">
        <is>
          <t>VÄSTERBOTTENS LÄN</t>
        </is>
      </c>
      <c r="G519" t="inlineStr">
        <is>
          <t>ROBERTSFORS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30790-2025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45831</v>
      </c>
      <c r="E520" s="1" t="n">
        <v>46304</v>
      </c>
      <c r="F520" t="inlineStr">
        <is>
          <t>VÄSTERBOTTENS LÄN</t>
        </is>
      </c>
      <c r="G520" t="inlineStr">
        <is>
          <t>ROBERTSFORS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40951-2026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46297</v>
      </c>
      <c r="E521" s="1" t="n">
        <v>46304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46304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41025-2026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46297</v>
      </c>
      <c r="E523" s="1" t="n">
        <v>46304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46297</v>
      </c>
      <c r="E524" s="1" t="n">
        <v>46304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40974-2026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46297</v>
      </c>
      <c r="E525" s="1" t="n">
        <v>46304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34403-2026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46304</v>
      </c>
      <c r="F526" t="inlineStr">
        <is>
          <t>VÄSTERBOTTENS LÄN</t>
        </is>
      </c>
      <c r="G526" t="inlineStr">
        <is>
          <t>ROBERTSFORS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46304</v>
      </c>
      <c r="F527" t="inlineStr">
        <is>
          <t>VÄSTERBOTTENS LÄN</t>
        </is>
      </c>
      <c r="G527" t="inlineStr">
        <is>
          <t>ROBERTSFORS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46255</v>
      </c>
      <c r="E528" s="1" t="n">
        <v>46304</v>
      </c>
      <c r="F528" t="inlineStr">
        <is>
          <t>VÄSTERBOTTENS LÄN</t>
        </is>
      </c>
      <c r="G528" t="inlineStr">
        <is>
          <t>ROBERTSFORS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46112</v>
      </c>
      <c r="E529" s="1" t="n">
        <v>46304</v>
      </c>
      <c r="F529" t="inlineStr">
        <is>
          <t>VÄSTERBOTTENS LÄN</t>
        </is>
      </c>
      <c r="G529" t="inlineStr">
        <is>
          <t>ROBERTSFORS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46304</v>
      </c>
      <c r="F530" t="inlineStr">
        <is>
          <t>VÄSTERBOTTENS LÄN</t>
        </is>
      </c>
      <c r="G530" t="inlineStr">
        <is>
          <t>ROBERTSFORS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35011-2026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46259</v>
      </c>
      <c r="E531" s="1" t="n">
        <v>46304</v>
      </c>
      <c r="F531" t="inlineStr">
        <is>
          <t>VÄSTERBOTTENS LÄN</t>
        </is>
      </c>
      <c r="G531" t="inlineStr">
        <is>
          <t>ROBERTSFORS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46302</v>
      </c>
      <c r="E532" s="1" t="n">
        <v>46304</v>
      </c>
      <c r="F532" t="inlineStr">
        <is>
          <t>VÄSTERBOTTENS LÄN</t>
        </is>
      </c>
      <c r="G532" t="inlineStr">
        <is>
          <t>ROBERTSFORS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46261</v>
      </c>
      <c r="E533" s="1" t="n">
        <v>46304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21.2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35367-2026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46261</v>
      </c>
      <c r="E534" s="1" t="n">
        <v>46304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Holmen skog AB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41844-2026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46303</v>
      </c>
      <c r="E535" s="1" t="n">
        <v>46304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41852-2026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46303</v>
      </c>
      <c r="E536" s="1" t="n">
        <v>46304</v>
      </c>
      <c r="F536" t="inlineStr">
        <is>
          <t>VÄSTERBOTTENS LÄN</t>
        </is>
      </c>
      <c r="G536" t="inlineStr">
        <is>
          <t>ROBERTSFORS</t>
        </is>
      </c>
      <c r="I536" t="n">
        <v>10.5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46304</v>
      </c>
      <c r="F537" t="inlineStr">
        <is>
          <t>VÄSTERBOTTENS LÄN</t>
        </is>
      </c>
      <c r="G537" t="inlineStr">
        <is>
          <t>ROBERTSFORS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46304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46304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46304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46304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46304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46304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46304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46304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2026-10-09T02:03:13Z</dcterms:created>
  <dcterms:modified xmlns:dcterms="http://purl.org/dc/terms/" xmlns:xsi="http://www.w3.org/2001/XMLSchema-instance" xsi:type="dcterms:W3CDTF">2026-10-09T02:03:13Z</dcterms:modified>
</cp:coreProperties>
</file>