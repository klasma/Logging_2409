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46323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46323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46323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46323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46323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49710-2025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45939</v>
      </c>
      <c r="E7" s="1" t="n">
        <v>46323</v>
      </c>
      <c r="F7" t="inlineStr">
        <is>
          <t>VÄSTERBOTTENS LÄN</t>
        </is>
      </c>
      <c r="G7" t="inlineStr">
        <is>
          <t>ROBERTSFORS</t>
        </is>
      </c>
      <c r="H7" t="inlineStr">
        <is>
          <t>Kyrkan</t>
        </is>
      </c>
      <c r="I7" t="n">
        <v>7.7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15</v>
      </c>
      <c r="U7" t="n">
        <v>15</v>
      </c>
      <c r="V7" s="2" t="inlineStr">
        <is>
          <t>Garnlav
Doftskinn
Gammelgransskål
Talltita
Tretåig hackspett
Vedticka
Spillkråka</t>
        </is>
      </c>
      <c r="W7">
        <f>HYPERLINK("https://klasma.github.io/Logging_2409/artfynd/A 49710-2025 artfynd.xlsx", "A 49710-2025")</f>
        <v/>
      </c>
      <c r="X7">
        <f>HYPERLINK("https://klasma.github.io/Logging_2409/kartor/A 49710-2025 karta.png", "A 49710-2025")</f>
        <v/>
      </c>
      <c r="Y7">
        <f>HYPERLINK("https://klasma.github.io/Logging_2409/kartor_geotiff/A 49710-2025 georefererad karta.tif", "A 49710-2025")</f>
        <v/>
      </c>
      <c r="AA7">
        <f>HYPERLINK("https://klasma.github.io/Logging_2409/klagomål/A 49710-2025 FSC-klagomål.docx", "A 49710-2025")</f>
        <v/>
      </c>
      <c r="AB7">
        <f>HYPERLINK("https://klasma.github.io/Logging_2409/klagomålsmail/A 49710-2025 FSC-klagomål mail.docx", "A 49710-2025")</f>
        <v/>
      </c>
      <c r="AC7">
        <f>HYPERLINK("https://klasma.github.io/Logging_2409/tillsyn/A 49710-2025 tillsynsbegäran.docx", "A 49710-2025")</f>
        <v/>
      </c>
      <c r="AD7">
        <f>HYPERLINK("https://klasma.github.io/Logging_2409/tillsynsmail/A 49710-2025 tillsynsbegäran mail.docx", "A 49710-2025")</f>
        <v/>
      </c>
      <c r="AE7">
        <f>HYPERLINK("https://klasma.github.io/Logging_2409/fåglar/A 49710-2025 prioriterade fågelarter.docx", "A 49710-2025")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46323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S 438-2026</t>
        </is>
      </c>
      <c r="B9" t="inlineStr">
        <is>
          <t>samrådsanmälan</t>
        </is>
      </c>
      <c r="C9" t="inlineStr">
        <is>
          <t>Skogsgödsling</t>
        </is>
      </c>
      <c r="D9" s="1" t="n">
        <v>46070</v>
      </c>
      <c r="E9" s="1" t="n">
        <v>46323</v>
      </c>
      <c r="F9" t="inlineStr">
        <is>
          <t>VÄSTERBOTTENS LÄN</t>
        </is>
      </c>
      <c r="G9" t="inlineStr">
        <is>
          <t>ROBERTSFORS</t>
        </is>
      </c>
      <c r="H9" t="inlineStr">
        <is>
          <t>Holmen skog AB</t>
        </is>
      </c>
      <c r="I9" t="n">
        <v>131.5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11</v>
      </c>
      <c r="U9" t="n">
        <v>0</v>
      </c>
      <c r="V9" s="2" t="inlineStr">
        <is>
          <t>Skogshare
Talltita
Spindelblomster
Tjäder
Vanlig groda
Fläcknycklar
Revlummer</t>
        </is>
      </c>
      <c r="W9">
        <f>HYPERLINK("https://klasma.github.io/Logging_2409/artfynd/S 438-2026 artfynd.xlsx", "S 438-2026")</f>
        <v/>
      </c>
      <c r="X9">
        <f>HYPERLINK("https://klasma.github.io/Logging_2409/kartor/S 438-2026 karta.png", "S 438-2026")</f>
        <v/>
      </c>
      <c r="Y9">
        <f>HYPERLINK("https://klasma.github.io/Logging_2409/kartor_geotiff/S 438-2026 georefererad karta.tif", "S 438-2026")</f>
        <v/>
      </c>
      <c r="AA9">
        <f>HYPERLINK("https://klasma.github.io/Logging_2409/klagomål/S 438-2026 FSC-klagomål.docx", "S 438-2026")</f>
        <v/>
      </c>
      <c r="AB9">
        <f>HYPERLINK("https://klasma.github.io/Logging_2409/klagomålsmail/S 438-2026 FSC-klagomål mail.docx", "S 438-2026")</f>
        <v/>
      </c>
      <c r="AC9">
        <f>HYPERLINK("https://klasma.github.io/Logging_2409/tillsyn/S 438-2026 tillsynsbegäran.docx", "S 438-2026")</f>
        <v/>
      </c>
      <c r="AD9">
        <f>HYPERLINK("https://klasma.github.io/Logging_2409/tillsynsmail/S 438-2026 tillsynsbegäran mail.docx", "S 438-2026")</f>
        <v/>
      </c>
      <c r="AE9">
        <f>HYPERLINK("https://klasma.github.io/Logging_2409/fåglar/S 438-2026 prioriterade fågelarter.docx", "S 438-2026")</f>
        <v/>
      </c>
    </row>
    <row r="10" ht="15" customHeight="1">
      <c r="A10" t="inlineStr">
        <is>
          <t>S 1149-2026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46135</v>
      </c>
      <c r="E10" s="1" t="n">
        <v>46323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79.40000000000001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22</v>
      </c>
      <c r="U10" t="n">
        <v>0</v>
      </c>
      <c r="V10" s="2" t="inlineStr">
        <is>
          <t>Garnlav
Gammelgransskål
Nordfladdermus
Tretåig hackspett
Ullticka
Stuplav
Spillkråka</t>
        </is>
      </c>
      <c r="W10">
        <f>HYPERLINK("https://klasma.github.io/Logging_2409/artfynd/S 1149-2026 artfynd.xlsx", "S 1149-2026")</f>
        <v/>
      </c>
      <c r="X10">
        <f>HYPERLINK("https://klasma.github.io/Logging_2409/kartor/S 1149-2026 karta.png", "S 1149-2026")</f>
        <v/>
      </c>
      <c r="Y10">
        <f>HYPERLINK("https://klasma.github.io/Logging_2409/kartor_geotiff/S 1149-2026 georefererad karta.tif", "S 1149-2026")</f>
        <v/>
      </c>
      <c r="AA10">
        <f>HYPERLINK("https://klasma.github.io/Logging_2409/klagomål/S 1149-2026 FSC-klagomål.docx", "S 1149-2026")</f>
        <v/>
      </c>
      <c r="AB10">
        <f>HYPERLINK("https://klasma.github.io/Logging_2409/klagomålsmail/S 1149-2026 FSC-klagomål mail.docx", "S 1149-2026")</f>
        <v/>
      </c>
      <c r="AC10">
        <f>HYPERLINK("https://klasma.github.io/Logging_2409/tillsyn/S 1149-2026 tillsynsbegäran.docx", "S 1149-2026")</f>
        <v/>
      </c>
      <c r="AD10">
        <f>HYPERLINK("https://klasma.github.io/Logging_2409/tillsynsmail/S 1149-2026 tillsynsbegäran mail.docx", "S 1149-2026")</f>
        <v/>
      </c>
      <c r="AE10">
        <f>HYPERLINK("https://klasma.github.io/Logging_2409/fåglar/S 1149-2026 prioriterade fågelarter.docx", "S 1149-2026")</f>
        <v/>
      </c>
    </row>
    <row r="11" ht="15" customHeight="1">
      <c r="A11" t="inlineStr">
        <is>
          <t>A 24114-2025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45796</v>
      </c>
      <c r="E11" s="1" t="n">
        <v>46323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9.699999999999999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Järnsparv
Rödvingetrast
Talltita
Kråka
Kungsfågel
Revlummer</t>
        </is>
      </c>
      <c r="W11">
        <f>HYPERLINK("https://klasma.github.io/Logging_2409/artfynd/A 24114-2025 artfynd.xlsx", "A 24114-2025")</f>
        <v/>
      </c>
      <c r="X11">
        <f>HYPERLINK("https://klasma.github.io/Logging_2409/kartor/A 24114-2025 karta.png", "A 24114-2025")</f>
        <v/>
      </c>
      <c r="Y11">
        <f>HYPERLINK("https://klasma.github.io/Logging_2409/kartor_geotiff/A 24114-2025 georefererad karta.tif", "A 24114-2025")</f>
        <v/>
      </c>
      <c r="AA11">
        <f>HYPERLINK("https://klasma.github.io/Logging_2409/klagomål/A 24114-2025 FSC-klagomål.docx", "A 24114-2025")</f>
        <v/>
      </c>
      <c r="AB11">
        <f>HYPERLINK("https://klasma.github.io/Logging_2409/klagomålsmail/A 24114-2025 FSC-klagomål mail.docx", "A 24114-2025")</f>
        <v/>
      </c>
      <c r="AC11">
        <f>HYPERLINK("https://klasma.github.io/Logging_2409/tillsyn/A 24114-2025 tillsynsbegäran.docx", "A 24114-2025")</f>
        <v/>
      </c>
      <c r="AD11">
        <f>HYPERLINK("https://klasma.github.io/Logging_2409/tillsynsmail/A 24114-2025 tillsynsbegäran mail.docx", "A 24114-2025")</f>
        <v/>
      </c>
      <c r="AE11">
        <f>HYPERLINK("https://klasma.github.io/Logging_2409/fåglar/A 24114-2025 prioriterade fågelarter.docx", "A 24114-2025")</f>
        <v/>
      </c>
    </row>
    <row r="12" ht="15" customHeight="1">
      <c r="A12" t="inlineStr">
        <is>
          <t>A 54875-2025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45967</v>
      </c>
      <c r="E12" s="1" t="n">
        <v>46323</v>
      </c>
      <c r="F12" t="inlineStr">
        <is>
          <t>VÄSTERBOTTENS LÄN</t>
        </is>
      </c>
      <c r="G12" t="inlineStr">
        <is>
          <t>ROBERTSFORS</t>
        </is>
      </c>
      <c r="I12" t="n">
        <v>6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Tretåig hackspett
Ullticka
Bronshjon
Vedticka
Spillkråka
Tjäder</t>
        </is>
      </c>
      <c r="W12">
        <f>HYPERLINK("https://klasma.github.io/Logging_2409/artfynd/A 54875-2025 artfynd.xlsx", "A 54875-2025")</f>
        <v/>
      </c>
      <c r="X12">
        <f>HYPERLINK("https://klasma.github.io/Logging_2409/kartor/A 54875-2025 karta.png", "A 54875-2025")</f>
        <v/>
      </c>
      <c r="Y12">
        <f>HYPERLINK("https://klasma.github.io/Logging_2409/kartor_geotiff/A 54875-2025 georefererad karta.tif", "A 54875-2025")</f>
        <v/>
      </c>
      <c r="AA12">
        <f>HYPERLINK("https://klasma.github.io/Logging_2409/klagomål/A 54875-2025 FSC-klagomål.docx", "A 54875-2025")</f>
        <v/>
      </c>
      <c r="AB12">
        <f>HYPERLINK("https://klasma.github.io/Logging_2409/klagomålsmail/A 54875-2025 FSC-klagomål mail.docx", "A 54875-2025")</f>
        <v/>
      </c>
      <c r="AC12">
        <f>HYPERLINK("https://klasma.github.io/Logging_2409/tillsyn/A 54875-2025 tillsynsbegäran.docx", "A 54875-2025")</f>
        <v/>
      </c>
      <c r="AD12">
        <f>HYPERLINK("https://klasma.github.io/Logging_2409/tillsynsmail/A 54875-2025 tillsynsbegäran mail.docx", "A 54875-2025")</f>
        <v/>
      </c>
      <c r="AE12">
        <f>HYPERLINK("https://klasma.github.io/Logging_2409/fåglar/A 54875-2025 prioriterade fågelarter.docx", "A 54875-2025")</f>
        <v/>
      </c>
    </row>
    <row r="13" ht="15" customHeight="1">
      <c r="A13" t="inlineStr">
        <is>
          <t>A 36561-2023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46323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2.2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0</v>
      </c>
      <c r="V13" s="2" t="inlineStr">
        <is>
          <t>Garnlav
Gammelgransskål
Violettgrå tagellav
Fläcknycklar
Revlummer</t>
        </is>
      </c>
      <c r="W13">
        <f>HYPERLINK("https://klasma.github.io/Logging_2409/artfynd/A 36561-2023 artfynd.xlsx", "A 36561-2023")</f>
        <v/>
      </c>
      <c r="X13">
        <f>HYPERLINK("https://klasma.github.io/Logging_2409/kartor/A 36561-2023 karta.png", "A 36561-2023")</f>
        <v/>
      </c>
      <c r="Y13">
        <f>HYPERLINK("https://klasma.github.io/Logging_2409/kartor_geotiff/A 36561-2023 georefererad karta.tif", "A 36561-2023")</f>
        <v/>
      </c>
      <c r="AA13">
        <f>HYPERLINK("https://klasma.github.io/Logging_2409/klagomål/A 36561-2023 FSC-klagomål.docx", "A 36561-2023")</f>
        <v/>
      </c>
      <c r="AB13">
        <f>HYPERLINK("https://klasma.github.io/Logging_2409/klagomålsmail/A 36561-2023 FSC-klagomål mail.docx", "A 36561-2023")</f>
        <v/>
      </c>
      <c r="AC13">
        <f>HYPERLINK("https://klasma.github.io/Logging_2409/tillsyn/A 36561-2023 tillsynsbegäran.docx", "A 36561-2023")</f>
        <v/>
      </c>
      <c r="AD13">
        <f>HYPERLINK("https://klasma.github.io/Logging_2409/tillsynsmail/A 36561-2023 tillsynsbegäran mail.docx", "A 36561-2023")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46323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39821-2025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46323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12.8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Nästlav
Tjäder
Fläcknycklar</t>
        </is>
      </c>
      <c r="W15">
        <f>HYPERLINK("https://klasma.github.io/Logging_2409/artfynd/A 39821-2025 artfynd.xlsx", "A 39821-2025")</f>
        <v/>
      </c>
      <c r="X15">
        <f>HYPERLINK("https://klasma.github.io/Logging_2409/kartor/A 39821-2025 karta.png", "A 39821-2025")</f>
        <v/>
      </c>
      <c r="Y15">
        <f>HYPERLINK("https://klasma.github.io/Logging_2409/kartor_geotiff/A 39821-2025 georefererad karta.tif", "A 39821-2025")</f>
        <v/>
      </c>
      <c r="AA15">
        <f>HYPERLINK("https://klasma.github.io/Logging_2409/klagomål/A 39821-2025 FSC-klagomål.docx", "A 39821-2025")</f>
        <v/>
      </c>
      <c r="AB15">
        <f>HYPERLINK("https://klasma.github.io/Logging_2409/klagomålsmail/A 39821-2025 FSC-klagomål mail.docx", "A 39821-2025")</f>
        <v/>
      </c>
      <c r="AC15">
        <f>HYPERLINK("https://klasma.github.io/Logging_2409/tillsyn/A 39821-2025 tillsynsbegäran.docx", "A 39821-2025")</f>
        <v/>
      </c>
      <c r="AD15">
        <f>HYPERLINK("https://klasma.github.io/Logging_2409/tillsynsmail/A 39821-2025 tillsynsbegäran mail.docx", "A 39821-2025")</f>
        <v/>
      </c>
      <c r="AE15">
        <f>HYPERLINK("https://klasma.github.io/Logging_2409/fåglar/A 39821-2025 prioriterade fågelarter.docx", "A 39821-2025")</f>
        <v/>
      </c>
    </row>
    <row r="16" ht="15" customHeight="1">
      <c r="A16" t="inlineStr">
        <is>
          <t>A 44084-2025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46323</v>
      </c>
      <c r="F16" t="inlineStr">
        <is>
          <t>VÄSTERBOTTENS LÄN</t>
        </is>
      </c>
      <c r="G16" t="inlineStr">
        <is>
          <t>ROBERTSFORS</t>
        </is>
      </c>
      <c r="I16" t="n">
        <v>4.4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Garnlav
Vedticka
Spillkråka</t>
        </is>
      </c>
      <c r="W16">
        <f>HYPERLINK("https://klasma.github.io/Logging_2409/artfynd/A 44084-2025 artfynd.xlsx", "A 44084-2025")</f>
        <v/>
      </c>
      <c r="X16">
        <f>HYPERLINK("https://klasma.github.io/Logging_2409/kartor/A 44084-2025 karta.png", "A 44084-2025")</f>
        <v/>
      </c>
      <c r="Y16">
        <f>HYPERLINK("https://klasma.github.io/Logging_2409/kartor_geotiff/A 44084-2025 georefererad karta.tif", "A 44084-2025")</f>
        <v/>
      </c>
      <c r="AA16">
        <f>HYPERLINK("https://klasma.github.io/Logging_2409/klagomål/A 44084-2025 FSC-klagomål.docx", "A 44084-2025")</f>
        <v/>
      </c>
      <c r="AB16">
        <f>HYPERLINK("https://klasma.github.io/Logging_2409/klagomålsmail/A 44084-2025 FSC-klagomål mail.docx", "A 44084-2025")</f>
        <v/>
      </c>
      <c r="AC16">
        <f>HYPERLINK("https://klasma.github.io/Logging_2409/tillsyn/A 44084-2025 tillsynsbegäran.docx", "A 44084-2025")</f>
        <v/>
      </c>
      <c r="AD16">
        <f>HYPERLINK("https://klasma.github.io/Logging_2409/tillsynsmail/A 44084-2025 tillsynsbegäran mail.docx", "A 44084-2025")</f>
        <v/>
      </c>
      <c r="AE16">
        <f>HYPERLINK("https://klasma.github.io/Logging_2409/fåglar/A 44084-2025 prioriterade fågelarter.docx", "A 44084-2025")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46323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46323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2639-2026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46323</v>
      </c>
      <c r="F19" t="inlineStr">
        <is>
          <t>VÄSTERBOTTENS LÄN</t>
        </is>
      </c>
      <c r="G19" t="inlineStr">
        <is>
          <t>ROBERTSFORS</t>
        </is>
      </c>
      <c r="I19" t="n">
        <v>4.5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22</v>
      </c>
      <c r="U19" t="n">
        <v>22</v>
      </c>
      <c r="V19" s="2" t="inlineStr">
        <is>
          <t>Garnlav
Tretåig hackspett
Ullticka</t>
        </is>
      </c>
      <c r="W19">
        <f>HYPERLINK("https://klasma.github.io/Logging_2409/artfynd/A 2639-2026 artfynd.xlsx", "A 2639-2026")</f>
        <v/>
      </c>
      <c r="X19">
        <f>HYPERLINK("https://klasma.github.io/Logging_2409/kartor/A 2639-2026 karta.png", "A 2639-2026")</f>
        <v/>
      </c>
      <c r="Y19">
        <f>HYPERLINK("https://klasma.github.io/Logging_2409/kartor_geotiff/A 2639-2026 georefererad karta.tif", "A 2639-2026")</f>
        <v/>
      </c>
      <c r="AA19">
        <f>HYPERLINK("https://klasma.github.io/Logging_2409/klagomål/A 2639-2026 FSC-klagomål.docx", "A 2639-2026")</f>
        <v/>
      </c>
      <c r="AB19">
        <f>HYPERLINK("https://klasma.github.io/Logging_2409/klagomålsmail/A 2639-2026 FSC-klagomål mail.docx", "A 2639-2026")</f>
        <v/>
      </c>
      <c r="AC19">
        <f>HYPERLINK("https://klasma.github.io/Logging_2409/tillsyn/A 2639-2026 tillsynsbegäran.docx", "A 2639-2026")</f>
        <v/>
      </c>
      <c r="AD19">
        <f>HYPERLINK("https://klasma.github.io/Logging_2409/tillsynsmail/A 2639-2026 tillsynsbegäran mail.docx", "A 2639-2026")</f>
        <v/>
      </c>
      <c r="AE19">
        <f>HYPERLINK("https://klasma.github.io/Logging_2409/fåglar/A 2639-2026 prioriterade fågelarter.docx", "A 2639-2026")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46323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70365-2021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46323</v>
      </c>
      <c r="F21" t="inlineStr">
        <is>
          <t>VÄSTERBOTTENS LÄN</t>
        </is>
      </c>
      <c r="G21" t="inlineStr">
        <is>
          <t>ROBERTSFORS</t>
        </is>
      </c>
      <c r="I21" t="n">
        <v>1.5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3</v>
      </c>
      <c r="V21" s="2" t="inlineStr">
        <is>
          <t>Garnlav
Tretåig hackspett</t>
        </is>
      </c>
      <c r="W21">
        <f>HYPERLINK("https://klasma.github.io/Logging_2409/artfynd/A 70365-2021 artfynd.xlsx", "A 70365-2021")</f>
        <v/>
      </c>
      <c r="X21">
        <f>HYPERLINK("https://klasma.github.io/Logging_2409/kartor/A 70365-2021 karta.png", "A 70365-2021")</f>
        <v/>
      </c>
      <c r="Y21">
        <f>HYPERLINK("https://klasma.github.io/Logging_2409/kartor_geotiff/A 70365-2021 georefererad karta.tif", "A 70365-2021")</f>
        <v/>
      </c>
      <c r="AA21">
        <f>HYPERLINK("https://klasma.github.io/Logging_2409/klagomål/A 70365-2021 FSC-klagomål.docx", "A 70365-2021")</f>
        <v/>
      </c>
      <c r="AB21">
        <f>HYPERLINK("https://klasma.github.io/Logging_2409/klagomålsmail/A 70365-2021 FSC-klagomål mail.docx", "A 70365-2021")</f>
        <v/>
      </c>
      <c r="AC21">
        <f>HYPERLINK("https://klasma.github.io/Logging_2409/tillsyn/A 70365-2021 tillsynsbegäran.docx", "A 70365-2021")</f>
        <v/>
      </c>
      <c r="AD21">
        <f>HYPERLINK("https://klasma.github.io/Logging_2409/tillsynsmail/A 70365-2021 tillsynsbegäran mail.docx", "A 70365-2021")</f>
        <v/>
      </c>
      <c r="AE21">
        <f>HYPERLINK("https://klasma.github.io/Logging_2409/fåglar/A 70365-2021 prioriterade fågelarter.docx", "A 70365-2021")</f>
        <v/>
      </c>
    </row>
    <row r="22" ht="15" customHeight="1">
      <c r="A22" t="inlineStr">
        <is>
          <t>A 19724-2023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45051</v>
      </c>
      <c r="E22" s="1" t="n">
        <v>46323</v>
      </c>
      <c r="F22" t="inlineStr">
        <is>
          <t>VÄSTERBOTTENS LÄN</t>
        </is>
      </c>
      <c r="G22" t="inlineStr">
        <is>
          <t>ROBERTSFORS</t>
        </is>
      </c>
      <c r="I22" t="n">
        <v>6.1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Motaggsvamp
Skarp dropptaggsvamp</t>
        </is>
      </c>
      <c r="W22">
        <f>HYPERLINK("https://klasma.github.io/Logging_2409/artfynd/A 19724-2023 artfynd.xlsx", "A 19724-2023")</f>
        <v/>
      </c>
      <c r="X22">
        <f>HYPERLINK("https://klasma.github.io/Logging_2409/kartor/A 19724-2023 karta.png", "A 19724-2023")</f>
        <v/>
      </c>
      <c r="Y22">
        <f>HYPERLINK("https://klasma.github.io/Logging_2409/kartor_geotiff/A 19724-2023 georefererad karta.tif", "A 19724-2023")</f>
        <v/>
      </c>
      <c r="AA22">
        <f>HYPERLINK("https://klasma.github.io/Logging_2409/klagomål/A 19724-2023 FSC-klagomål.docx", "A 19724-2023")</f>
        <v/>
      </c>
      <c r="AB22">
        <f>HYPERLINK("https://klasma.github.io/Logging_2409/klagomålsmail/A 19724-2023 FSC-klagomål mail.docx", "A 19724-2023")</f>
        <v/>
      </c>
      <c r="AC22">
        <f>HYPERLINK("https://klasma.github.io/Logging_2409/tillsyn/A 19724-2023 tillsynsbegäran.docx", "A 19724-2023")</f>
        <v/>
      </c>
      <c r="AD22">
        <f>HYPERLINK("https://klasma.github.io/Logging_2409/tillsynsmail/A 19724-2023 tillsynsbegäran mail.docx", "A 19724-2023")</f>
        <v/>
      </c>
    </row>
    <row r="23" ht="15" customHeight="1">
      <c r="A23" t="inlineStr">
        <is>
          <t>A 43097-2023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46323</v>
      </c>
      <c r="F23" t="inlineStr">
        <is>
          <t>VÄSTERBOTTENS LÄN</t>
        </is>
      </c>
      <c r="G23" t="inlineStr">
        <is>
          <t>ROBERTSFORS</t>
        </is>
      </c>
      <c r="I23" t="n">
        <v>3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Talltita</t>
        </is>
      </c>
      <c r="W23">
        <f>HYPERLINK("https://klasma.github.io/Logging_2409/artfynd/A 43097-2023 artfynd.xlsx", "A 43097-2023")</f>
        <v/>
      </c>
      <c r="X23">
        <f>HYPERLINK("https://klasma.github.io/Logging_2409/kartor/A 43097-2023 karta.png", "A 43097-2023")</f>
        <v/>
      </c>
      <c r="Y23">
        <f>HYPERLINK("https://klasma.github.io/Logging_2409/kartor_geotiff/A 43097-2023 georefererad karta.tif", "A 43097-2023")</f>
        <v/>
      </c>
      <c r="AA23">
        <f>HYPERLINK("https://klasma.github.io/Logging_2409/klagomål/A 43097-2023 FSC-klagomål.docx", "A 43097-2023")</f>
        <v/>
      </c>
      <c r="AB23">
        <f>HYPERLINK("https://klasma.github.io/Logging_2409/klagomålsmail/A 43097-2023 FSC-klagomål mail.docx", "A 43097-2023")</f>
        <v/>
      </c>
      <c r="AC23">
        <f>HYPERLINK("https://klasma.github.io/Logging_2409/tillsyn/A 43097-2023 tillsynsbegäran.docx", "A 43097-2023")</f>
        <v/>
      </c>
      <c r="AD23">
        <f>HYPERLINK("https://klasma.github.io/Logging_2409/tillsynsmail/A 43097-2023 tillsynsbegäran mail.docx", "A 43097-2023")</f>
        <v/>
      </c>
      <c r="AE23">
        <f>HYPERLINK("https://klasma.github.io/Logging_2409/fåglar/A 43097-2023 prioriterade fågelarter.docx", "A 43097-2023")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46323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46323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46323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43094-2023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46323</v>
      </c>
      <c r="F27" t="inlineStr">
        <is>
          <t>VÄSTERBOTTENS LÄN</t>
        </is>
      </c>
      <c r="G27" t="inlineStr">
        <is>
          <t>ROBERTSFORS</t>
        </is>
      </c>
      <c r="I27" t="n">
        <v>7.7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Svartvit flugsnappare
Ärtsångare</t>
        </is>
      </c>
      <c r="W27">
        <f>HYPERLINK("https://klasma.github.io/Logging_2409/artfynd/A 43094-2023 artfynd.xlsx", "A 43094-2023")</f>
        <v/>
      </c>
      <c r="X27">
        <f>HYPERLINK("https://klasma.github.io/Logging_2409/kartor/A 43094-2023 karta.png", "A 43094-2023")</f>
        <v/>
      </c>
      <c r="Y27">
        <f>HYPERLINK("https://klasma.github.io/Logging_2409/kartor_geotiff/A 43094-2023 georefererad karta.tif", "A 43094-2023")</f>
        <v/>
      </c>
      <c r="AA27">
        <f>HYPERLINK("https://klasma.github.io/Logging_2409/klagomål/A 43094-2023 FSC-klagomål.docx", "A 43094-2023")</f>
        <v/>
      </c>
      <c r="AB27">
        <f>HYPERLINK("https://klasma.github.io/Logging_2409/klagomålsmail/A 43094-2023 FSC-klagomål mail.docx", "A 43094-2023")</f>
        <v/>
      </c>
      <c r="AC27">
        <f>HYPERLINK("https://klasma.github.io/Logging_2409/tillsyn/A 43094-2023 tillsynsbegäran.docx", "A 43094-2023")</f>
        <v/>
      </c>
      <c r="AD27">
        <f>HYPERLINK("https://klasma.github.io/Logging_2409/tillsynsmail/A 43094-2023 tillsynsbegäran mail.docx", "A 43094-2023")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46323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46323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46323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46323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41723-2024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46323</v>
      </c>
      <c r="F32" t="inlineStr">
        <is>
          <t>VÄSTERBOTTENS LÄN</t>
        </is>
      </c>
      <c r="G32" t="inlineStr">
        <is>
          <t>ROBERTSFORS</t>
        </is>
      </c>
      <c r="I32" t="n">
        <v>2.4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Tretåig hackspett
Spillkråka</t>
        </is>
      </c>
      <c r="W32">
        <f>HYPERLINK("https://klasma.github.io/Logging_2409/artfynd/A 41723-2024 artfynd.xlsx", "A 41723-2024")</f>
        <v/>
      </c>
      <c r="X32">
        <f>HYPERLINK("https://klasma.github.io/Logging_2409/kartor/A 41723-2024 karta.png", "A 41723-2024")</f>
        <v/>
      </c>
      <c r="Y32">
        <f>HYPERLINK("https://klasma.github.io/Logging_2409/kartor_geotiff/A 41723-2024 georefererad karta.tif", "A 41723-2024")</f>
        <v/>
      </c>
      <c r="AA32">
        <f>HYPERLINK("https://klasma.github.io/Logging_2409/klagomål/A 41723-2024 FSC-klagomål.docx", "A 41723-2024")</f>
        <v/>
      </c>
      <c r="AB32">
        <f>HYPERLINK("https://klasma.github.io/Logging_2409/klagomålsmail/A 41723-2024 FSC-klagomål mail.docx", "A 41723-2024")</f>
        <v/>
      </c>
      <c r="AC32">
        <f>HYPERLINK("https://klasma.github.io/Logging_2409/tillsyn/A 41723-2024 tillsynsbegäran.docx", "A 41723-2024")</f>
        <v/>
      </c>
      <c r="AD32">
        <f>HYPERLINK("https://klasma.github.io/Logging_2409/tillsynsmail/A 41723-2024 tillsynsbegäran mail.docx", "A 41723-2024")</f>
        <v/>
      </c>
      <c r="AE32">
        <f>HYPERLINK("https://klasma.github.io/Logging_2409/fåglar/A 41723-2024 prioriterade fågelarter.docx", "A 41723-2024")</f>
        <v/>
      </c>
    </row>
    <row r="33" ht="15" customHeight="1">
      <c r="A33" t="inlineStr">
        <is>
          <t>A 42296-2026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46307</v>
      </c>
      <c r="E33" s="1" t="n">
        <v>46323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14.3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13</v>
      </c>
      <c r="U33" t="n">
        <v>0</v>
      </c>
      <c r="V33" s="2" t="inlineStr">
        <is>
          <t>Tjäder
Orre</t>
        </is>
      </c>
      <c r="W33">
        <f>HYPERLINK("https://klasma.github.io/Logging_2409/artfynd/A 42296-2026 artfynd.xlsx", "A 42296-2026")</f>
        <v/>
      </c>
      <c r="X33">
        <f>HYPERLINK("https://klasma.github.io/Logging_2409/kartor/A 42296-2026 karta.png", "A 42296-2026")</f>
        <v/>
      </c>
      <c r="Y33">
        <f>HYPERLINK("https://klasma.github.io/Logging_2409/kartor_geotiff/A 42296-2026 georefererad karta.tif", "A 42296-2026")</f>
        <v/>
      </c>
      <c r="AA33">
        <f>HYPERLINK("https://klasma.github.io/Logging_2409/klagomål/A 42296-2026 FSC-klagomål.docx", "A 42296-2026")</f>
        <v/>
      </c>
      <c r="AB33">
        <f>HYPERLINK("https://klasma.github.io/Logging_2409/klagomålsmail/A 42296-2026 FSC-klagomål mail.docx", "A 42296-2026")</f>
        <v/>
      </c>
      <c r="AC33">
        <f>HYPERLINK("https://klasma.github.io/Logging_2409/tillsyn/A 42296-2026 tillsynsbegäran.docx", "A 42296-2026")</f>
        <v/>
      </c>
      <c r="AD33">
        <f>HYPERLINK("https://klasma.github.io/Logging_2409/tillsynsmail/A 42296-2026 tillsynsbegäran mail.docx", "A 42296-2026")</f>
        <v/>
      </c>
      <c r="AE33">
        <f>HYPERLINK("https://klasma.github.io/Logging_2409/fåglar/A 42296-2026 prioriterade fågelarter.docx", "A 42296-2026")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46323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26204-2024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46323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3.9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8</v>
      </c>
      <c r="V35" s="2" t="inlineStr">
        <is>
          <t>Tjäder
Orre</t>
        </is>
      </c>
      <c r="W35">
        <f>HYPERLINK("https://klasma.github.io/Logging_2409/artfynd/A 26204-2024 artfynd.xlsx", "A 26204-2024")</f>
        <v/>
      </c>
      <c r="X35">
        <f>HYPERLINK("https://klasma.github.io/Logging_2409/kartor/A 26204-2024 karta.png", "A 26204-2024")</f>
        <v/>
      </c>
      <c r="Y35">
        <f>HYPERLINK("https://klasma.github.io/Logging_2409/kartor_geotiff/A 26204-2024 georefererad karta.tif", "A 26204-2024")</f>
        <v/>
      </c>
      <c r="AA35">
        <f>HYPERLINK("https://klasma.github.io/Logging_2409/klagomål/A 26204-2024 FSC-klagomål.docx", "A 26204-2024")</f>
        <v/>
      </c>
      <c r="AB35">
        <f>HYPERLINK("https://klasma.github.io/Logging_2409/klagomålsmail/A 26204-2024 FSC-klagomål mail.docx", "A 26204-2024")</f>
        <v/>
      </c>
      <c r="AC35">
        <f>HYPERLINK("https://klasma.github.io/Logging_2409/tillsyn/A 26204-2024 tillsynsbegäran.docx", "A 26204-2024")</f>
        <v/>
      </c>
      <c r="AD35">
        <f>HYPERLINK("https://klasma.github.io/Logging_2409/tillsynsmail/A 26204-2024 tillsynsbegäran mail.docx", "A 26204-2024")</f>
        <v/>
      </c>
      <c r="AE35">
        <f>HYPERLINK("https://klasma.github.io/Logging_2409/fåglar/A 26204-2024 prioriterade fågelarter.docx", "A 26204-2024")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46323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46323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46323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46323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40600-2022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44823</v>
      </c>
      <c r="E40" s="1" t="n">
        <v>46323</v>
      </c>
      <c r="F40" t="inlineStr">
        <is>
          <t>VÄSTERBOTTENS LÄN</t>
        </is>
      </c>
      <c r="G40" t="inlineStr">
        <is>
          <t>ROBERTSFORS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Fiskgjuse</t>
        </is>
      </c>
      <c r="W40">
        <f>HYPERLINK("https://klasma.github.io/Logging_2409/artfynd/A 40600-2022 artfynd.xlsx", "A 40600-2022")</f>
        <v/>
      </c>
      <c r="X40">
        <f>HYPERLINK("https://klasma.github.io/Logging_2409/kartor/A 40600-2022 karta.png", "A 40600-2022")</f>
        <v/>
      </c>
      <c r="Y40">
        <f>HYPERLINK("https://klasma.github.io/Logging_2409/kartor_geotiff/A 40600-2022 georefererad karta.tif", "A 40600-2022")</f>
        <v/>
      </c>
      <c r="AA40">
        <f>HYPERLINK("https://klasma.github.io/Logging_2409/klagomål/A 40600-2022 FSC-klagomål.docx", "A 40600-2022")</f>
        <v/>
      </c>
      <c r="AB40">
        <f>HYPERLINK("https://klasma.github.io/Logging_2409/klagomålsmail/A 40600-2022 FSC-klagomål mail.docx", "A 40600-2022")</f>
        <v/>
      </c>
      <c r="AC40">
        <f>HYPERLINK("https://klasma.github.io/Logging_2409/tillsyn/A 40600-2022 tillsynsbegäran.docx", "A 40600-2022")</f>
        <v/>
      </c>
      <c r="AD40">
        <f>HYPERLINK("https://klasma.github.io/Logging_2409/tillsynsmail/A 40600-2022 tillsynsbegäran mail.docx", "A 40600-2022")</f>
        <v/>
      </c>
      <c r="AE40">
        <f>HYPERLINK("https://klasma.github.io/Logging_2409/fåglar/A 40600-2022 prioriterade fågelarter.docx", "A 40600-2022")</f>
        <v/>
      </c>
    </row>
    <row r="41" ht="15" customHeight="1">
      <c r="A41" t="inlineStr">
        <is>
          <t>A 54484-2023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46323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3</v>
      </c>
      <c r="U41" t="n">
        <v>1</v>
      </c>
      <c r="V41" s="2" t="inlineStr">
        <is>
          <t>Dropptaggsvamp</t>
        </is>
      </c>
      <c r="W41">
        <f>HYPERLINK("https://klasma.github.io/Logging_2409/artfynd/A 54484-2023 artfynd.xlsx", "A 54484-2023")</f>
        <v/>
      </c>
      <c r="X41">
        <f>HYPERLINK("https://klasma.github.io/Logging_2409/kartor/A 54484-2023 karta.png", "A 54484-2023")</f>
        <v/>
      </c>
      <c r="Y41">
        <f>HYPERLINK("https://klasma.github.io/Logging_2409/kartor_geotiff/A 54484-2023 georefererad karta.tif", "A 54484-2023")</f>
        <v/>
      </c>
      <c r="AA41">
        <f>HYPERLINK("https://klasma.github.io/Logging_2409/klagomål/A 54484-2023 FSC-klagomål.docx", "A 54484-2023")</f>
        <v/>
      </c>
      <c r="AB41">
        <f>HYPERLINK("https://klasma.github.io/Logging_2409/klagomålsmail/A 54484-2023 FSC-klagomål mail.docx", "A 54484-2023")</f>
        <v/>
      </c>
      <c r="AC41">
        <f>HYPERLINK("https://klasma.github.io/Logging_2409/tillsyn/A 54484-2023 tillsynsbegäran.docx", "A 54484-2023")</f>
        <v/>
      </c>
      <c r="AD41">
        <f>HYPERLINK("https://klasma.github.io/Logging_2409/tillsynsmail/A 54484-2023 tillsynsbegäran mail.docx", "A 54484-2023")</f>
        <v/>
      </c>
    </row>
    <row r="42" ht="15" customHeight="1">
      <c r="A42" t="inlineStr">
        <is>
          <t>A 57270-2023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45245</v>
      </c>
      <c r="E42" s="1" t="n">
        <v>46323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HYPERLINK("https://klasma.github.io/Logging_2409/artfynd/A 57270-2023 artfynd.xlsx", "A 57270-2023")</f>
        <v/>
      </c>
      <c r="X42">
        <f>HYPERLINK("https://klasma.github.io/Logging_2409/kartor/A 57270-2023 karta.png", "A 57270-2023")</f>
        <v/>
      </c>
      <c r="Y42">
        <f>HYPERLINK("https://klasma.github.io/Logging_2409/kartor_geotiff/A 57270-2023 georefererad karta.tif", "A 57270-2023")</f>
        <v/>
      </c>
      <c r="AA42">
        <f>HYPERLINK("https://klasma.github.io/Logging_2409/klagomål/A 57270-2023 FSC-klagomål.docx", "A 57270-2023")</f>
        <v/>
      </c>
      <c r="AB42">
        <f>HYPERLINK("https://klasma.github.io/Logging_2409/klagomålsmail/A 57270-2023 FSC-klagomål mail.docx", "A 57270-2023")</f>
        <v/>
      </c>
      <c r="AC42">
        <f>HYPERLINK("https://klasma.github.io/Logging_2409/tillsyn/A 57270-2023 tillsynsbegäran.docx", "A 57270-2023")</f>
        <v/>
      </c>
      <c r="AD42">
        <f>HYPERLINK("https://klasma.github.io/Logging_2409/tillsynsmail/A 57270-2023 tillsynsbegäran mail.docx", "A 57270-2023")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46323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HYPERLINK("https://klasma.github.io/Logging_2409/artfynd/A 49086-2023 artfynd.xlsx", "A 49086-2023")</f>
        <v/>
      </c>
      <c r="X43">
        <f>HYPERLINK("https://klasma.github.io/Logging_2409/kartor/A 49086-2023 karta.png", "A 49086-2023")</f>
        <v/>
      </c>
      <c r="Y43">
        <f>HYPERLINK("https://klasma.github.io/Logging_2409/kartor_geotiff/A 49086-2023 georefererad karta.tif", "A 49086-2023")</f>
        <v/>
      </c>
      <c r="AA43">
        <f>HYPERLINK("https://klasma.github.io/Logging_2409/klagomål/A 49086-2023 FSC-klagomål.docx", "A 49086-2023")</f>
        <v/>
      </c>
      <c r="AB43">
        <f>HYPERLINK("https://klasma.github.io/Logging_2409/klagomålsmail/A 49086-2023 FSC-klagomål mail.docx", "A 49086-2023")</f>
        <v/>
      </c>
      <c r="AC43">
        <f>HYPERLINK("https://klasma.github.io/Logging_2409/tillsyn/A 49086-2023 tillsynsbegäran.docx", "A 49086-2023")</f>
        <v/>
      </c>
      <c r="AD43">
        <f>HYPERLINK("https://klasma.github.io/Logging_2409/tillsynsmail/A 49086-2023 tillsynsbegäran mail.docx", "A 49086-2023")</f>
        <v/>
      </c>
    </row>
    <row r="44" ht="15" customHeight="1">
      <c r="A44" t="inlineStr">
        <is>
          <t>A 38777-2023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45163</v>
      </c>
      <c r="E44" s="1" t="n">
        <v>46323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5.9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HYPERLINK("https://klasma.github.io/Logging_2409/artfynd/A 38777-2023 artfynd.xlsx", "A 38777-2023")</f>
        <v/>
      </c>
      <c r="X44">
        <f>HYPERLINK("https://klasma.github.io/Logging_2409/kartor/A 38777-2023 karta.png", "A 38777-2023")</f>
        <v/>
      </c>
      <c r="Y44">
        <f>HYPERLINK("https://klasma.github.io/Logging_2409/kartor_geotiff/A 38777-2023 georefererad karta.tif", "A 38777-2023")</f>
        <v/>
      </c>
      <c r="AA44">
        <f>HYPERLINK("https://klasma.github.io/Logging_2409/klagomål/A 38777-2023 FSC-klagomål.docx", "A 38777-2023")</f>
        <v/>
      </c>
      <c r="AB44">
        <f>HYPERLINK("https://klasma.github.io/Logging_2409/klagomålsmail/A 38777-2023 FSC-klagomål mail.docx", "A 38777-2023")</f>
        <v/>
      </c>
      <c r="AC44">
        <f>HYPERLINK("https://klasma.github.io/Logging_2409/tillsyn/A 38777-2023 tillsynsbegäran.docx", "A 38777-2023")</f>
        <v/>
      </c>
      <c r="AD44">
        <f>HYPERLINK("https://klasma.github.io/Logging_2409/tillsynsmail/A 38777-2023 tillsynsbegäran mail.docx", "A 38777-2023")</f>
        <v/>
      </c>
      <c r="AE44">
        <f>HYPERLINK("https://klasma.github.io/Logging_2409/fåglar/A 38777-2023 prioriterade fågelarter.docx", "A 38777-2023")</f>
        <v/>
      </c>
    </row>
    <row r="45" ht="15" customHeight="1">
      <c r="A45" t="inlineStr">
        <is>
          <t>A 41767-2023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45176</v>
      </c>
      <c r="E45" s="1" t="n">
        <v>46323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HYPERLINK("https://klasma.github.io/Logging_2409/artfynd/A 41767-2023 artfynd.xlsx", "A 41767-2023")</f>
        <v/>
      </c>
      <c r="X45">
        <f>HYPERLINK("https://klasma.github.io/Logging_2409/kartor/A 41767-2023 karta.png", "A 41767-2023")</f>
        <v/>
      </c>
      <c r="Y45">
        <f>HYPERLINK("https://klasma.github.io/Logging_2409/kartor_geotiff/A 41767-2023 georefererad karta.tif", "A 41767-2023")</f>
        <v/>
      </c>
      <c r="AA45">
        <f>HYPERLINK("https://klasma.github.io/Logging_2409/klagomål/A 41767-2023 FSC-klagomål.docx", "A 41767-2023")</f>
        <v/>
      </c>
      <c r="AB45">
        <f>HYPERLINK("https://klasma.github.io/Logging_2409/klagomålsmail/A 41767-2023 FSC-klagomål mail.docx", "A 41767-2023")</f>
        <v/>
      </c>
      <c r="AC45">
        <f>HYPERLINK("https://klasma.github.io/Logging_2409/tillsyn/A 41767-2023 tillsynsbegäran.docx", "A 41767-2023")</f>
        <v/>
      </c>
      <c r="AD45">
        <f>HYPERLINK("https://klasma.github.io/Logging_2409/tillsynsmail/A 41767-2023 tillsynsbegäran mail.docx", "A 41767-2023")</f>
        <v/>
      </c>
    </row>
    <row r="46" ht="15" customHeight="1">
      <c r="A46" t="inlineStr">
        <is>
          <t>A 32876-2023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45124</v>
      </c>
      <c r="E46" s="1" t="n">
        <v>46323</v>
      </c>
      <c r="F46" t="inlineStr">
        <is>
          <t>VÄSTERBOTTENS LÄN</t>
        </is>
      </c>
      <c r="G46" t="inlineStr">
        <is>
          <t>ROBERTSFORS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HYPERLINK("https://klasma.github.io/Logging_2409/artfynd/A 32876-2023 artfynd.xlsx", "A 32876-2023")</f>
        <v/>
      </c>
      <c r="X46">
        <f>HYPERLINK("https://klasma.github.io/Logging_2409/kartor/A 32876-2023 karta.png", "A 32876-2023")</f>
        <v/>
      </c>
      <c r="Y46">
        <f>HYPERLINK("https://klasma.github.io/Logging_2409/kartor_geotiff/A 32876-2023 georefererad karta.tif", "A 32876-2023")</f>
        <v/>
      </c>
      <c r="AA46">
        <f>HYPERLINK("https://klasma.github.io/Logging_2409/klagomål/A 32876-2023 FSC-klagomål.docx", "A 32876-2023")</f>
        <v/>
      </c>
      <c r="AB46">
        <f>HYPERLINK("https://klasma.github.io/Logging_2409/klagomålsmail/A 32876-2023 FSC-klagomål mail.docx", "A 32876-2023")</f>
        <v/>
      </c>
      <c r="AC46">
        <f>HYPERLINK("https://klasma.github.io/Logging_2409/tillsyn/A 32876-2023 tillsynsbegäran.docx", "A 32876-2023")</f>
        <v/>
      </c>
      <c r="AD46">
        <f>HYPERLINK("https://klasma.github.io/Logging_2409/tillsynsmail/A 32876-2023 tillsynsbegäran mail.docx", "A 32876-2023")</f>
        <v/>
      </c>
    </row>
    <row r="47" ht="15" customHeight="1">
      <c r="A47" t="inlineStr">
        <is>
          <t>A 35497-2023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46323</v>
      </c>
      <c r="F47" t="inlineStr">
        <is>
          <t>VÄSTERBOTTENS LÄN</t>
        </is>
      </c>
      <c r="G47" t="inlineStr">
        <is>
          <t>ROBERTSFORS</t>
        </is>
      </c>
      <c r="I47" t="n">
        <v>0.2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35497-2023 artfynd.xlsx", "A 35497-2023")</f>
        <v/>
      </c>
      <c r="X47">
        <f>HYPERLINK("https://klasma.github.io/Logging_2409/kartor/A 35497-2023 karta.png", "A 35497-2023")</f>
        <v/>
      </c>
      <c r="Y47">
        <f>HYPERLINK("https://klasma.github.io/Logging_2409/kartor_geotiff/A 35497-2023 georefererad karta.tif", "A 35497-2023")</f>
        <v/>
      </c>
      <c r="AA47">
        <f>HYPERLINK("https://klasma.github.io/Logging_2409/klagomål/A 35497-2023 FSC-klagomål.docx", "A 35497-2023")</f>
        <v/>
      </c>
      <c r="AB47">
        <f>HYPERLINK("https://klasma.github.io/Logging_2409/klagomålsmail/A 35497-2023 FSC-klagomål mail.docx", "A 35497-2023")</f>
        <v/>
      </c>
      <c r="AC47">
        <f>HYPERLINK("https://klasma.github.io/Logging_2409/tillsyn/A 35497-2023 tillsynsbegäran.docx", "A 35497-2023")</f>
        <v/>
      </c>
      <c r="AD47">
        <f>HYPERLINK("https://klasma.github.io/Logging_2409/tillsynsmail/A 35497-2023 tillsynsbegäran mail.docx", "A 35497-2023")</f>
        <v/>
      </c>
    </row>
    <row r="48" ht="15" customHeight="1">
      <c r="A48" t="inlineStr">
        <is>
          <t>A 36703-2023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45153</v>
      </c>
      <c r="E48" s="1" t="n">
        <v>46323</v>
      </c>
      <c r="F48" t="inlineStr">
        <is>
          <t>VÄSTERBOTTENS LÄN</t>
        </is>
      </c>
      <c r="G48" t="inlineStr">
        <is>
          <t>ROBERTSFORS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Tallkötticka</t>
        </is>
      </c>
      <c r="W48">
        <f>HYPERLINK("https://klasma.github.io/Logging_2409/artfynd/A 36703-2023 artfynd.xlsx", "A 36703-2023")</f>
        <v/>
      </c>
      <c r="X48">
        <f>HYPERLINK("https://klasma.github.io/Logging_2409/kartor/A 36703-2023 karta.png", "A 36703-2023")</f>
        <v/>
      </c>
      <c r="Y48">
        <f>HYPERLINK("https://klasma.github.io/Logging_2409/kartor_geotiff/A 36703-2023 georefererad karta.tif", "A 36703-2023")</f>
        <v/>
      </c>
      <c r="AA48">
        <f>HYPERLINK("https://klasma.github.io/Logging_2409/klagomål/A 36703-2023 FSC-klagomål.docx", "A 36703-2023")</f>
        <v/>
      </c>
      <c r="AB48">
        <f>HYPERLINK("https://klasma.github.io/Logging_2409/klagomålsmail/A 36703-2023 FSC-klagomål mail.docx", "A 36703-2023")</f>
        <v/>
      </c>
      <c r="AC48">
        <f>HYPERLINK("https://klasma.github.io/Logging_2409/tillsyn/A 36703-2023 tillsynsbegäran.docx", "A 36703-2023")</f>
        <v/>
      </c>
      <c r="AD48">
        <f>HYPERLINK("https://klasma.github.io/Logging_2409/tillsynsmail/A 36703-2023 tillsynsbegäran mail.docx", "A 36703-2023")</f>
        <v/>
      </c>
    </row>
    <row r="49" ht="15" customHeight="1">
      <c r="A49" t="inlineStr">
        <is>
          <t>A 57653-2024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45630</v>
      </c>
      <c r="E49" s="1" t="n">
        <v>46323</v>
      </c>
      <c r="F49" t="inlineStr">
        <is>
          <t>VÄSTERBOTTENS LÄN</t>
        </is>
      </c>
      <c r="G49" t="inlineStr">
        <is>
          <t>ROBERTSFORS</t>
        </is>
      </c>
      <c r="I49" t="n">
        <v>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Blå kärrhök</t>
        </is>
      </c>
      <c r="W49">
        <f>HYPERLINK("https://klasma.github.io/Logging_2409/artfynd/A 57653-2024 artfynd.xlsx", "A 57653-2024")</f>
        <v/>
      </c>
      <c r="X49">
        <f>HYPERLINK("https://klasma.github.io/Logging_2409/kartor/A 57653-2024 karta.png", "A 57653-2024")</f>
        <v/>
      </c>
      <c r="Y49">
        <f>HYPERLINK("https://klasma.github.io/Logging_2409/kartor_geotiff/A 57653-2024 georefererad karta.tif", "A 57653-2024")</f>
        <v/>
      </c>
      <c r="AA49">
        <f>HYPERLINK("https://klasma.github.io/Logging_2409/klagomål/A 57653-2024 FSC-klagomål.docx", "A 57653-2024")</f>
        <v/>
      </c>
      <c r="AB49">
        <f>HYPERLINK("https://klasma.github.io/Logging_2409/klagomålsmail/A 57653-2024 FSC-klagomål mail.docx", "A 57653-2024")</f>
        <v/>
      </c>
      <c r="AC49">
        <f>HYPERLINK("https://klasma.github.io/Logging_2409/tillsyn/A 57653-2024 tillsynsbegäran.docx", "A 57653-2024")</f>
        <v/>
      </c>
      <c r="AD49">
        <f>HYPERLINK("https://klasma.github.io/Logging_2409/tillsynsmail/A 57653-2024 tillsynsbegäran mail.docx", "A 57653-2024")</f>
        <v/>
      </c>
      <c r="AE49">
        <f>HYPERLINK("https://klasma.github.io/Logging_2409/fåglar/A 57653-2024 prioriterade fågelarter.docx", "A 57653-2024")</f>
        <v/>
      </c>
    </row>
    <row r="50" ht="15" customHeight="1">
      <c r="A50" t="inlineStr">
        <is>
          <t>A 8753-2025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45712</v>
      </c>
      <c r="E50" s="1" t="n">
        <v>46323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Kommuner</t>
        </is>
      </c>
      <c r="I50" t="n">
        <v>8.1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HYPERLINK("https://klasma.github.io/Logging_2409/artfynd/A 8753-2025 artfynd.xlsx", "A 8753-2025")</f>
        <v/>
      </c>
      <c r="X50">
        <f>HYPERLINK("https://klasma.github.io/Logging_2409/kartor/A 8753-2025 karta.png", "A 8753-2025")</f>
        <v/>
      </c>
      <c r="Y50">
        <f>HYPERLINK("https://klasma.github.io/Logging_2409/kartor_geotiff/A 8753-2025 georefererad karta.tif", "A 8753-2025")</f>
        <v/>
      </c>
      <c r="AA50">
        <f>HYPERLINK("https://klasma.github.io/Logging_2409/klagomål/A 8753-2025 FSC-klagomål.docx", "A 8753-2025")</f>
        <v/>
      </c>
      <c r="AB50">
        <f>HYPERLINK("https://klasma.github.io/Logging_2409/klagomålsmail/A 8753-2025 FSC-klagomål mail.docx", "A 8753-2025")</f>
        <v/>
      </c>
      <c r="AC50">
        <f>HYPERLINK("https://klasma.github.io/Logging_2409/tillsyn/A 8753-2025 tillsynsbegäran.docx", "A 8753-2025")</f>
        <v/>
      </c>
      <c r="AD50">
        <f>HYPERLINK("https://klasma.github.io/Logging_2409/tillsynsmail/A 8753-2025 tillsynsbegäran mail.docx", "A 8753-2025")</f>
        <v/>
      </c>
    </row>
    <row r="51" ht="15" customHeight="1">
      <c r="A51" t="inlineStr">
        <is>
          <t>A 28750-2026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46323</v>
      </c>
      <c r="F51" t="inlineStr">
        <is>
          <t>VÄSTERBOTTENS LÄN</t>
        </is>
      </c>
      <c r="G51" t="inlineStr">
        <is>
          <t>ROBERTSFORS</t>
        </is>
      </c>
      <c r="I51" t="n">
        <v>0.7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HYPERLINK("https://klasma.github.io/Logging_2409/artfynd/A 28750-2026 artfynd.xlsx", "A 28750-2026")</f>
        <v/>
      </c>
      <c r="X51">
        <f>HYPERLINK("https://klasma.github.io/Logging_2409/kartor/A 28750-2026 karta.png", "A 28750-2026")</f>
        <v/>
      </c>
      <c r="Y51">
        <f>HYPERLINK("https://klasma.github.io/Logging_2409/kartor_geotiff/A 28750-2026 georefererad karta.tif", "A 28750-2026")</f>
        <v/>
      </c>
      <c r="AA51">
        <f>HYPERLINK("https://klasma.github.io/Logging_2409/klagomål/A 28750-2026 FSC-klagomål.docx", "A 28750-2026")</f>
        <v/>
      </c>
      <c r="AB51">
        <f>HYPERLINK("https://klasma.github.io/Logging_2409/klagomålsmail/A 28750-2026 FSC-klagomål mail.docx", "A 28750-2026")</f>
        <v/>
      </c>
      <c r="AC51">
        <f>HYPERLINK("https://klasma.github.io/Logging_2409/tillsyn/A 28750-2026 tillsynsbegäran.docx", "A 28750-2026")</f>
        <v/>
      </c>
      <c r="AD51">
        <f>HYPERLINK("https://klasma.github.io/Logging_2409/tillsynsmail/A 28750-2026 tillsynsbegäran mail.docx", "A 28750-2026")</f>
        <v/>
      </c>
    </row>
    <row r="52" ht="15" customHeight="1">
      <c r="A52" t="inlineStr">
        <is>
          <t>A 29583-2026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46204</v>
      </c>
      <c r="E52" s="1" t="n">
        <v>46323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SCA</t>
        </is>
      </c>
      <c r="I52" t="n">
        <v>1.6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Björksplintborre</t>
        </is>
      </c>
      <c r="W52">
        <f>HYPERLINK("https://klasma.github.io/Logging_2409/artfynd/A 29583-2026 artfynd.xlsx", "A 29583-2026")</f>
        <v/>
      </c>
      <c r="X52">
        <f>HYPERLINK("https://klasma.github.io/Logging_2409/kartor/A 29583-2026 karta.png", "A 29583-2026")</f>
        <v/>
      </c>
      <c r="Y52">
        <f>HYPERLINK("https://klasma.github.io/Logging_2409/kartor_geotiff/A 29583-2026 georefererad karta.tif", "A 29583-2026")</f>
        <v/>
      </c>
      <c r="AA52">
        <f>HYPERLINK("https://klasma.github.io/Logging_2409/klagomål/A 29583-2026 FSC-klagomål.docx", "A 29583-2026")</f>
        <v/>
      </c>
      <c r="AB52">
        <f>HYPERLINK("https://klasma.github.io/Logging_2409/klagomålsmail/A 29583-2026 FSC-klagomål mail.docx", "A 29583-2026")</f>
        <v/>
      </c>
      <c r="AC52">
        <f>HYPERLINK("https://klasma.github.io/Logging_2409/tillsyn/A 29583-2026 tillsynsbegäran.docx", "A 29583-2026")</f>
        <v/>
      </c>
      <c r="AD52">
        <f>HYPERLINK("https://klasma.github.io/Logging_2409/tillsynsmail/A 29583-2026 tillsynsbegäran mail.docx", "A 29583-2026")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46323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46323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46323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57284-2023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45245</v>
      </c>
      <c r="E56" s="1" t="n">
        <v>46323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6.8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HYPERLINK("https://klasma.github.io/Logging_2409/artfynd/A 57284-2023 artfynd.xlsx", "A 57284-2023")</f>
        <v/>
      </c>
      <c r="X56">
        <f>HYPERLINK("https://klasma.github.io/Logging_2409/kartor/A 57284-2023 karta.png", "A 57284-2023")</f>
        <v/>
      </c>
      <c r="Y56">
        <f>HYPERLINK("https://klasma.github.io/Logging_2409/kartor_geotiff/A 57284-2023 georefererad karta.tif", "A 57284-2023")</f>
        <v/>
      </c>
      <c r="AA56">
        <f>HYPERLINK("https://klasma.github.io/Logging_2409/klagomål/A 57284-2023 FSC-klagomål.docx", "A 57284-2023")</f>
        <v/>
      </c>
      <c r="AB56">
        <f>HYPERLINK("https://klasma.github.io/Logging_2409/klagomålsmail/A 57284-2023 FSC-klagomål mail.docx", "A 57284-2023")</f>
        <v/>
      </c>
      <c r="AC56">
        <f>HYPERLINK("https://klasma.github.io/Logging_2409/tillsyn/A 57284-2023 tillsynsbegäran.docx", "A 57284-2023")</f>
        <v/>
      </c>
      <c r="AD56">
        <f>HYPERLINK("https://klasma.github.io/Logging_2409/tillsynsmail/A 57284-2023 tillsynsbegäran mail.docx", "A 57284-2023")</f>
        <v/>
      </c>
    </row>
    <row r="57" ht="15" customHeight="1">
      <c r="A57" t="inlineStr">
        <is>
          <t>A 5969-2025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45695</v>
      </c>
      <c r="E57" s="1" t="n">
        <v>46323</v>
      </c>
      <c r="F57" t="inlineStr">
        <is>
          <t>VÄSTERBOTTENS LÄN</t>
        </is>
      </c>
      <c r="G57" t="inlineStr">
        <is>
          <t>ROBERTSFORS</t>
        </is>
      </c>
      <c r="I57" t="n">
        <v>18.1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Tretåig hackspett</t>
        </is>
      </c>
      <c r="W57">
        <f>HYPERLINK("https://klasma.github.io/Logging_2409/artfynd/A 5969-2025 artfynd.xlsx", "A 5969-2025")</f>
        <v/>
      </c>
      <c r="X57">
        <f>HYPERLINK("https://klasma.github.io/Logging_2409/kartor/A 5969-2025 karta.png", "A 5969-2025")</f>
        <v/>
      </c>
      <c r="Y57">
        <f>HYPERLINK("https://klasma.github.io/Logging_2409/kartor_geotiff/A 5969-2025 georefererad karta.tif", "A 5969-2025")</f>
        <v/>
      </c>
      <c r="AA57">
        <f>HYPERLINK("https://klasma.github.io/Logging_2409/klagomål/A 5969-2025 FSC-klagomål.docx", "A 5969-2025")</f>
        <v/>
      </c>
      <c r="AB57">
        <f>HYPERLINK("https://klasma.github.io/Logging_2409/klagomålsmail/A 5969-2025 FSC-klagomål mail.docx", "A 5969-2025")</f>
        <v/>
      </c>
      <c r="AC57">
        <f>HYPERLINK("https://klasma.github.io/Logging_2409/tillsyn/A 5969-2025 tillsynsbegäran.docx", "A 5969-2025")</f>
        <v/>
      </c>
      <c r="AD57">
        <f>HYPERLINK("https://klasma.github.io/Logging_2409/tillsynsmail/A 5969-2025 tillsynsbegäran mail.docx", "A 5969-2025")</f>
        <v/>
      </c>
      <c r="AE57">
        <f>HYPERLINK("https://klasma.github.io/Logging_2409/fåglar/A 5969-2025 prioriterade fågelarter.docx", "A 5969-2025")</f>
        <v/>
      </c>
    </row>
    <row r="58" ht="15" customHeight="1">
      <c r="A58" t="inlineStr">
        <is>
          <t>A 42891-2023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46323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42891-2023 artfynd.xlsx", "A 42891-2023")</f>
        <v/>
      </c>
      <c r="X58">
        <f>HYPERLINK("https://klasma.github.io/Logging_2409/kartor/A 42891-2023 karta.png", "A 42891-2023")</f>
        <v/>
      </c>
      <c r="Y58">
        <f>HYPERLINK("https://klasma.github.io/Logging_2409/kartor_geotiff/A 42891-2023 georefererad karta.tif", "A 42891-2023")</f>
        <v/>
      </c>
      <c r="AA58">
        <f>HYPERLINK("https://klasma.github.io/Logging_2409/klagomål/A 42891-2023 FSC-klagomål.docx", "A 42891-2023")</f>
        <v/>
      </c>
      <c r="AB58">
        <f>HYPERLINK("https://klasma.github.io/Logging_2409/klagomålsmail/A 42891-2023 FSC-klagomål mail.docx", "A 42891-2023")</f>
        <v/>
      </c>
      <c r="AC58">
        <f>HYPERLINK("https://klasma.github.io/Logging_2409/tillsyn/A 42891-2023 tillsynsbegäran.docx", "A 42891-2023")</f>
        <v/>
      </c>
      <c r="AD58">
        <f>HYPERLINK("https://klasma.github.io/Logging_2409/tillsynsmail/A 42891-2023 tillsynsbegäran mail.docx", "A 42891-2023")</f>
        <v/>
      </c>
    </row>
    <row r="59" ht="15" customHeight="1">
      <c r="A59" t="inlineStr">
        <is>
          <t>A 35551-2025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46323</v>
      </c>
      <c r="F59" t="inlineStr">
        <is>
          <t>VÄSTERBOTTENS LÄN</t>
        </is>
      </c>
      <c r="G59" t="inlineStr">
        <is>
          <t>ROBERTSFORS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HYPERLINK("https://klasma.github.io/Logging_2409/artfynd/A 35551-2025 artfynd.xlsx", "A 35551-2025")</f>
        <v/>
      </c>
      <c r="X59">
        <f>HYPERLINK("https://klasma.github.io/Logging_2409/kartor/A 35551-2025 karta.png", "A 35551-2025")</f>
        <v/>
      </c>
      <c r="Y59">
        <f>HYPERLINK("https://klasma.github.io/Logging_2409/kartor_geotiff/A 35551-2025 georefererad karta.tif", "A 35551-2025")</f>
        <v/>
      </c>
      <c r="AA59">
        <f>HYPERLINK("https://klasma.github.io/Logging_2409/klagomål/A 35551-2025 FSC-klagomål.docx", "A 35551-2025")</f>
        <v/>
      </c>
      <c r="AB59">
        <f>HYPERLINK("https://klasma.github.io/Logging_2409/klagomålsmail/A 35551-2025 FSC-klagomål mail.docx", "A 35551-2025")</f>
        <v/>
      </c>
      <c r="AC59">
        <f>HYPERLINK("https://klasma.github.io/Logging_2409/tillsyn/A 35551-2025 tillsynsbegäran.docx", "A 35551-2025")</f>
        <v/>
      </c>
      <c r="AD59">
        <f>HYPERLINK("https://klasma.github.io/Logging_2409/tillsynsmail/A 35551-2025 tillsynsbegäran mail.docx", "A 35551-2025")</f>
        <v/>
      </c>
      <c r="AE59">
        <f>HYPERLINK("https://klasma.github.io/Logging_2409/fåglar/A 35551-2025 prioriterade fågelarter.docx", "A 35551-2025")</f>
        <v/>
      </c>
    </row>
    <row r="60" ht="15" customHeight="1">
      <c r="A60" t="inlineStr">
        <is>
          <t>A 32023-2024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46323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HYPERLINK("https://klasma.github.io/Logging_2409/artfynd/A 32023-2024 artfynd.xlsx", "A 32023-2024")</f>
        <v/>
      </c>
      <c r="X60">
        <f>HYPERLINK("https://klasma.github.io/Logging_2409/kartor/A 32023-2024 karta.png", "A 32023-2024")</f>
        <v/>
      </c>
      <c r="Y60">
        <f>HYPERLINK("https://klasma.github.io/Logging_2409/kartor_geotiff/A 32023-2024 georefererad karta.tif", "A 32023-2024")</f>
        <v/>
      </c>
      <c r="AA60">
        <f>HYPERLINK("https://klasma.github.io/Logging_2409/klagomål/A 32023-2024 FSC-klagomål.docx", "A 32023-2024")</f>
        <v/>
      </c>
      <c r="AB60">
        <f>HYPERLINK("https://klasma.github.io/Logging_2409/klagomålsmail/A 32023-2024 FSC-klagomål mail.docx", "A 32023-2024")</f>
        <v/>
      </c>
      <c r="AC60">
        <f>HYPERLINK("https://klasma.github.io/Logging_2409/tillsyn/A 32023-2024 tillsynsbegäran.docx", "A 32023-2024")</f>
        <v/>
      </c>
      <c r="AD60">
        <f>HYPERLINK("https://klasma.github.io/Logging_2409/tillsynsmail/A 32023-2024 tillsynsbegäran mail.docx", "A 32023-2024")</f>
        <v/>
      </c>
    </row>
    <row r="61" ht="15" customHeight="1">
      <c r="A61" t="inlineStr">
        <is>
          <t>A 36504-2026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46269</v>
      </c>
      <c r="E61" s="1" t="n">
        <v>46323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Sveaskog</t>
        </is>
      </c>
      <c r="I61" t="n">
        <v>8.800000000000001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Blanksvart spiklav</t>
        </is>
      </c>
      <c r="W61">
        <f>HYPERLINK("https://klasma.github.io/Logging_2409/artfynd/A 36504-2026 artfynd.xlsx", "A 36504-2026")</f>
        <v/>
      </c>
      <c r="X61">
        <f>HYPERLINK("https://klasma.github.io/Logging_2409/kartor/A 36504-2026 karta.png", "A 36504-2026")</f>
        <v/>
      </c>
      <c r="Y61">
        <f>HYPERLINK("https://klasma.github.io/Logging_2409/kartor_geotiff/A 36504-2026 georefererad karta.tif", "A 36504-2026")</f>
        <v/>
      </c>
      <c r="AA61">
        <f>HYPERLINK("https://klasma.github.io/Logging_2409/klagomål/A 36504-2026 FSC-klagomål.docx", "A 36504-2026")</f>
        <v/>
      </c>
      <c r="AB61">
        <f>HYPERLINK("https://klasma.github.io/Logging_2409/klagomålsmail/A 36504-2026 FSC-klagomål mail.docx", "A 36504-2026")</f>
        <v/>
      </c>
      <c r="AC61">
        <f>HYPERLINK("https://klasma.github.io/Logging_2409/tillsyn/A 36504-2026 tillsynsbegäran.docx", "A 36504-2026")</f>
        <v/>
      </c>
      <c r="AD61">
        <f>HYPERLINK("https://klasma.github.io/Logging_2409/tillsynsmail/A 36504-2026 tillsynsbegäran mail.docx", "A 36504-2026")</f>
        <v/>
      </c>
    </row>
    <row r="62" ht="15" customHeight="1">
      <c r="A62" t="inlineStr">
        <is>
          <t>A 30344-2025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45827</v>
      </c>
      <c r="E62" s="1" t="n">
        <v>46323</v>
      </c>
      <c r="F62" t="inlineStr">
        <is>
          <t>VÄSTERBOTTENS LÄN</t>
        </is>
      </c>
      <c r="G62" t="inlineStr">
        <is>
          <t>ROBERTSFORS</t>
        </is>
      </c>
      <c r="I62" t="n">
        <v>22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HYPERLINK("https://klasma.github.io/Logging_2409/artfynd/A 30344-2025 artfynd.xlsx", "A 30344-2025")</f>
        <v/>
      </c>
      <c r="X62">
        <f>HYPERLINK("https://klasma.github.io/Logging_2409/kartor/A 30344-2025 karta.png", "A 30344-2025")</f>
        <v/>
      </c>
      <c r="Y62">
        <f>HYPERLINK("https://klasma.github.io/Logging_2409/kartor_geotiff/A 30344-2025 georefererad karta.tif", "A 30344-2025")</f>
        <v/>
      </c>
      <c r="AA62">
        <f>HYPERLINK("https://klasma.github.io/Logging_2409/klagomål/A 30344-2025 FSC-klagomål.docx", "A 30344-2025")</f>
        <v/>
      </c>
      <c r="AB62">
        <f>HYPERLINK("https://klasma.github.io/Logging_2409/klagomålsmail/A 30344-2025 FSC-klagomål mail.docx", "A 30344-2025")</f>
        <v/>
      </c>
      <c r="AC62">
        <f>HYPERLINK("https://klasma.github.io/Logging_2409/tillsyn/A 30344-2025 tillsynsbegäran.docx", "A 30344-2025")</f>
        <v/>
      </c>
      <c r="AD62">
        <f>HYPERLINK("https://klasma.github.io/Logging_2409/tillsynsmail/A 30344-2025 tillsynsbegäran mail.docx", "A 30344-2025")</f>
        <v/>
      </c>
      <c r="AE62">
        <f>HYPERLINK("https://klasma.github.io/Logging_2409/fåglar/A 30344-2025 prioriterade fågelarter.docx", "A 30344-2025")</f>
        <v/>
      </c>
    </row>
    <row r="63" ht="15" customHeight="1">
      <c r="A63" t="inlineStr">
        <is>
          <t>A 10145-2025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46323</v>
      </c>
      <c r="F63" t="inlineStr">
        <is>
          <t>VÄSTERBOTTENS LÄN</t>
        </is>
      </c>
      <c r="G63" t="inlineStr">
        <is>
          <t>ROBERTSFORS</t>
        </is>
      </c>
      <c r="I63" t="n">
        <v>5.3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HYPERLINK("https://klasma.github.io/Logging_2409/artfynd/A 10145-2025 artfynd.xlsx", "A 10145-2025")</f>
        <v/>
      </c>
      <c r="X63">
        <f>HYPERLINK("https://klasma.github.io/Logging_2409/kartor/A 10145-2025 karta.png", "A 10145-2025")</f>
        <v/>
      </c>
      <c r="Y63">
        <f>HYPERLINK("https://klasma.github.io/Logging_2409/kartor_geotiff/A 10145-2025 georefererad karta.tif", "A 10145-2025")</f>
        <v/>
      </c>
      <c r="AA63">
        <f>HYPERLINK("https://klasma.github.io/Logging_2409/klagomål/A 10145-2025 FSC-klagomål.docx", "A 10145-2025")</f>
        <v/>
      </c>
      <c r="AB63">
        <f>HYPERLINK("https://klasma.github.io/Logging_2409/klagomålsmail/A 10145-2025 FSC-klagomål mail.docx", "A 10145-2025")</f>
        <v/>
      </c>
      <c r="AC63">
        <f>HYPERLINK("https://klasma.github.io/Logging_2409/tillsyn/A 10145-2025 tillsynsbegäran.docx", "A 10145-2025")</f>
        <v/>
      </c>
      <c r="AD63">
        <f>HYPERLINK("https://klasma.github.io/Logging_2409/tillsynsmail/A 10145-2025 tillsynsbegäran mail.docx", "A 10145-2025")</f>
        <v/>
      </c>
    </row>
    <row r="64" ht="15" customHeight="1">
      <c r="A64" t="inlineStr">
        <is>
          <t>A 32263-2025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46323</v>
      </c>
      <c r="F64" t="inlineStr">
        <is>
          <t>VÄSTERBOTTENS LÄN</t>
        </is>
      </c>
      <c r="G64" t="inlineStr">
        <is>
          <t>ROBERTSFORS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HYPERLINK("https://klasma.github.io/Logging_2409/artfynd/A 32263-2025 artfynd.xlsx", "A 32263-2025")</f>
        <v/>
      </c>
      <c r="X64">
        <f>HYPERLINK("https://klasma.github.io/Logging_2409/kartor/A 32263-2025 karta.png", "A 32263-2025")</f>
        <v/>
      </c>
      <c r="Y64">
        <f>HYPERLINK("https://klasma.github.io/Logging_2409/kartor_geotiff/A 32263-2025 georefererad karta.tif", "A 32263-2025")</f>
        <v/>
      </c>
      <c r="AA64">
        <f>HYPERLINK("https://klasma.github.io/Logging_2409/klagomål/A 32263-2025 FSC-klagomål.docx", "A 32263-2025")</f>
        <v/>
      </c>
      <c r="AB64">
        <f>HYPERLINK("https://klasma.github.io/Logging_2409/klagomålsmail/A 32263-2025 FSC-klagomål mail.docx", "A 32263-2025")</f>
        <v/>
      </c>
      <c r="AC64">
        <f>HYPERLINK("https://klasma.github.io/Logging_2409/tillsyn/A 32263-2025 tillsynsbegäran.docx", "A 32263-2025")</f>
        <v/>
      </c>
      <c r="AD64">
        <f>HYPERLINK("https://klasma.github.io/Logging_2409/tillsynsmail/A 32263-2025 tillsynsbegäran mail.docx", "A 32263-2025")</f>
        <v/>
      </c>
    </row>
    <row r="65" ht="15" customHeight="1">
      <c r="A65" t="inlineStr">
        <is>
          <t>A 34007-2025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45844</v>
      </c>
      <c r="E65" s="1" t="n">
        <v>46323</v>
      </c>
      <c r="F65" t="inlineStr">
        <is>
          <t>VÄSTERBOTTENS LÄN</t>
        </is>
      </c>
      <c r="G65" t="inlineStr">
        <is>
          <t>ROBERTSFORS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Harticka</t>
        </is>
      </c>
      <c r="W65">
        <f>HYPERLINK("https://klasma.github.io/Logging_2409/artfynd/A 34007-2025 artfynd.xlsx", "A 34007-2025")</f>
        <v/>
      </c>
      <c r="X65">
        <f>HYPERLINK("https://klasma.github.io/Logging_2409/kartor/A 34007-2025 karta.png", "A 34007-2025")</f>
        <v/>
      </c>
      <c r="Y65">
        <f>HYPERLINK("https://klasma.github.io/Logging_2409/kartor_geotiff/A 34007-2025 georefererad karta.tif", "A 34007-2025")</f>
        <v/>
      </c>
      <c r="AA65">
        <f>HYPERLINK("https://klasma.github.io/Logging_2409/klagomål/A 34007-2025 FSC-klagomål.docx", "A 34007-2025")</f>
        <v/>
      </c>
      <c r="AB65">
        <f>HYPERLINK("https://klasma.github.io/Logging_2409/klagomålsmail/A 34007-2025 FSC-klagomål mail.docx", "A 34007-2025")</f>
        <v/>
      </c>
      <c r="AC65">
        <f>HYPERLINK("https://klasma.github.io/Logging_2409/tillsyn/A 34007-2025 tillsynsbegäran.docx", "A 34007-2025")</f>
        <v/>
      </c>
      <c r="AD65">
        <f>HYPERLINK("https://klasma.github.io/Logging_2409/tillsynsmail/A 34007-2025 tillsynsbegäran mail.docx", "A 34007-2025")</f>
        <v/>
      </c>
    </row>
    <row r="66" ht="15" customHeight="1">
      <c r="A66" t="inlineStr">
        <is>
          <t>A 52723-2025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46323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HYPERLINK("https://klasma.github.io/Logging_2409/artfynd/A 52723-2025 artfynd.xlsx", "A 52723-2025")</f>
        <v/>
      </c>
      <c r="X66">
        <f>HYPERLINK("https://klasma.github.io/Logging_2409/kartor/A 52723-2025 karta.png", "A 52723-2025")</f>
        <v/>
      </c>
      <c r="Y66">
        <f>HYPERLINK("https://klasma.github.io/Logging_2409/kartor_geotiff/A 52723-2025 georefererad karta.tif", "A 52723-2025")</f>
        <v/>
      </c>
      <c r="AA66">
        <f>HYPERLINK("https://klasma.github.io/Logging_2409/klagomål/A 52723-2025 FSC-klagomål.docx", "A 52723-2025")</f>
        <v/>
      </c>
      <c r="AB66">
        <f>HYPERLINK("https://klasma.github.io/Logging_2409/klagomålsmail/A 52723-2025 FSC-klagomål mail.docx", "A 52723-2025")</f>
        <v/>
      </c>
      <c r="AC66">
        <f>HYPERLINK("https://klasma.github.io/Logging_2409/tillsyn/A 52723-2025 tillsynsbegäran.docx", "A 52723-2025")</f>
        <v/>
      </c>
      <c r="AD66">
        <f>HYPERLINK("https://klasma.github.io/Logging_2409/tillsynsmail/A 52723-2025 tillsynsbegäran mail.docx", "A 52723-2025")</f>
        <v/>
      </c>
      <c r="AE66">
        <f>HYPERLINK("https://klasma.github.io/Logging_2409/fåglar/A 52723-2025 prioriterade fågelarter.docx", "A 52723-2025")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46323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46323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46323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46323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46323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46323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46323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46323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46323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46323</v>
      </c>
      <c r="F76" t="inlineStr">
        <is>
          <t>VÄSTERBOTTENS LÄN</t>
        </is>
      </c>
      <c r="G76" t="inlineStr">
        <is>
          <t>ROBERTSFORS</t>
        </is>
      </c>
      <c r="I76" t="n">
        <v>13.1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46323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46323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46323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46323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46323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46323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46323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46323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46323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46323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46323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46323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46323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46323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46323</v>
      </c>
      <c r="F91" t="inlineStr">
        <is>
          <t>VÄSTERBOTTENS LÄN</t>
        </is>
      </c>
      <c r="G91" t="inlineStr">
        <is>
          <t>ROBERTSFORS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44571</v>
      </c>
      <c r="E92" s="1" t="n">
        <v>46323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44844</v>
      </c>
      <c r="E93" s="1" t="n">
        <v>46323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46323</v>
      </c>
      <c r="F94" t="inlineStr">
        <is>
          <t>VÄSTERBOTTENS LÄN</t>
        </is>
      </c>
      <c r="G94" t="inlineStr">
        <is>
          <t>ROBERTSFORS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44612</v>
      </c>
      <c r="E95" s="1" t="n">
        <v>46323</v>
      </c>
      <c r="F95" t="inlineStr">
        <is>
          <t>VÄSTERBOTTENS LÄN</t>
        </is>
      </c>
      <c r="G95" t="inlineStr">
        <is>
          <t>ROBERTSFORS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46323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46323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46323</v>
      </c>
      <c r="F98" t="inlineStr">
        <is>
          <t>VÄSTERBOTTENS LÄN</t>
        </is>
      </c>
      <c r="G98" t="inlineStr">
        <is>
          <t>ROBERTSFORS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46323</v>
      </c>
      <c r="F99" t="inlineStr">
        <is>
          <t>VÄSTERBOTTENS LÄN</t>
        </is>
      </c>
      <c r="G99" t="inlineStr">
        <is>
          <t>ROBERTSFORS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46323</v>
      </c>
      <c r="F100" t="inlineStr">
        <is>
          <t>VÄSTERBOTTENS LÄN</t>
        </is>
      </c>
      <c r="G100" t="inlineStr">
        <is>
          <t>ROBERTSFORS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19962-2022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44697</v>
      </c>
      <c r="E101" s="1" t="n">
        <v>46323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46323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44827</v>
      </c>
      <c r="E103" s="1" t="n">
        <v>46323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46323</v>
      </c>
      <c r="F104" t="inlineStr">
        <is>
          <t>VÄSTERBOTTENS LÄN</t>
        </is>
      </c>
      <c r="G104" t="inlineStr">
        <is>
          <t>ROBERTSFORS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46323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45197</v>
      </c>
      <c r="E106" s="1" t="n">
        <v>46323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46323</v>
      </c>
      <c r="F107" t="inlineStr">
        <is>
          <t>VÄSTERBOTTENS LÄN</t>
        </is>
      </c>
      <c r="G107" t="inlineStr">
        <is>
          <t>ROBERTSFORS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46323</v>
      </c>
      <c r="F108" t="inlineStr">
        <is>
          <t>VÄSTERBOTTENS LÄN</t>
        </is>
      </c>
      <c r="G108" t="inlineStr">
        <is>
          <t>ROBERTSFORS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39283-2022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44817</v>
      </c>
      <c r="E109" s="1" t="n">
        <v>46323</v>
      </c>
      <c r="F109" t="inlineStr">
        <is>
          <t>VÄSTERBOTTENS LÄN</t>
        </is>
      </c>
      <c r="G109" t="inlineStr">
        <is>
          <t>ROBERTSFORS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46323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46323</v>
      </c>
      <c r="F111" t="inlineStr">
        <is>
          <t>VÄSTERBOTTENS LÄN</t>
        </is>
      </c>
      <c r="G111" t="inlineStr">
        <is>
          <t>ROBERTSFORS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46323</v>
      </c>
      <c r="F112" t="inlineStr">
        <is>
          <t>VÄSTERBOTTENS LÄN</t>
        </is>
      </c>
      <c r="G112" t="inlineStr">
        <is>
          <t>ROBERTSFORS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45559</v>
      </c>
      <c r="E113" s="1" t="n">
        <v>46323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Sveaskog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45712</v>
      </c>
      <c r="E114" s="1" t="n">
        <v>46323</v>
      </c>
      <c r="F114" t="inlineStr">
        <is>
          <t>VÄSTERBOTTENS LÄN</t>
        </is>
      </c>
      <c r="G114" t="inlineStr">
        <is>
          <t>ROBERTSFORS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46323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44824</v>
      </c>
      <c r="E116" s="1" t="n">
        <v>46323</v>
      </c>
      <c r="F116" t="inlineStr">
        <is>
          <t>VÄSTERBOTTENS LÄN</t>
        </is>
      </c>
      <c r="G116" t="inlineStr">
        <is>
          <t>ROBERTSFORS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46323</v>
      </c>
      <c r="F117" t="inlineStr">
        <is>
          <t>VÄSTERBOTTENS LÄN</t>
        </is>
      </c>
      <c r="G117" t="inlineStr">
        <is>
          <t>ROBERTSFORS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45559</v>
      </c>
      <c r="E118" s="1" t="n">
        <v>46323</v>
      </c>
      <c r="F118" t="inlineStr">
        <is>
          <t>VÄSTERBOTTENS LÄN</t>
        </is>
      </c>
      <c r="G118" t="inlineStr">
        <is>
          <t>ROBERTSFORS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46323</v>
      </c>
      <c r="F119" t="inlineStr">
        <is>
          <t>VÄSTERBOTTENS LÄN</t>
        </is>
      </c>
      <c r="G119" t="inlineStr">
        <is>
          <t>ROBERTSFORS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45671</v>
      </c>
      <c r="E120" s="1" t="n">
        <v>46323</v>
      </c>
      <c r="F120" t="inlineStr">
        <is>
          <t>VÄSTERBOTTENS LÄN</t>
        </is>
      </c>
      <c r="G120" t="inlineStr">
        <is>
          <t>ROBERTSFORS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46323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46323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44789</v>
      </c>
      <c r="E123" s="1" t="n">
        <v>46323</v>
      </c>
      <c r="F123" t="inlineStr">
        <is>
          <t>VÄSTERBOTTENS LÄN</t>
        </is>
      </c>
      <c r="G123" t="inlineStr">
        <is>
          <t>ROBERTSFORS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44960</v>
      </c>
      <c r="E124" s="1" t="n">
        <v>46323</v>
      </c>
      <c r="F124" t="inlineStr">
        <is>
          <t>VÄSTERBOTTENS LÄN</t>
        </is>
      </c>
      <c r="G124" t="inlineStr">
        <is>
          <t>ROBERTSFORS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46323</v>
      </c>
      <c r="F125" t="inlineStr">
        <is>
          <t>VÄSTERBOTTENS LÄN</t>
        </is>
      </c>
      <c r="G125" t="inlineStr">
        <is>
          <t>ROBERTSFORS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46323</v>
      </c>
      <c r="F126" t="inlineStr">
        <is>
          <t>VÄSTERBOTTENS LÄN</t>
        </is>
      </c>
      <c r="G126" t="inlineStr">
        <is>
          <t>ROBERTSFORS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2590-2022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44580</v>
      </c>
      <c r="E127" s="1" t="n">
        <v>46323</v>
      </c>
      <c r="F127" t="inlineStr">
        <is>
          <t>VÄSTERBOTTENS LÄN</t>
        </is>
      </c>
      <c r="G127" t="inlineStr">
        <is>
          <t>ROBERTSFORS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44574</v>
      </c>
      <c r="E128" s="1" t="n">
        <v>46323</v>
      </c>
      <c r="F128" t="inlineStr">
        <is>
          <t>VÄSTERBOTTENS LÄN</t>
        </is>
      </c>
      <c r="G128" t="inlineStr">
        <is>
          <t>ROBERTSFORS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46323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44641</v>
      </c>
      <c r="E130" s="1" t="n">
        <v>46323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46323</v>
      </c>
      <c r="F131" t="inlineStr">
        <is>
          <t>VÄSTERBOTTENS LÄN</t>
        </is>
      </c>
      <c r="G131" t="inlineStr">
        <is>
          <t>ROBERTSFORS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45042</v>
      </c>
      <c r="E132" s="1" t="n">
        <v>46323</v>
      </c>
      <c r="F132" t="inlineStr">
        <is>
          <t>VÄSTERBOTTENS LÄN</t>
        </is>
      </c>
      <c r="G132" t="inlineStr">
        <is>
          <t>ROBERTSFORS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45565</v>
      </c>
      <c r="E133" s="1" t="n">
        <v>46323</v>
      </c>
      <c r="F133" t="inlineStr">
        <is>
          <t>VÄSTERBOTTENS LÄN</t>
        </is>
      </c>
      <c r="G133" t="inlineStr">
        <is>
          <t>ROBERTSFORS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45020</v>
      </c>
      <c r="E134" s="1" t="n">
        <v>46323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Sveaskog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46323</v>
      </c>
      <c r="F135" t="inlineStr">
        <is>
          <t>VÄSTERBOTTENS LÄN</t>
        </is>
      </c>
      <c r="G135" t="inlineStr">
        <is>
          <t>ROBERTSFORS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46323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46323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65771-2021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44516</v>
      </c>
      <c r="E138" s="1" t="n">
        <v>46323</v>
      </c>
      <c r="F138" t="inlineStr">
        <is>
          <t>VÄSTERBOTTENS LÄN</t>
        </is>
      </c>
      <c r="G138" t="inlineStr">
        <is>
          <t>ROBERTSFORS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46323</v>
      </c>
      <c r="F139" t="inlineStr">
        <is>
          <t>VÄSTERBOTTENS LÄN</t>
        </is>
      </c>
      <c r="G139" t="inlineStr">
        <is>
          <t>ROBERTSFORS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46323</v>
      </c>
      <c r="F140" t="inlineStr">
        <is>
          <t>VÄSTERBOTTENS LÄN</t>
        </is>
      </c>
      <c r="G140" t="inlineStr">
        <is>
          <t>ROBERTSFORS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48259-2023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46323</v>
      </c>
      <c r="F141" t="inlineStr">
        <is>
          <t>VÄSTERBOTTENS LÄN</t>
        </is>
      </c>
      <c r="G141" t="inlineStr">
        <is>
          <t>ROBERTSFORS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46323</v>
      </c>
      <c r="F142" t="inlineStr">
        <is>
          <t>VÄSTERBOTTENS LÄN</t>
        </is>
      </c>
      <c r="G142" t="inlineStr">
        <is>
          <t>ROBERTSFORS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45525</v>
      </c>
      <c r="E143" s="1" t="n">
        <v>46323</v>
      </c>
      <c r="F143" t="inlineStr">
        <is>
          <t>VÄSTERBOTTENS LÄN</t>
        </is>
      </c>
      <c r="G143" t="inlineStr">
        <is>
          <t>ROBERTSFORS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46323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45659</v>
      </c>
      <c r="E145" s="1" t="n">
        <v>46323</v>
      </c>
      <c r="F145" t="inlineStr">
        <is>
          <t>VÄSTERBOTTENS LÄN</t>
        </is>
      </c>
      <c r="G145" t="inlineStr">
        <is>
          <t>ROBERTSFORS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46323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46323</v>
      </c>
      <c r="F147" t="inlineStr">
        <is>
          <t>VÄSTERBOTTENS LÄN</t>
        </is>
      </c>
      <c r="G147" t="inlineStr">
        <is>
          <t>ROBERTSFORS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46323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46323</v>
      </c>
      <c r="F149" t="inlineStr">
        <is>
          <t>VÄSTERBOTTENS LÄN</t>
        </is>
      </c>
      <c r="G149" t="inlineStr">
        <is>
          <t>ROBERTSFORS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45610</v>
      </c>
      <c r="E150" s="1" t="n">
        <v>46323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SCA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46323</v>
      </c>
      <c r="F151" t="inlineStr">
        <is>
          <t>VÄSTERBOTTENS LÄN</t>
        </is>
      </c>
      <c r="G151" t="inlineStr">
        <is>
          <t>ROBERTSFORS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45661</v>
      </c>
      <c r="E152" s="1" t="n">
        <v>46323</v>
      </c>
      <c r="F152" t="inlineStr">
        <is>
          <t>VÄSTERBOTTENS LÄN</t>
        </is>
      </c>
      <c r="G152" t="inlineStr">
        <is>
          <t>ROBERTSFORS</t>
        </is>
      </c>
      <c r="I152" t="n">
        <v>10.6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46323</v>
      </c>
      <c r="F153" t="inlineStr">
        <is>
          <t>VÄSTERBOTTENS LÄN</t>
        </is>
      </c>
      <c r="G153" t="inlineStr">
        <is>
          <t>ROBERTSFORS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45184</v>
      </c>
      <c r="E154" s="1" t="n">
        <v>46323</v>
      </c>
      <c r="F154" t="inlineStr">
        <is>
          <t>VÄSTERBOTTENS LÄN</t>
        </is>
      </c>
      <c r="G154" t="inlineStr">
        <is>
          <t>ROBERTSFORS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46323</v>
      </c>
      <c r="F155" t="inlineStr">
        <is>
          <t>VÄSTERBOTTENS LÄN</t>
        </is>
      </c>
      <c r="G155" t="inlineStr">
        <is>
          <t>ROBERTSFORS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45033</v>
      </c>
      <c r="E156" s="1" t="n">
        <v>46323</v>
      </c>
      <c r="F156" t="inlineStr">
        <is>
          <t>VÄSTERBOTTENS LÄN</t>
        </is>
      </c>
      <c r="G156" t="inlineStr">
        <is>
          <t>ROBERTSFORS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46323</v>
      </c>
      <c r="F157" t="inlineStr">
        <is>
          <t>VÄSTERBOTTENS LÄN</t>
        </is>
      </c>
      <c r="G157" t="inlineStr">
        <is>
          <t>ROBERTSFORS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46323</v>
      </c>
      <c r="F158" t="inlineStr">
        <is>
          <t>VÄSTERBOTTENS LÄN</t>
        </is>
      </c>
      <c r="G158" t="inlineStr">
        <is>
          <t>ROBERTSFORS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45458</v>
      </c>
      <c r="E159" s="1" t="n">
        <v>46323</v>
      </c>
      <c r="F159" t="inlineStr">
        <is>
          <t>VÄSTERBOTTENS LÄN</t>
        </is>
      </c>
      <c r="G159" t="inlineStr">
        <is>
          <t>ROBERTSFORS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46323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46323</v>
      </c>
      <c r="F161" t="inlineStr">
        <is>
          <t>VÄSTERBOTTENS LÄN</t>
        </is>
      </c>
      <c r="G161" t="inlineStr">
        <is>
          <t>ROBERTSFORS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45205</v>
      </c>
      <c r="E162" s="1" t="n">
        <v>46323</v>
      </c>
      <c r="F162" t="inlineStr">
        <is>
          <t>VÄSTERBOTTENS LÄN</t>
        </is>
      </c>
      <c r="G162" t="inlineStr">
        <is>
          <t>ROBERTSFORS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46323</v>
      </c>
      <c r="F163" t="inlineStr">
        <is>
          <t>VÄSTERBOTTENS LÄN</t>
        </is>
      </c>
      <c r="G163" t="inlineStr">
        <is>
          <t>ROBERTSFORS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45692</v>
      </c>
      <c r="E164" s="1" t="n">
        <v>46323</v>
      </c>
      <c r="F164" t="inlineStr">
        <is>
          <t>VÄSTERBOTTENS LÄN</t>
        </is>
      </c>
      <c r="G164" t="inlineStr">
        <is>
          <t>ROBERTSFORS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46323</v>
      </c>
      <c r="F165" t="inlineStr">
        <is>
          <t>VÄSTERBOTTENS LÄN</t>
        </is>
      </c>
      <c r="G165" t="inlineStr">
        <is>
          <t>ROBERTSFORS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46323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46323</v>
      </c>
      <c r="F167" t="inlineStr">
        <is>
          <t>VÄSTERBOTTENS LÄN</t>
        </is>
      </c>
      <c r="G167" t="inlineStr">
        <is>
          <t>ROBERTSFORS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46323</v>
      </c>
      <c r="F168" t="inlineStr">
        <is>
          <t>VÄSTERBOTTENS LÄN</t>
        </is>
      </c>
      <c r="G168" t="inlineStr">
        <is>
          <t>ROBERTSFORS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46323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46323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46323</v>
      </c>
      <c r="F171" t="inlineStr">
        <is>
          <t>VÄSTERBOTTENS LÄN</t>
        </is>
      </c>
      <c r="G171" t="inlineStr">
        <is>
          <t>ROBERTSFORS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46323</v>
      </c>
      <c r="F172" t="inlineStr">
        <is>
          <t>VÄSTERBOTTENS LÄN</t>
        </is>
      </c>
      <c r="G172" t="inlineStr">
        <is>
          <t>ROBERTSFORS</t>
        </is>
      </c>
      <c r="I172" t="n">
        <v>11.5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39982-2025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45893</v>
      </c>
      <c r="E173" s="1" t="n">
        <v>46323</v>
      </c>
      <c r="F173" t="inlineStr">
        <is>
          <t>VÄSTERBOTTENS LÄN</t>
        </is>
      </c>
      <c r="G173" t="inlineStr">
        <is>
          <t>ROBERTSFORS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46323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46323</v>
      </c>
      <c r="F175" t="inlineStr">
        <is>
          <t>VÄSTERBOTTENS LÄN</t>
        </is>
      </c>
      <c r="G175" t="inlineStr">
        <is>
          <t>ROBERTSFORS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45461</v>
      </c>
      <c r="E176" s="1" t="n">
        <v>46323</v>
      </c>
      <c r="F176" t="inlineStr">
        <is>
          <t>VÄSTERBOTTENS LÄN</t>
        </is>
      </c>
      <c r="G176" t="inlineStr">
        <is>
          <t>ROBERTSFORS</t>
        </is>
      </c>
      <c r="I176" t="n">
        <v>14.3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46323</v>
      </c>
      <c r="F177" t="inlineStr">
        <is>
          <t>VÄSTERBOTTENS LÄN</t>
        </is>
      </c>
      <c r="G177" t="inlineStr">
        <is>
          <t>ROBERTSFORS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46323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45687</v>
      </c>
      <c r="E179" s="1" t="n">
        <v>46323</v>
      </c>
      <c r="F179" t="inlineStr">
        <is>
          <t>VÄSTERBOTTENS LÄN</t>
        </is>
      </c>
      <c r="G179" t="inlineStr">
        <is>
          <t>ROBERTSFORS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46323</v>
      </c>
      <c r="F180" t="inlineStr">
        <is>
          <t>VÄSTERBOTTENS LÄN</t>
        </is>
      </c>
      <c r="G180" t="inlineStr">
        <is>
          <t>ROBERTSFORS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46323</v>
      </c>
      <c r="F181" t="inlineStr">
        <is>
          <t>VÄSTERBOTTENS LÄN</t>
        </is>
      </c>
      <c r="G181" t="inlineStr">
        <is>
          <t>ROBERTSFORS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46323</v>
      </c>
      <c r="F182" t="inlineStr">
        <is>
          <t>VÄSTERBOTTENS LÄN</t>
        </is>
      </c>
      <c r="G182" t="inlineStr">
        <is>
          <t>ROBERTSFORS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45545</v>
      </c>
      <c r="E183" s="1" t="n">
        <v>46323</v>
      </c>
      <c r="F183" t="inlineStr">
        <is>
          <t>VÄSTERBOTTENS LÄN</t>
        </is>
      </c>
      <c r="G183" t="inlineStr">
        <is>
          <t>ROBERTSFORS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46323</v>
      </c>
      <c r="F184" t="inlineStr">
        <is>
          <t>VÄSTERBOTTENS LÄN</t>
        </is>
      </c>
      <c r="G184" t="inlineStr">
        <is>
          <t>ROBERTSFORS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46323</v>
      </c>
      <c r="F185" t="inlineStr">
        <is>
          <t>VÄSTERBOTTENS LÄN</t>
        </is>
      </c>
      <c r="G185" t="inlineStr">
        <is>
          <t>ROBERTSFORS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45458</v>
      </c>
      <c r="E186" s="1" t="n">
        <v>46323</v>
      </c>
      <c r="F186" t="inlineStr">
        <is>
          <t>VÄSTERBOTTENS LÄN</t>
        </is>
      </c>
      <c r="G186" t="inlineStr">
        <is>
          <t>ROBERTSFORS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46323</v>
      </c>
      <c r="F187" t="inlineStr">
        <is>
          <t>VÄSTERBOTTENS LÄN</t>
        </is>
      </c>
      <c r="G187" t="inlineStr">
        <is>
          <t>ROBERTSFORS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45635</v>
      </c>
      <c r="E188" s="1" t="n">
        <v>46323</v>
      </c>
      <c r="F188" t="inlineStr">
        <is>
          <t>VÄSTERBOTTENS LÄN</t>
        </is>
      </c>
      <c r="G188" t="inlineStr">
        <is>
          <t>ROBERTSFORS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45544</v>
      </c>
      <c r="E189" s="1" t="n">
        <v>46323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SCA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45537</v>
      </c>
      <c r="E190" s="1" t="n">
        <v>46323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44973</v>
      </c>
      <c r="E191" s="1" t="n">
        <v>46323</v>
      </c>
      <c r="F191" t="inlineStr">
        <is>
          <t>VÄSTERBOTTENS LÄN</t>
        </is>
      </c>
      <c r="G191" t="inlineStr">
        <is>
          <t>ROBERTSFORS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46323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45540</v>
      </c>
      <c r="E193" s="1" t="n">
        <v>46323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45133</v>
      </c>
      <c r="E194" s="1" t="n">
        <v>46323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46323</v>
      </c>
      <c r="F195" t="inlineStr">
        <is>
          <t>VÄSTERBOTTENS LÄN</t>
        </is>
      </c>
      <c r="G195" t="inlineStr">
        <is>
          <t>ROBERTSFORS</t>
        </is>
      </c>
      <c r="I195" t="n">
        <v>12.7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44130-2025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45915</v>
      </c>
      <c r="E196" s="1" t="n">
        <v>46323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46323</v>
      </c>
      <c r="F197" t="inlineStr">
        <is>
          <t>VÄSTERBOTTENS LÄN</t>
        </is>
      </c>
      <c r="G197" t="inlineStr">
        <is>
          <t>ROBERTSFORS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46323</v>
      </c>
      <c r="F198" t="inlineStr">
        <is>
          <t>VÄSTERBOTTENS LÄN</t>
        </is>
      </c>
      <c r="G198" t="inlineStr">
        <is>
          <t>ROBERTSFORS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46323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46323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46323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46323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30722-2024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45496</v>
      </c>
      <c r="E203" s="1" t="n">
        <v>46323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46323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46323</v>
      </c>
      <c r="F205" t="inlineStr">
        <is>
          <t>VÄSTERBOTTENS LÄN</t>
        </is>
      </c>
      <c r="G205" t="inlineStr">
        <is>
          <t>ROBERTSFORS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46323</v>
      </c>
      <c r="F206" t="inlineStr">
        <is>
          <t>VÄSTERBOTTENS LÄN</t>
        </is>
      </c>
      <c r="G206" t="inlineStr">
        <is>
          <t>ROBERTSFORS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57008-2024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46323</v>
      </c>
      <c r="F207" t="inlineStr">
        <is>
          <t>VÄSTERBOTTENS LÄN</t>
        </is>
      </c>
      <c r="G207" t="inlineStr">
        <is>
          <t>ROBERTSFORS</t>
        </is>
      </c>
      <c r="I207" t="n">
        <v>12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46323</v>
      </c>
      <c r="F208" t="inlineStr">
        <is>
          <t>VÄSTERBOTTENS LÄN</t>
        </is>
      </c>
      <c r="G208" t="inlineStr">
        <is>
          <t>ROBERTSFORS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46323</v>
      </c>
      <c r="F209" t="inlineStr">
        <is>
          <t>VÄSTERBOTTENS LÄN</t>
        </is>
      </c>
      <c r="G209" t="inlineStr">
        <is>
          <t>ROBERTSFORS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45246</v>
      </c>
      <c r="E210" s="1" t="n">
        <v>46323</v>
      </c>
      <c r="F210" t="inlineStr">
        <is>
          <t>VÄSTERBOTTENS LÄN</t>
        </is>
      </c>
      <c r="G210" t="inlineStr">
        <is>
          <t>ROBERTSFORS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46323</v>
      </c>
      <c r="F211" t="inlineStr">
        <is>
          <t>VÄSTERBOTTENS LÄN</t>
        </is>
      </c>
      <c r="G211" t="inlineStr">
        <is>
          <t>ROBERTSFORS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46323</v>
      </c>
      <c r="F212" t="inlineStr">
        <is>
          <t>VÄSTERBOTTENS LÄN</t>
        </is>
      </c>
      <c r="G212" t="inlineStr">
        <is>
          <t>ROBERTSFORS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46323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46323</v>
      </c>
      <c r="F214" t="inlineStr">
        <is>
          <t>VÄSTERBOTTENS LÄN</t>
        </is>
      </c>
      <c r="G214" t="inlineStr">
        <is>
          <t>ROBERTSFORS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44895</v>
      </c>
      <c r="E215" s="1" t="n">
        <v>46323</v>
      </c>
      <c r="F215" t="inlineStr">
        <is>
          <t>VÄSTERBOTTENS LÄN</t>
        </is>
      </c>
      <c r="G215" t="inlineStr">
        <is>
          <t>ROBERTSFORS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46323</v>
      </c>
      <c r="F216" t="inlineStr">
        <is>
          <t>VÄSTERBOTTENS LÄN</t>
        </is>
      </c>
      <c r="G216" t="inlineStr">
        <is>
          <t>ROBERTSFORS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46323</v>
      </c>
      <c r="F217" t="inlineStr">
        <is>
          <t>VÄSTERBOTTENS LÄN</t>
        </is>
      </c>
      <c r="G217" t="inlineStr">
        <is>
          <t>ROBERTSFORS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46323</v>
      </c>
      <c r="F218" t="inlineStr">
        <is>
          <t>VÄSTERBOTTENS LÄN</t>
        </is>
      </c>
      <c r="G218" t="inlineStr">
        <is>
          <t>ROBERTSFORS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44913</v>
      </c>
      <c r="E219" s="1" t="n">
        <v>46323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46323</v>
      </c>
      <c r="F220" t="inlineStr">
        <is>
          <t>VÄSTERBOTTENS LÄN</t>
        </is>
      </c>
      <c r="G220" t="inlineStr">
        <is>
          <t>ROBERTSFORS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46323</v>
      </c>
      <c r="F221" t="inlineStr">
        <is>
          <t>VÄSTERBOTTENS LÄN</t>
        </is>
      </c>
      <c r="G221" t="inlineStr">
        <is>
          <t>ROBERTSFORS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45135</v>
      </c>
      <c r="E222" s="1" t="n">
        <v>46323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44876</v>
      </c>
      <c r="E223" s="1" t="n">
        <v>46323</v>
      </c>
      <c r="F223" t="inlineStr">
        <is>
          <t>VÄSTERBOTTENS LÄN</t>
        </is>
      </c>
      <c r="G223" t="inlineStr">
        <is>
          <t>ROBERTSFORS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46323</v>
      </c>
      <c r="F224" t="inlineStr">
        <is>
          <t>VÄSTERBOTTENS LÄN</t>
        </is>
      </c>
      <c r="G224" t="inlineStr">
        <is>
          <t>ROBERTSFORS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46323</v>
      </c>
      <c r="F225" t="inlineStr">
        <is>
          <t>VÄSTERBOTTENS LÄN</t>
        </is>
      </c>
      <c r="G225" t="inlineStr">
        <is>
          <t>ROBERTSFORS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46323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46323</v>
      </c>
      <c r="F227" t="inlineStr">
        <is>
          <t>VÄSTERBOTTENS LÄN</t>
        </is>
      </c>
      <c r="G227" t="inlineStr">
        <is>
          <t>ROBERTSFORS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46323</v>
      </c>
      <c r="F228" t="inlineStr">
        <is>
          <t>VÄSTERBOTTENS LÄN</t>
        </is>
      </c>
      <c r="G228" t="inlineStr">
        <is>
          <t>ROBERTSFORS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58426-2022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44901</v>
      </c>
      <c r="E229" s="1" t="n">
        <v>46323</v>
      </c>
      <c r="F229" t="inlineStr">
        <is>
          <t>VÄSTERBOTTENS LÄN</t>
        </is>
      </c>
      <c r="G229" t="inlineStr">
        <is>
          <t>ROBERTSFORS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46323</v>
      </c>
      <c r="F230" t="inlineStr">
        <is>
          <t>VÄSTERBOTTENS LÄN</t>
        </is>
      </c>
      <c r="G230" t="inlineStr">
        <is>
          <t>ROBERTSFORS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9135-2024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45357</v>
      </c>
      <c r="E231" s="1" t="n">
        <v>46323</v>
      </c>
      <c r="F231" t="inlineStr">
        <is>
          <t>VÄSTERBOTTENS LÄN</t>
        </is>
      </c>
      <c r="G231" t="inlineStr">
        <is>
          <t>ROBERTSFORS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44571</v>
      </c>
      <c r="E232" s="1" t="n">
        <v>46323</v>
      </c>
      <c r="F232" t="inlineStr">
        <is>
          <t>VÄSTERBOTTENS LÄN</t>
        </is>
      </c>
      <c r="G232" t="inlineStr">
        <is>
          <t>ROBERTSFORS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47420-2024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45587</v>
      </c>
      <c r="E233" s="1" t="n">
        <v>46323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SCA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54366-2024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45617</v>
      </c>
      <c r="E234" s="1" t="n">
        <v>46323</v>
      </c>
      <c r="F234" t="inlineStr">
        <is>
          <t>VÄSTERBOTTENS LÄN</t>
        </is>
      </c>
      <c r="G234" t="inlineStr">
        <is>
          <t>ROBERTSFORS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46323</v>
      </c>
      <c r="F235" t="inlineStr">
        <is>
          <t>VÄSTERBOTTENS LÄN</t>
        </is>
      </c>
      <c r="G235" t="inlineStr">
        <is>
          <t>ROBERTSFORS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46323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15294-2023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45019</v>
      </c>
      <c r="E237" s="1" t="n">
        <v>46323</v>
      </c>
      <c r="F237" t="inlineStr">
        <is>
          <t>VÄSTERBOTTENS LÄN</t>
        </is>
      </c>
      <c r="G237" t="inlineStr">
        <is>
          <t>ROBERTSFORS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46323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SCA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46323</v>
      </c>
      <c r="F239" t="inlineStr">
        <is>
          <t>VÄSTERBOTTENS LÄN</t>
        </is>
      </c>
      <c r="G239" t="inlineStr">
        <is>
          <t>ROBERTSFORS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46323</v>
      </c>
      <c r="F240" t="inlineStr">
        <is>
          <t>VÄSTERBOTTENS LÄN</t>
        </is>
      </c>
      <c r="G240" t="inlineStr">
        <is>
          <t>ROBERTSFORS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46323</v>
      </c>
      <c r="F241" t="inlineStr">
        <is>
          <t>VÄSTERBOTTENS LÄN</t>
        </is>
      </c>
      <c r="G241" t="inlineStr">
        <is>
          <t>ROBERTSFORS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45958</v>
      </c>
      <c r="E242" s="1" t="n">
        <v>46323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45020</v>
      </c>
      <c r="E243" s="1" t="n">
        <v>46323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46323</v>
      </c>
      <c r="F244" t="inlineStr">
        <is>
          <t>VÄSTERBOTTENS LÄN</t>
        </is>
      </c>
      <c r="G244" t="inlineStr">
        <is>
          <t>ROBERTSFORS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46323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45030</v>
      </c>
      <c r="E246" s="1" t="n">
        <v>46323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45959</v>
      </c>
      <c r="E247" s="1" t="n">
        <v>46323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45480</v>
      </c>
      <c r="E248" s="1" t="n">
        <v>46323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46323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46323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64625-2023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46323</v>
      </c>
      <c r="F251" t="inlineStr">
        <is>
          <t>VÄSTERBOTTENS LÄN</t>
        </is>
      </c>
      <c r="G251" t="inlineStr">
        <is>
          <t>ROBERTSFORS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45468</v>
      </c>
      <c r="E252" s="1" t="n">
        <v>46323</v>
      </c>
      <c r="F252" t="inlineStr">
        <is>
          <t>VÄSTERBOTTENS LÄN</t>
        </is>
      </c>
      <c r="G252" t="inlineStr">
        <is>
          <t>ROBERTSFORS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45475</v>
      </c>
      <c r="E253" s="1" t="n">
        <v>46323</v>
      </c>
      <c r="F253" t="inlineStr">
        <is>
          <t>VÄSTERBOTTENS LÄN</t>
        </is>
      </c>
      <c r="G253" t="inlineStr">
        <is>
          <t>ROBERTSFORS</t>
        </is>
      </c>
      <c r="I253" t="n">
        <v>10.5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46323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46323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46323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SCA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46323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46323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45496</v>
      </c>
      <c r="E259" s="1" t="n">
        <v>46323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46323</v>
      </c>
      <c r="F260" t="inlineStr">
        <is>
          <t>VÄSTERBOTTENS LÄN</t>
        </is>
      </c>
      <c r="G260" t="inlineStr">
        <is>
          <t>ROBERTSFORS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45149</v>
      </c>
      <c r="E261" s="1" t="n">
        <v>46323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46323</v>
      </c>
      <c r="F262" t="inlineStr">
        <is>
          <t>VÄSTERBOTTENS LÄN</t>
        </is>
      </c>
      <c r="G262" t="inlineStr">
        <is>
          <t>ROBERTSFORS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46323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46323</v>
      </c>
      <c r="F264" t="inlineStr">
        <is>
          <t>VÄSTERBOTTENS LÄN</t>
        </is>
      </c>
      <c r="G264" t="inlineStr">
        <is>
          <t>ROBERTSFORS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46323</v>
      </c>
      <c r="F265" t="inlineStr">
        <is>
          <t>VÄSTERBOTTENS LÄN</t>
        </is>
      </c>
      <c r="G265" t="inlineStr">
        <is>
          <t>ROBERTSFORS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45458</v>
      </c>
      <c r="E266" s="1" t="n">
        <v>46323</v>
      </c>
      <c r="F266" t="inlineStr">
        <is>
          <t>VÄSTERBOTTENS LÄN</t>
        </is>
      </c>
      <c r="G266" t="inlineStr">
        <is>
          <t>ROBERTSFORS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46323</v>
      </c>
      <c r="F267" t="inlineStr">
        <is>
          <t>VÄSTERBOTTENS LÄN</t>
        </is>
      </c>
      <c r="G267" t="inlineStr">
        <is>
          <t>ROBERTSFORS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45627</v>
      </c>
      <c r="E268" s="1" t="n">
        <v>46323</v>
      </c>
      <c r="F268" t="inlineStr">
        <is>
          <t>VÄSTERBOTTENS LÄN</t>
        </is>
      </c>
      <c r="G268" t="inlineStr">
        <is>
          <t>ROBERTSFORS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73557-2021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46323</v>
      </c>
      <c r="F269" t="inlineStr">
        <is>
          <t>VÄSTERBOTTENS LÄN</t>
        </is>
      </c>
      <c r="G269" t="inlineStr">
        <is>
          <t>ROBERTSFORS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46323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45679</v>
      </c>
      <c r="E271" s="1" t="n">
        <v>46323</v>
      </c>
      <c r="F271" t="inlineStr">
        <is>
          <t>VÄSTERBOTTENS LÄN</t>
        </is>
      </c>
      <c r="G271" t="inlineStr">
        <is>
          <t>ROBERTSFORS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46323</v>
      </c>
      <c r="F272" t="inlineStr">
        <is>
          <t>VÄSTERBOTTENS LÄN</t>
        </is>
      </c>
      <c r="G272" t="inlineStr">
        <is>
          <t>ROBERTSFORS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45548</v>
      </c>
      <c r="E273" s="1" t="n">
        <v>46323</v>
      </c>
      <c r="F273" t="inlineStr">
        <is>
          <t>VÄSTERBOTTENS LÄN</t>
        </is>
      </c>
      <c r="G273" t="inlineStr">
        <is>
          <t>ROBERTSFORS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46323</v>
      </c>
      <c r="F274" t="inlineStr">
        <is>
          <t>VÄSTERBOTTENS LÄN</t>
        </is>
      </c>
      <c r="G274" t="inlineStr">
        <is>
          <t>ROBERTSFORS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45302</v>
      </c>
      <c r="E275" s="1" t="n">
        <v>46323</v>
      </c>
      <c r="F275" t="inlineStr">
        <is>
          <t>VÄSTERBOTTENS LÄN</t>
        </is>
      </c>
      <c r="G275" t="inlineStr">
        <is>
          <t>ROBERTSFORS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46323</v>
      </c>
      <c r="F276" t="inlineStr">
        <is>
          <t>VÄSTERBOTTENS LÄN</t>
        </is>
      </c>
      <c r="G276" t="inlineStr">
        <is>
          <t>ROBERTSFORS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44732</v>
      </c>
      <c r="E277" s="1" t="n">
        <v>46323</v>
      </c>
      <c r="F277" t="inlineStr">
        <is>
          <t>VÄSTERBOTTENS LÄN</t>
        </is>
      </c>
      <c r="G277" t="inlineStr">
        <is>
          <t>ROBERTSFORS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46323</v>
      </c>
      <c r="F278" t="inlineStr">
        <is>
          <t>VÄSTERBOTTENS LÄN</t>
        </is>
      </c>
      <c r="G278" t="inlineStr">
        <is>
          <t>ROBERTSFORS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46323</v>
      </c>
      <c r="F279" t="inlineStr">
        <is>
          <t>VÄSTERBOTTENS LÄN</t>
        </is>
      </c>
      <c r="G279" t="inlineStr">
        <is>
          <t>ROBERTSFORS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46323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46323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46323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46323</v>
      </c>
      <c r="F283" t="inlineStr">
        <is>
          <t>VÄSTERBOTTENS LÄN</t>
        </is>
      </c>
      <c r="G283" t="inlineStr">
        <is>
          <t>ROBERTSFORS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46323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45335</v>
      </c>
      <c r="E285" s="1" t="n">
        <v>46323</v>
      </c>
      <c r="F285" t="inlineStr">
        <is>
          <t>VÄSTERBOTTENS LÄN</t>
        </is>
      </c>
      <c r="G285" t="inlineStr">
        <is>
          <t>ROBERTSFORS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25572-2023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45082</v>
      </c>
      <c r="E286" s="1" t="n">
        <v>46323</v>
      </c>
      <c r="F286" t="inlineStr">
        <is>
          <t>VÄSTERBOTTENS LÄN</t>
        </is>
      </c>
      <c r="G286" t="inlineStr">
        <is>
          <t>ROBERTSFORS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45712</v>
      </c>
      <c r="E287" s="1" t="n">
        <v>46323</v>
      </c>
      <c r="F287" t="inlineStr">
        <is>
          <t>VÄSTERBOTTENS LÄN</t>
        </is>
      </c>
      <c r="G287" t="inlineStr">
        <is>
          <t>ROBERTSFORS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32434-2024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45512</v>
      </c>
      <c r="E288" s="1" t="n">
        <v>46323</v>
      </c>
      <c r="F288" t="inlineStr">
        <is>
          <t>VÄSTERBOTTENS LÄN</t>
        </is>
      </c>
      <c r="G288" t="inlineStr">
        <is>
          <t>ROBERTSFORS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46323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46323</v>
      </c>
      <c r="F290" t="inlineStr">
        <is>
          <t>VÄSTERBOTTENS LÄN</t>
        </is>
      </c>
      <c r="G290" t="inlineStr">
        <is>
          <t>ROBERTSFORS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45996</v>
      </c>
      <c r="E291" s="1" t="n">
        <v>46323</v>
      </c>
      <c r="F291" t="inlineStr">
        <is>
          <t>VÄSTERBOTTENS LÄN</t>
        </is>
      </c>
      <c r="G291" t="inlineStr">
        <is>
          <t>ROBERTSFORS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46323</v>
      </c>
      <c r="F292" t="inlineStr">
        <is>
          <t>VÄSTERBOTTENS LÄN</t>
        </is>
      </c>
      <c r="G292" t="inlineStr">
        <is>
          <t>ROBERTSFORS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46323</v>
      </c>
      <c r="F293" t="inlineStr">
        <is>
          <t>VÄSTERBOTTENS LÄN</t>
        </is>
      </c>
      <c r="G293" t="inlineStr">
        <is>
          <t>ROBERTSFORS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46323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46323</v>
      </c>
      <c r="F295" t="inlineStr">
        <is>
          <t>VÄSTERBOTTENS LÄN</t>
        </is>
      </c>
      <c r="G295" t="inlineStr">
        <is>
          <t>ROBERTSFORS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45191</v>
      </c>
      <c r="E296" s="1" t="n">
        <v>46323</v>
      </c>
      <c r="F296" t="inlineStr">
        <is>
          <t>VÄSTERBOTTENS LÄN</t>
        </is>
      </c>
      <c r="G296" t="inlineStr">
        <is>
          <t>ROBERTSFORS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44580</v>
      </c>
      <c r="E297" s="1" t="n">
        <v>46323</v>
      </c>
      <c r="F297" t="inlineStr">
        <is>
          <t>VÄSTERBOTTENS LÄN</t>
        </is>
      </c>
      <c r="G297" t="inlineStr">
        <is>
          <t>ROBERTSFORS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46323</v>
      </c>
      <c r="F298" t="inlineStr">
        <is>
          <t>VÄSTERBOTTENS LÄN</t>
        </is>
      </c>
      <c r="G298" t="inlineStr">
        <is>
          <t>ROBERTSFORS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30643-2024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45495</v>
      </c>
      <c r="E299" s="1" t="n">
        <v>46323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46323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46323</v>
      </c>
      <c r="F301" t="inlineStr">
        <is>
          <t>VÄSTERBOTTENS LÄN</t>
        </is>
      </c>
      <c r="G301" t="inlineStr">
        <is>
          <t>ROBERTSFORS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44683</v>
      </c>
      <c r="E302" s="1" t="n">
        <v>46323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46323</v>
      </c>
      <c r="F303" t="inlineStr">
        <is>
          <t>VÄSTERBOTTENS LÄN</t>
        </is>
      </c>
      <c r="G303" t="inlineStr">
        <is>
          <t>ROBERTSFORS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46203</v>
      </c>
      <c r="E304" s="1" t="n">
        <v>46323</v>
      </c>
      <c r="F304" t="inlineStr">
        <is>
          <t>VÄSTERBOTTENS LÄN</t>
        </is>
      </c>
      <c r="G304" t="inlineStr">
        <is>
          <t>ROBERTSFORS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46323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SCA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29958-2026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46323</v>
      </c>
      <c r="F306" t="inlineStr">
        <is>
          <t>VÄSTERBOTTENS LÄN</t>
        </is>
      </c>
      <c r="G306" t="inlineStr">
        <is>
          <t>ROBERTSFORS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46323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46323</v>
      </c>
      <c r="F308" t="inlineStr">
        <is>
          <t>VÄSTERBOTTENS LÄN</t>
        </is>
      </c>
      <c r="G308" t="inlineStr">
        <is>
          <t>ROBERTSFORS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46323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44372-2023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46323</v>
      </c>
      <c r="F310" t="inlineStr">
        <is>
          <t>VÄSTERBOTTENS LÄN</t>
        </is>
      </c>
      <c r="G310" t="inlineStr">
        <is>
          <t>ROBERTSFORS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46323</v>
      </c>
      <c r="F311" t="inlineStr">
        <is>
          <t>VÄSTERBOTTENS LÄN</t>
        </is>
      </c>
      <c r="G311" t="inlineStr">
        <is>
          <t>ROBERTSFORS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45687</v>
      </c>
      <c r="E312" s="1" t="n">
        <v>46323</v>
      </c>
      <c r="F312" t="inlineStr">
        <is>
          <t>VÄSTERBOTTENS LÄN</t>
        </is>
      </c>
      <c r="G312" t="inlineStr">
        <is>
          <t>ROBERTSFORS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46323</v>
      </c>
      <c r="F313" t="inlineStr">
        <is>
          <t>VÄSTERBOTTENS LÄN</t>
        </is>
      </c>
      <c r="G313" t="inlineStr">
        <is>
          <t>ROBERTSFORS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46323</v>
      </c>
      <c r="F314" t="inlineStr">
        <is>
          <t>VÄSTERBOTTENS LÄN</t>
        </is>
      </c>
      <c r="G314" t="inlineStr">
        <is>
          <t>ROBERTSFORS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46323</v>
      </c>
      <c r="F315" t="inlineStr">
        <is>
          <t>VÄSTERBOTTENS LÄN</t>
        </is>
      </c>
      <c r="G315" t="inlineStr">
        <is>
          <t>ROBERTSFORS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44588</v>
      </c>
      <c r="E316" s="1" t="n">
        <v>46323</v>
      </c>
      <c r="F316" t="inlineStr">
        <is>
          <t>VÄSTERBOTTENS LÄN</t>
        </is>
      </c>
      <c r="G316" t="inlineStr">
        <is>
          <t>ROBERTSFORS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10173-2022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44622</v>
      </c>
      <c r="E317" s="1" t="n">
        <v>46323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45653</v>
      </c>
      <c r="E318" s="1" t="n">
        <v>46323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46323</v>
      </c>
      <c r="F319" t="inlineStr">
        <is>
          <t>VÄSTERBOTTENS LÄN</t>
        </is>
      </c>
      <c r="G319" t="inlineStr">
        <is>
          <t>ROBERTSFORS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45794</v>
      </c>
      <c r="E320" s="1" t="n">
        <v>46323</v>
      </c>
      <c r="F320" t="inlineStr">
        <is>
          <t>VÄSTERBOTTENS LÄN</t>
        </is>
      </c>
      <c r="G320" t="inlineStr">
        <is>
          <t>ROBERTSFORS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44699</v>
      </c>
      <c r="E321" s="1" t="n">
        <v>46323</v>
      </c>
      <c r="F321" t="inlineStr">
        <is>
          <t>VÄSTERBOTTENS LÄN</t>
        </is>
      </c>
      <c r="G321" t="inlineStr">
        <is>
          <t>ROBERTSFORS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46323</v>
      </c>
      <c r="F322" t="inlineStr">
        <is>
          <t>VÄSTERBOTTENS LÄN</t>
        </is>
      </c>
      <c r="G322" t="inlineStr">
        <is>
          <t>ROBERTSFORS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45659</v>
      </c>
      <c r="E323" s="1" t="n">
        <v>46323</v>
      </c>
      <c r="F323" t="inlineStr">
        <is>
          <t>VÄSTERBOTTENS LÄN</t>
        </is>
      </c>
      <c r="G323" t="inlineStr">
        <is>
          <t>ROBERTSFORS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46323</v>
      </c>
      <c r="F324" t="inlineStr">
        <is>
          <t>VÄSTERBOTTENS LÄN</t>
        </is>
      </c>
      <c r="G324" t="inlineStr">
        <is>
          <t>ROBERTSFORS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46323</v>
      </c>
      <c r="F325" t="inlineStr">
        <is>
          <t>VÄSTERBOTTENS LÄN</t>
        </is>
      </c>
      <c r="G325" t="inlineStr">
        <is>
          <t>ROBERTSFORS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46323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53564-2024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46323</v>
      </c>
      <c r="F327" t="inlineStr">
        <is>
          <t>VÄSTERBOTTENS LÄN</t>
        </is>
      </c>
      <c r="G327" t="inlineStr">
        <is>
          <t>ROBERTSFORS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46323</v>
      </c>
      <c r="F328" t="inlineStr">
        <is>
          <t>VÄSTERBOTTENS LÄN</t>
        </is>
      </c>
      <c r="G328" t="inlineStr">
        <is>
          <t>ROBERTSFORS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44838</v>
      </c>
      <c r="E329" s="1" t="n">
        <v>46323</v>
      </c>
      <c r="F329" t="inlineStr">
        <is>
          <t>VÄSTERBOTTENS LÄN</t>
        </is>
      </c>
      <c r="G329" t="inlineStr">
        <is>
          <t>ROBERTSFORS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45446</v>
      </c>
      <c r="E330" s="1" t="n">
        <v>46323</v>
      </c>
      <c r="F330" t="inlineStr">
        <is>
          <t>VÄSTERBOTTENS LÄN</t>
        </is>
      </c>
      <c r="G330" t="inlineStr">
        <is>
          <t>ROBERTSFORS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46323</v>
      </c>
      <c r="F331" t="inlineStr">
        <is>
          <t>VÄSTERBOTTENS LÄN</t>
        </is>
      </c>
      <c r="G331" t="inlineStr">
        <is>
          <t>ROBERTSFORS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46323</v>
      </c>
      <c r="F332" t="inlineStr">
        <is>
          <t>VÄSTERBOTTENS LÄN</t>
        </is>
      </c>
      <c r="G332" t="inlineStr">
        <is>
          <t>ROBERTSFORS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46225</v>
      </c>
      <c r="E333" s="1" t="n">
        <v>46323</v>
      </c>
      <c r="F333" t="inlineStr">
        <is>
          <t>VÄSTERBOTTENS LÄN</t>
        </is>
      </c>
      <c r="G333" t="inlineStr">
        <is>
          <t>ROBERTSFORS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46225</v>
      </c>
      <c r="E334" s="1" t="n">
        <v>46323</v>
      </c>
      <c r="F334" t="inlineStr">
        <is>
          <t>VÄSTERBOTTENS LÄN</t>
        </is>
      </c>
      <c r="G334" t="inlineStr">
        <is>
          <t>ROBERTSFORS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46225</v>
      </c>
      <c r="E335" s="1" t="n">
        <v>46323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45761</v>
      </c>
      <c r="E336" s="1" t="n">
        <v>46323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46323</v>
      </c>
      <c r="F337" t="inlineStr">
        <is>
          <t>VÄSTERBOTTENS LÄN</t>
        </is>
      </c>
      <c r="G337" t="inlineStr">
        <is>
          <t>ROBERTSFORS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45800</v>
      </c>
      <c r="E338" s="1" t="n">
        <v>46323</v>
      </c>
      <c r="F338" t="inlineStr">
        <is>
          <t>VÄSTERBOTTENS LÄN</t>
        </is>
      </c>
      <c r="G338" t="inlineStr">
        <is>
          <t>ROBERTSFORS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46323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46323</v>
      </c>
      <c r="F340" t="inlineStr">
        <is>
          <t>VÄSTERBOTTENS LÄN</t>
        </is>
      </c>
      <c r="G340" t="inlineStr">
        <is>
          <t>ROBERTSFORS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46323</v>
      </c>
      <c r="F341" t="inlineStr">
        <is>
          <t>VÄSTERBOTTENS LÄN</t>
        </is>
      </c>
      <c r="G341" t="inlineStr">
        <is>
          <t>ROBERTSFORS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46230</v>
      </c>
      <c r="E342" s="1" t="n">
        <v>46323</v>
      </c>
      <c r="F342" t="inlineStr">
        <is>
          <t>VÄSTERBOTTENS LÄN</t>
        </is>
      </c>
      <c r="G342" t="inlineStr">
        <is>
          <t>ROBERTSFORS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46323</v>
      </c>
      <c r="F343" t="inlineStr">
        <is>
          <t>VÄSTERBOTTENS LÄN</t>
        </is>
      </c>
      <c r="G343" t="inlineStr">
        <is>
          <t>ROBERTSFORS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46323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46065</v>
      </c>
      <c r="E345" s="1" t="n">
        <v>46323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46239</v>
      </c>
      <c r="E346" s="1" t="n">
        <v>46323</v>
      </c>
      <c r="F346" t="inlineStr">
        <is>
          <t>VÄSTERBOTTENS LÄN</t>
        </is>
      </c>
      <c r="G346" t="inlineStr">
        <is>
          <t>ROBERTSFORS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45800</v>
      </c>
      <c r="E347" s="1" t="n">
        <v>46323</v>
      </c>
      <c r="F347" t="inlineStr">
        <is>
          <t>VÄSTERBOTTENS LÄN</t>
        </is>
      </c>
      <c r="G347" t="inlineStr">
        <is>
          <t>ROBERTSFORS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38474-2026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46323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46240</v>
      </c>
      <c r="E349" s="1" t="n">
        <v>46323</v>
      </c>
      <c r="F349" t="inlineStr">
        <is>
          <t>VÄSTERBOTTENS LÄN</t>
        </is>
      </c>
      <c r="G349" t="inlineStr">
        <is>
          <t>ROBERTSFORS</t>
        </is>
      </c>
      <c r="I349" t="n">
        <v>11.3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46323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46239</v>
      </c>
      <c r="E351" s="1" t="n">
        <v>46323</v>
      </c>
      <c r="F351" t="inlineStr">
        <is>
          <t>VÄSTERBOTTENS LÄN</t>
        </is>
      </c>
      <c r="G351" t="inlineStr">
        <is>
          <t>ROBERTSFORS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46323</v>
      </c>
      <c r="F352" t="inlineStr">
        <is>
          <t>VÄSTERBOTTENS LÄN</t>
        </is>
      </c>
      <c r="G352" t="inlineStr">
        <is>
          <t>ROBERTSFORS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46240</v>
      </c>
      <c r="E353" s="1" t="n">
        <v>46323</v>
      </c>
      <c r="F353" t="inlineStr">
        <is>
          <t>VÄSTERBOTTENS LÄN</t>
        </is>
      </c>
      <c r="G353" t="inlineStr">
        <is>
          <t>ROBERTSFORS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46240</v>
      </c>
      <c r="E354" s="1" t="n">
        <v>46323</v>
      </c>
      <c r="F354" t="inlineStr">
        <is>
          <t>VÄSTERBOTTENS LÄN</t>
        </is>
      </c>
      <c r="G354" t="inlineStr">
        <is>
          <t>ROBERTSFORS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46239</v>
      </c>
      <c r="E355" s="1" t="n">
        <v>46323</v>
      </c>
      <c r="F355" t="inlineStr">
        <is>
          <t>VÄSTERBOTTENS LÄN</t>
        </is>
      </c>
      <c r="G355" t="inlineStr">
        <is>
          <t>ROBERTSFORS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46283</v>
      </c>
      <c r="E356" s="1" t="n">
        <v>46323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45708</v>
      </c>
      <c r="E357" s="1" t="n">
        <v>46323</v>
      </c>
      <c r="F357" t="inlineStr">
        <is>
          <t>VÄSTERBOTTENS LÄN</t>
        </is>
      </c>
      <c r="G357" t="inlineStr">
        <is>
          <t>ROBERTSFORS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46240</v>
      </c>
      <c r="E358" s="1" t="n">
        <v>46323</v>
      </c>
      <c r="F358" t="inlineStr">
        <is>
          <t>VÄSTERBOTTENS LÄN</t>
        </is>
      </c>
      <c r="G358" t="inlineStr">
        <is>
          <t>ROBERTSFORS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45756</v>
      </c>
      <c r="E359" s="1" t="n">
        <v>46323</v>
      </c>
      <c r="F359" t="inlineStr">
        <is>
          <t>VÄSTERBOTTENS LÄN</t>
        </is>
      </c>
      <c r="G359" t="inlineStr">
        <is>
          <t>ROBERTSFORS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46185</v>
      </c>
      <c r="E360" s="1" t="n">
        <v>46323</v>
      </c>
      <c r="F360" t="inlineStr">
        <is>
          <t>VÄSTERBOTTENS LÄN</t>
        </is>
      </c>
      <c r="G360" t="inlineStr">
        <is>
          <t>ROBERTSFORS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32581-2022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44783</v>
      </c>
      <c r="E361" s="1" t="n">
        <v>46323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46323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32646-2026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46240</v>
      </c>
      <c r="E363" s="1" t="n">
        <v>46323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46323</v>
      </c>
      <c r="F364" t="inlineStr">
        <is>
          <t>VÄSTERBOTTENS LÄN</t>
        </is>
      </c>
      <c r="G364" t="inlineStr">
        <is>
          <t>ROBERTSFORS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46286</v>
      </c>
      <c r="E365" s="1" t="n">
        <v>46323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46323</v>
      </c>
      <c r="F366" t="inlineStr">
        <is>
          <t>VÄSTERBOTTENS LÄN</t>
        </is>
      </c>
      <c r="G366" t="inlineStr">
        <is>
          <t>ROBERTSFORS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46286</v>
      </c>
      <c r="E367" s="1" t="n">
        <v>46323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46323</v>
      </c>
      <c r="F368" t="inlineStr">
        <is>
          <t>VÄSTERBOTTENS LÄN</t>
        </is>
      </c>
      <c r="G368" t="inlineStr">
        <is>
          <t>ROBERTSFORS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46288</v>
      </c>
      <c r="E369" s="1" t="n">
        <v>46323</v>
      </c>
      <c r="F369" t="inlineStr">
        <is>
          <t>VÄSTERBOTTENS LÄN</t>
        </is>
      </c>
      <c r="G369" t="inlineStr">
        <is>
          <t>ROBERTSFORS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46323</v>
      </c>
      <c r="F370" t="inlineStr">
        <is>
          <t>VÄSTERBOTTENS LÄN</t>
        </is>
      </c>
      <c r="G370" t="inlineStr">
        <is>
          <t>ROBERTSFORS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46323</v>
      </c>
      <c r="F371" t="inlineStr">
        <is>
          <t>VÄSTERBOTTENS LÄN</t>
        </is>
      </c>
      <c r="G371" t="inlineStr">
        <is>
          <t>ROBERTSFORS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32912-2026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46244</v>
      </c>
      <c r="E372" s="1" t="n">
        <v>46323</v>
      </c>
      <c r="F372" t="inlineStr">
        <is>
          <t>VÄSTERBOTTENS LÄN</t>
        </is>
      </c>
      <c r="G372" t="inlineStr">
        <is>
          <t>ROBERTSFORS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46323</v>
      </c>
      <c r="F373" t="inlineStr">
        <is>
          <t>VÄSTERBOTTENS LÄN</t>
        </is>
      </c>
      <c r="G373" t="inlineStr">
        <is>
          <t>ROBERTSFORS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45803</v>
      </c>
      <c r="E374" s="1" t="n">
        <v>46323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39256-2026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46288</v>
      </c>
      <c r="E375" s="1" t="n">
        <v>46323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45013</v>
      </c>
      <c r="E376" s="1" t="n">
        <v>46323</v>
      </c>
      <c r="F376" t="inlineStr">
        <is>
          <t>VÄSTERBOTTENS LÄN</t>
        </is>
      </c>
      <c r="G376" t="inlineStr">
        <is>
          <t>ROBERTSFORS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46323</v>
      </c>
      <c r="F377" t="inlineStr">
        <is>
          <t>VÄSTERBOTTENS LÄN</t>
        </is>
      </c>
      <c r="G377" t="inlineStr">
        <is>
          <t>ROBERTSFORS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46323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46323</v>
      </c>
      <c r="F379" t="inlineStr">
        <is>
          <t>VÄSTERBOTTENS LÄN</t>
        </is>
      </c>
      <c r="G379" t="inlineStr">
        <is>
          <t>ROBERTSFORS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45537</v>
      </c>
      <c r="E380" s="1" t="n">
        <v>46323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46323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44938</v>
      </c>
      <c r="E382" s="1" t="n">
        <v>46323</v>
      </c>
      <c r="F382" t="inlineStr">
        <is>
          <t>VÄSTERBOTTENS LÄN</t>
        </is>
      </c>
      <c r="G382" t="inlineStr">
        <is>
          <t>ROBERTSFORS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46240</v>
      </c>
      <c r="E383" s="1" t="n">
        <v>46323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61553-2023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45261</v>
      </c>
      <c r="E384" s="1" t="n">
        <v>46323</v>
      </c>
      <c r="F384" t="inlineStr">
        <is>
          <t>VÄSTERBOTTENS LÄN</t>
        </is>
      </c>
      <c r="G384" t="inlineStr">
        <is>
          <t>ROBERTSFORS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46289</v>
      </c>
      <c r="E385" s="1" t="n">
        <v>46323</v>
      </c>
      <c r="F385" t="inlineStr">
        <is>
          <t>VÄSTERBOTTENS LÄN</t>
        </is>
      </c>
      <c r="G385" t="inlineStr">
        <is>
          <t>ROBERTSFORS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46323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46323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46323</v>
      </c>
      <c r="F388" t="inlineStr">
        <is>
          <t>VÄSTERBOTTENS LÄN</t>
        </is>
      </c>
      <c r="G388" t="inlineStr">
        <is>
          <t>ROBERTSFORS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46289</v>
      </c>
      <c r="E389" s="1" t="n">
        <v>46323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46323</v>
      </c>
      <c r="F390" t="inlineStr">
        <is>
          <t>VÄSTERBOTTENS LÄN</t>
        </is>
      </c>
      <c r="G390" t="inlineStr">
        <is>
          <t>ROBERTSFORS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46323</v>
      </c>
      <c r="F391" t="inlineStr">
        <is>
          <t>VÄSTERBOTTENS LÄN</t>
        </is>
      </c>
      <c r="G391" t="inlineStr">
        <is>
          <t>ROBERTSFORS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46291</v>
      </c>
      <c r="E392" s="1" t="n">
        <v>46323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46323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46323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46323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45510</v>
      </c>
      <c r="E396" s="1" t="n">
        <v>46323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46323</v>
      </c>
      <c r="F397" t="inlineStr">
        <is>
          <t>VÄSTERBOTTENS LÄN</t>
        </is>
      </c>
      <c r="G397" t="inlineStr">
        <is>
          <t>ROBERTSFORS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46291</v>
      </c>
      <c r="E398" s="1" t="n">
        <v>46323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46323</v>
      </c>
      <c r="F399" t="inlineStr">
        <is>
          <t>VÄSTERBOTTENS LÄN</t>
        </is>
      </c>
      <c r="G399" t="inlineStr">
        <is>
          <t>ROBERTSFORS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9305-2023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44980</v>
      </c>
      <c r="E400" s="1" t="n">
        <v>46323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46323</v>
      </c>
      <c r="F401" t="inlineStr">
        <is>
          <t>VÄSTERBOTTENS LÄN</t>
        </is>
      </c>
      <c r="G401" t="inlineStr">
        <is>
          <t>ROBERTSFORS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45548</v>
      </c>
      <c r="E402" s="1" t="n">
        <v>46323</v>
      </c>
      <c r="F402" t="inlineStr">
        <is>
          <t>VÄSTERBOTTENS LÄN</t>
        </is>
      </c>
      <c r="G402" t="inlineStr">
        <is>
          <t>ROBERTSFORS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65772-2021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44516</v>
      </c>
      <c r="E403" s="1" t="n">
        <v>46323</v>
      </c>
      <c r="F403" t="inlineStr">
        <is>
          <t>VÄSTERBOTTENS LÄN</t>
        </is>
      </c>
      <c r="G403" t="inlineStr">
        <is>
          <t>ROBERTSFORS</t>
        </is>
      </c>
      <c r="I403" t="n">
        <v>18.2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45033</v>
      </c>
      <c r="E404" s="1" t="n">
        <v>46323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45048</v>
      </c>
      <c r="E405" s="1" t="n">
        <v>46323</v>
      </c>
      <c r="F405" t="inlineStr">
        <is>
          <t>VÄSTERBOTTENS LÄN</t>
        </is>
      </c>
      <c r="G405" t="inlineStr">
        <is>
          <t>ROBERTSFORS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44936</v>
      </c>
      <c r="E406" s="1" t="n">
        <v>46323</v>
      </c>
      <c r="F406" t="inlineStr">
        <is>
          <t>VÄSTERBOTTENS LÄN</t>
        </is>
      </c>
      <c r="G406" t="inlineStr">
        <is>
          <t>ROBERTSFORS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46323</v>
      </c>
      <c r="F407" t="inlineStr">
        <is>
          <t>VÄSTERBOTTENS LÄN</t>
        </is>
      </c>
      <c r="G407" t="inlineStr">
        <is>
          <t>ROBERTSFORS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45432</v>
      </c>
      <c r="E408" s="1" t="n">
        <v>46323</v>
      </c>
      <c r="F408" t="inlineStr">
        <is>
          <t>VÄSTERBOTTENS LÄN</t>
        </is>
      </c>
      <c r="G408" t="inlineStr">
        <is>
          <t>ROBERTSFORS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38092-2022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44811</v>
      </c>
      <c r="E409" s="1" t="n">
        <v>46323</v>
      </c>
      <c r="F409" t="inlineStr">
        <is>
          <t>VÄSTERBOTTENS LÄN</t>
        </is>
      </c>
      <c r="G409" t="inlineStr">
        <is>
          <t>ROBERTSFORS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46323</v>
      </c>
      <c r="F410" t="inlineStr">
        <is>
          <t>VÄSTERBOTTENS LÄN</t>
        </is>
      </c>
      <c r="G410" t="inlineStr">
        <is>
          <t>ROBERTSFORS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46323</v>
      </c>
      <c r="F411" t="inlineStr">
        <is>
          <t>VÄSTERBOTTENS LÄN</t>
        </is>
      </c>
      <c r="G411" t="inlineStr">
        <is>
          <t>ROBERTSFORS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46323</v>
      </c>
      <c r="F412" t="inlineStr">
        <is>
          <t>VÄSTERBOTTENS LÄN</t>
        </is>
      </c>
      <c r="G412" t="inlineStr">
        <is>
          <t>ROBERTSFORS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45687</v>
      </c>
      <c r="E413" s="1" t="n">
        <v>46323</v>
      </c>
      <c r="F413" t="inlineStr">
        <is>
          <t>VÄSTERBOTTENS LÄN</t>
        </is>
      </c>
      <c r="G413" t="inlineStr">
        <is>
          <t>ROBERTSFORS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46323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46323</v>
      </c>
      <c r="F415" t="inlineStr">
        <is>
          <t>VÄSTERBOTTENS LÄN</t>
        </is>
      </c>
      <c r="G415" t="inlineStr">
        <is>
          <t>ROBERTSFORS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41027-2026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46297</v>
      </c>
      <c r="E416" s="1" t="n">
        <v>46323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40974-2026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46297</v>
      </c>
      <c r="E417" s="1" t="n">
        <v>46323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13.2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46297</v>
      </c>
      <c r="E418" s="1" t="n">
        <v>46323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46323</v>
      </c>
      <c r="F419" t="inlineStr">
        <is>
          <t>VÄSTERBOTTENS LÄN</t>
        </is>
      </c>
      <c r="G419" t="inlineStr">
        <is>
          <t>ROBERTSFORS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46323</v>
      </c>
      <c r="F420" t="inlineStr">
        <is>
          <t>VÄSTERBOTTENS LÄN</t>
        </is>
      </c>
      <c r="G420" t="inlineStr">
        <is>
          <t>ROBERTSFORS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45607</v>
      </c>
      <c r="E421" s="1" t="n">
        <v>46323</v>
      </c>
      <c r="F421" t="inlineStr">
        <is>
          <t>VÄSTERBOTTENS LÄN</t>
        </is>
      </c>
      <c r="G421" t="inlineStr">
        <is>
          <t>ROBERTSFORS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46323</v>
      </c>
      <c r="F422" t="inlineStr">
        <is>
          <t>VÄSTERBOTTENS LÄN</t>
        </is>
      </c>
      <c r="G422" t="inlineStr">
        <is>
          <t>ROBERTSFORS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46323</v>
      </c>
      <c r="F423" t="inlineStr">
        <is>
          <t>VÄSTERBOTTENS LÄN</t>
        </is>
      </c>
      <c r="G423" t="inlineStr">
        <is>
          <t>ROBERTSFORS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62187-2021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44502</v>
      </c>
      <c r="E424" s="1" t="n">
        <v>46323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46323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46302</v>
      </c>
      <c r="E426" s="1" t="n">
        <v>46323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44580</v>
      </c>
      <c r="E427" s="1" t="n">
        <v>46323</v>
      </c>
      <c r="F427" t="inlineStr">
        <is>
          <t>VÄSTERBOTTENS LÄN</t>
        </is>
      </c>
      <c r="G427" t="inlineStr">
        <is>
          <t>ROBERTSFORS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46323</v>
      </c>
      <c r="F428" t="inlineStr">
        <is>
          <t>VÄSTERBOTTENS LÄN</t>
        </is>
      </c>
      <c r="G428" t="inlineStr">
        <is>
          <t>ROBERTSFORS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46323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46323</v>
      </c>
      <c r="F430" t="inlineStr">
        <is>
          <t>VÄSTERBOTTENS LÄN</t>
        </is>
      </c>
      <c r="G430" t="inlineStr">
        <is>
          <t>ROBERTSFORS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46323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46323</v>
      </c>
      <c r="F432" t="inlineStr">
        <is>
          <t>VÄSTERBOTTENS LÄN</t>
        </is>
      </c>
      <c r="G432" t="inlineStr">
        <is>
          <t>ROBERTSFORS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46323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21.2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45580</v>
      </c>
      <c r="E434" s="1" t="n">
        <v>46323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46323</v>
      </c>
      <c r="F435" t="inlineStr">
        <is>
          <t>VÄSTERBOTTENS LÄN</t>
        </is>
      </c>
      <c r="G435" t="inlineStr">
        <is>
          <t>ROBERTSFORS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46261</v>
      </c>
      <c r="E436" s="1" t="n">
        <v>46323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46323</v>
      </c>
      <c r="F437" t="inlineStr">
        <is>
          <t>VÄSTERBOTTENS LÄN</t>
        </is>
      </c>
      <c r="G437" t="inlineStr">
        <is>
          <t>ROBERTSFORS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41844-2026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46303</v>
      </c>
      <c r="E438" s="1" t="n">
        <v>46323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46303</v>
      </c>
      <c r="E439" s="1" t="n">
        <v>46323</v>
      </c>
      <c r="F439" t="inlineStr">
        <is>
          <t>VÄSTERBOTTENS LÄN</t>
        </is>
      </c>
      <c r="G439" t="inlineStr">
        <is>
          <t>ROBERTSFORS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46323</v>
      </c>
      <c r="F440" t="inlineStr">
        <is>
          <t>VÄSTERBOTTENS LÄN</t>
        </is>
      </c>
      <c r="G440" t="inlineStr">
        <is>
          <t>ROBERTSFORS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45029</v>
      </c>
      <c r="E441" s="1" t="n">
        <v>46323</v>
      </c>
      <c r="F441" t="inlineStr">
        <is>
          <t>VÄSTERBOTTENS LÄN</t>
        </is>
      </c>
      <c r="G441" t="inlineStr">
        <is>
          <t>ROBERTSFORS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45901</v>
      </c>
      <c r="E442" s="1" t="n">
        <v>46323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46323</v>
      </c>
      <c r="F443" t="inlineStr">
        <is>
          <t>VÄSTERBOTTENS LÄN</t>
        </is>
      </c>
      <c r="G443" t="inlineStr">
        <is>
          <t>ROBERTSFORS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46323</v>
      </c>
      <c r="F444" t="inlineStr">
        <is>
          <t>VÄSTERBOTTENS LÄN</t>
        </is>
      </c>
      <c r="G444" t="inlineStr">
        <is>
          <t>ROBERTSFORS</t>
        </is>
      </c>
      <c r="I444" t="n">
        <v>24.4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28330-2025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45818</v>
      </c>
      <c r="E445" s="1" t="n">
        <v>46323</v>
      </c>
      <c r="F445" t="inlineStr">
        <is>
          <t>VÄSTERBOTTENS LÄN</t>
        </is>
      </c>
      <c r="G445" t="inlineStr">
        <is>
          <t>ROBERTSFORS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46262</v>
      </c>
      <c r="E446" s="1" t="n">
        <v>46323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26038-2022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44734</v>
      </c>
      <c r="E447" s="1" t="n">
        <v>46323</v>
      </c>
      <c r="F447" t="inlineStr">
        <is>
          <t>VÄSTERBOTTENS LÄN</t>
        </is>
      </c>
      <c r="G447" t="inlineStr">
        <is>
          <t>ROBERTSFORS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46239</v>
      </c>
      <c r="E448" s="1" t="n">
        <v>46323</v>
      </c>
      <c r="F448" t="inlineStr">
        <is>
          <t>VÄSTERBOTTENS LÄN</t>
        </is>
      </c>
      <c r="G448" t="inlineStr">
        <is>
          <t>ROBERTSFORS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57629-2023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46323</v>
      </c>
      <c r="F449" t="inlineStr">
        <is>
          <t>VÄSTERBOTTENS LÄN</t>
        </is>
      </c>
      <c r="G449" t="inlineStr">
        <is>
          <t>ROBERTSFORS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42584-2026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46308</v>
      </c>
      <c r="E450" s="1" t="n">
        <v>46323</v>
      </c>
      <c r="F450" t="inlineStr">
        <is>
          <t>VÄSTERBOTTENS LÄN</t>
        </is>
      </c>
      <c r="G450" t="inlineStr">
        <is>
          <t>ROBERTSFORS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45076</v>
      </c>
      <c r="E451" s="1" t="n">
        <v>46323</v>
      </c>
      <c r="F451" t="inlineStr">
        <is>
          <t>VÄSTERBOTTENS LÄN</t>
        </is>
      </c>
      <c r="G451" t="inlineStr">
        <is>
          <t>ROBERTSFORS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33438-2023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45129</v>
      </c>
      <c r="E452" s="1" t="n">
        <v>46323</v>
      </c>
      <c r="F452" t="inlineStr">
        <is>
          <t>VÄSTERBOTTENS LÄN</t>
        </is>
      </c>
      <c r="G452" t="inlineStr">
        <is>
          <t>ROBERTSFORS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45502</v>
      </c>
      <c r="E453" s="1" t="n">
        <v>46323</v>
      </c>
      <c r="F453" t="inlineStr">
        <is>
          <t>VÄSTERBOTTENS LÄN</t>
        </is>
      </c>
      <c r="G453" t="inlineStr">
        <is>
          <t>ROBERTSFORS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46323</v>
      </c>
      <c r="F454" t="inlineStr">
        <is>
          <t>VÄSTERBOTTENS LÄN</t>
        </is>
      </c>
      <c r="G454" t="inlineStr">
        <is>
          <t>ROBERTSFORS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42658-2026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46308</v>
      </c>
      <c r="E455" s="1" t="n">
        <v>46323</v>
      </c>
      <c r="F455" t="inlineStr">
        <is>
          <t>VÄSTERBOTTENS LÄN</t>
        </is>
      </c>
      <c r="G455" t="inlineStr">
        <is>
          <t>ROBERTSFORS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46266</v>
      </c>
      <c r="E456" s="1" t="n">
        <v>46323</v>
      </c>
      <c r="F456" t="inlineStr">
        <is>
          <t>VÄSTERBOTTENS LÄN</t>
        </is>
      </c>
      <c r="G456" t="inlineStr">
        <is>
          <t>ROBERTSFORS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45561</v>
      </c>
      <c r="E457" s="1" t="n">
        <v>46323</v>
      </c>
      <c r="F457" t="inlineStr">
        <is>
          <t>VÄSTERBOTTENS LÄN</t>
        </is>
      </c>
      <c r="G457" t="inlineStr">
        <is>
          <t>ROBERTSFORS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46266</v>
      </c>
      <c r="E458" s="1" t="n">
        <v>46323</v>
      </c>
      <c r="F458" t="inlineStr">
        <is>
          <t>VÄSTERBOTTENS LÄN</t>
        </is>
      </c>
      <c r="G458" t="inlineStr">
        <is>
          <t>ROBERTSFORS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55417-2023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45238</v>
      </c>
      <c r="E459" s="1" t="n">
        <v>46323</v>
      </c>
      <c r="F459" t="inlineStr">
        <is>
          <t>VÄSTERBOTTENS LÄN</t>
        </is>
      </c>
      <c r="G459" t="inlineStr">
        <is>
          <t>ROBERTSFORS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45160</v>
      </c>
      <c r="E460" s="1" t="n">
        <v>46323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46323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46323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Sveaskog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35149-2023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46323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46323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46969-2025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46323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46269</v>
      </c>
      <c r="E466" s="1" t="n">
        <v>46323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46314</v>
      </c>
      <c r="E467" s="1" t="n">
        <v>46323</v>
      </c>
      <c r="F467" t="inlineStr">
        <is>
          <t>VÄSTERBOTTENS LÄN</t>
        </is>
      </c>
      <c r="G467" t="inlineStr">
        <is>
          <t>ROBERTSFORS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46314</v>
      </c>
      <c r="E468" s="1" t="n">
        <v>46323</v>
      </c>
      <c r="F468" t="inlineStr">
        <is>
          <t>VÄSTERBOTTENS LÄN</t>
        </is>
      </c>
      <c r="G468" t="inlineStr">
        <is>
          <t>ROBERTSFORS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46323</v>
      </c>
      <c r="F469" t="inlineStr">
        <is>
          <t>VÄSTERBOTTENS LÄN</t>
        </is>
      </c>
      <c r="G469" t="inlineStr">
        <is>
          <t>ROBERTSFORS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46314</v>
      </c>
      <c r="E470" s="1" t="n">
        <v>46323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46314</v>
      </c>
      <c r="E471" s="1" t="n">
        <v>46323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46323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26797-2023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46323</v>
      </c>
      <c r="F473" t="inlineStr">
        <is>
          <t>VÄSTERBOTTENS LÄN</t>
        </is>
      </c>
      <c r="G473" t="inlineStr">
        <is>
          <t>ROBERTSFORS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46323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46323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46314</v>
      </c>
      <c r="E476" s="1" t="n">
        <v>46323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43345-2026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46314</v>
      </c>
      <c r="E477" s="1" t="n">
        <v>46323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46323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Sveaskog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35313-2023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45146</v>
      </c>
      <c r="E479" s="1" t="n">
        <v>46323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46323</v>
      </c>
      <c r="F480" t="inlineStr">
        <is>
          <t>VÄSTERBOTTENS LÄN</t>
        </is>
      </c>
      <c r="G480" t="inlineStr">
        <is>
          <t>ROBERTSFORS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46323</v>
      </c>
      <c r="F481" t="inlineStr">
        <is>
          <t>VÄSTERBOTTENS LÄN</t>
        </is>
      </c>
      <c r="G481" t="inlineStr">
        <is>
          <t>ROBERTSFORS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46273</v>
      </c>
      <c r="E482" s="1" t="n">
        <v>46323</v>
      </c>
      <c r="F482" t="inlineStr">
        <is>
          <t>VÄSTERBOTTENS LÄN</t>
        </is>
      </c>
      <c r="G482" t="inlineStr">
        <is>
          <t>ROBERTSFORS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46315</v>
      </c>
      <c r="E483" s="1" t="n">
        <v>46323</v>
      </c>
      <c r="F483" t="inlineStr">
        <is>
          <t>VÄSTERBOTTENS LÄN</t>
        </is>
      </c>
      <c r="G483" t="inlineStr">
        <is>
          <t>ROBERTSFORS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46323</v>
      </c>
      <c r="F484" t="inlineStr">
        <is>
          <t>VÄSTERBOTTENS LÄN</t>
        </is>
      </c>
      <c r="G484" t="inlineStr">
        <is>
          <t>ROBERTSFORS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46315</v>
      </c>
      <c r="E485" s="1" t="n">
        <v>46323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43593-2026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46315</v>
      </c>
      <c r="E486" s="1" t="n">
        <v>46323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46323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30790-2025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45831</v>
      </c>
      <c r="E488" s="1" t="n">
        <v>46323</v>
      </c>
      <c r="F488" t="inlineStr">
        <is>
          <t>VÄSTERBOTTENS LÄN</t>
        </is>
      </c>
      <c r="G488" t="inlineStr">
        <is>
          <t>ROBERTSFORS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45530</v>
      </c>
      <c r="E489" s="1" t="n">
        <v>46323</v>
      </c>
      <c r="F489" t="inlineStr">
        <is>
          <t>VÄSTERBOTTENS LÄN</t>
        </is>
      </c>
      <c r="G489" t="inlineStr">
        <is>
          <t>ROBERTSFORS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46323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45307</v>
      </c>
      <c r="E491" s="1" t="n">
        <v>46323</v>
      </c>
      <c r="F491" t="inlineStr">
        <is>
          <t>VÄSTERBOTTENS LÄN</t>
        </is>
      </c>
      <c r="G491" t="inlineStr">
        <is>
          <t>ROBERTSFORS</t>
        </is>
      </c>
      <c r="I491" t="n">
        <v>12.1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46323</v>
      </c>
      <c r="F492" t="inlineStr">
        <is>
          <t>VÄSTERBOTTENS LÄN</t>
        </is>
      </c>
      <c r="G492" t="inlineStr">
        <is>
          <t>ROBERTSFORS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46323</v>
      </c>
      <c r="F493" t="inlineStr">
        <is>
          <t>VÄSTERBOTTENS LÄN</t>
        </is>
      </c>
      <c r="G493" t="inlineStr">
        <is>
          <t>ROBERTSFORS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46317</v>
      </c>
      <c r="E494" s="1" t="n">
        <v>46323</v>
      </c>
      <c r="F494" t="inlineStr">
        <is>
          <t>VÄSTERBOTTENS LÄN</t>
        </is>
      </c>
      <c r="G494" t="inlineStr">
        <is>
          <t>ROBERTSFORS</t>
        </is>
      </c>
      <c r="I494" t="n">
        <v>10.3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46317</v>
      </c>
      <c r="E495" s="1" t="n">
        <v>46323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27557-2024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46323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46323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45839</v>
      </c>
      <c r="E498" s="1" t="n">
        <v>46323</v>
      </c>
      <c r="F498" t="inlineStr">
        <is>
          <t>VÄSTERBOTTENS LÄN</t>
        </is>
      </c>
      <c r="G498" t="inlineStr">
        <is>
          <t>ROBERTSFORS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46280</v>
      </c>
      <c r="E499" s="1" t="n">
        <v>46323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45839</v>
      </c>
      <c r="E500" s="1" t="n">
        <v>46323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46323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46323</v>
      </c>
      <c r="F502" t="inlineStr">
        <is>
          <t>VÄSTERBOTTENS LÄN</t>
        </is>
      </c>
      <c r="G502" t="inlineStr">
        <is>
          <t>ROBERTSFORS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46323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46323</v>
      </c>
      <c r="F504" t="inlineStr">
        <is>
          <t>VÄSTERBOTTENS LÄN</t>
        </is>
      </c>
      <c r="G504" t="inlineStr">
        <is>
          <t>ROBERTSFORS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46323</v>
      </c>
      <c r="F505" t="inlineStr">
        <is>
          <t>VÄSTERBOTTENS LÄN</t>
        </is>
      </c>
      <c r="G505" t="inlineStr">
        <is>
          <t>ROBERTSFORS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44685-2026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46322</v>
      </c>
      <c r="E506" s="1" t="n">
        <v>46323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Sveaskog</t>
        </is>
      </c>
      <c r="I506" t="n">
        <v>18.4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46279</v>
      </c>
      <c r="E507" s="1" t="n">
        <v>46323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46323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46323</v>
      </c>
      <c r="F509" t="inlineStr">
        <is>
          <t>VÄSTERBOTTENS LÄN</t>
        </is>
      </c>
      <c r="G509" t="inlineStr">
        <is>
          <t>ROBERTSFORS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33368-2025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45841</v>
      </c>
      <c r="E510" s="1" t="n">
        <v>46323</v>
      </c>
      <c r="F510" t="inlineStr">
        <is>
          <t>VÄSTERBOTTENS LÄN</t>
        </is>
      </c>
      <c r="G510" t="inlineStr">
        <is>
          <t>ROBERTSFORS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33375-2025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45841</v>
      </c>
      <c r="E511" s="1" t="n">
        <v>46323</v>
      </c>
      <c r="F511" t="inlineStr">
        <is>
          <t>VÄSTERBOTTENS LÄN</t>
        </is>
      </c>
      <c r="G511" t="inlineStr">
        <is>
          <t>ROBERTSFORS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46321</v>
      </c>
      <c r="E512" s="1" t="n">
        <v>46323</v>
      </c>
      <c r="F512" t="inlineStr">
        <is>
          <t>VÄSTERBOTTENS LÄN</t>
        </is>
      </c>
      <c r="G512" t="inlineStr">
        <is>
          <t>ROBERTSFORS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46323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46322</v>
      </c>
      <c r="E514" s="1" t="n">
        <v>46323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Sveaskog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46276</v>
      </c>
      <c r="E515" s="1" t="n">
        <v>46323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46276</v>
      </c>
      <c r="E516" s="1" t="n">
        <v>46323</v>
      </c>
      <c r="F516" t="inlineStr">
        <is>
          <t>VÄSTERBOTTENS LÄN</t>
        </is>
      </c>
      <c r="G516" t="inlineStr">
        <is>
          <t>ROBERTSFORS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46323</v>
      </c>
      <c r="F517" t="inlineStr">
        <is>
          <t>VÄSTERBOTTENS LÄN</t>
        </is>
      </c>
      <c r="G517" t="inlineStr">
        <is>
          <t>ROBERTSFORS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46279</v>
      </c>
      <c r="E518" s="1" t="n">
        <v>46323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46323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44716-2026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46322</v>
      </c>
      <c r="E520" s="1" t="n">
        <v>46323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46280</v>
      </c>
      <c r="E521" s="1" t="n">
        <v>46323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37819-2026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46279</v>
      </c>
      <c r="E522" s="1" t="n">
        <v>46323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46323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45856</v>
      </c>
      <c r="E524" s="1" t="n">
        <v>46323</v>
      </c>
      <c r="F524" t="inlineStr">
        <is>
          <t>VÄSTERBOTTENS LÄN</t>
        </is>
      </c>
      <c r="G524" t="inlineStr">
        <is>
          <t>ROBERTSFORS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45856</v>
      </c>
      <c r="E525" s="1" t="n">
        <v>46323</v>
      </c>
      <c r="F525" t="inlineStr">
        <is>
          <t>VÄSTERBOTTENS LÄN</t>
        </is>
      </c>
      <c r="G525" t="inlineStr">
        <is>
          <t>ROBERTSFORS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45856</v>
      </c>
      <c r="E526" s="1" t="n">
        <v>46323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46323</v>
      </c>
      <c r="F527" t="inlineStr">
        <is>
          <t>VÄSTERBOTTENS LÄN</t>
        </is>
      </c>
      <c r="G527" t="inlineStr">
        <is>
          <t>ROBERTSFORS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46323</v>
      </c>
      <c r="F528" t="inlineStr">
        <is>
          <t>VÄSTERBOTTENS LÄN</t>
        </is>
      </c>
      <c r="G528" t="inlineStr">
        <is>
          <t>ROBERTSFORS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45789</v>
      </c>
      <c r="E529" s="1" t="n">
        <v>46323</v>
      </c>
      <c r="F529" t="inlineStr">
        <is>
          <t>VÄSTERBOTTENS LÄN</t>
        </is>
      </c>
      <c r="G529" t="inlineStr">
        <is>
          <t>ROBERTSFORS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45502</v>
      </c>
      <c r="E530" s="1" t="n">
        <v>46323</v>
      </c>
      <c r="F530" t="inlineStr">
        <is>
          <t>VÄSTERBOTTENS LÄN</t>
        </is>
      </c>
      <c r="G530" t="inlineStr">
        <is>
          <t>ROBERTSFORS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45870</v>
      </c>
      <c r="E531" s="1" t="n">
        <v>46323</v>
      </c>
      <c r="F531" t="inlineStr">
        <is>
          <t>VÄSTERBOTTENS LÄN</t>
        </is>
      </c>
      <c r="G531" t="inlineStr">
        <is>
          <t>ROBERTSFORS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45873</v>
      </c>
      <c r="E532" s="1" t="n">
        <v>46323</v>
      </c>
      <c r="F532" t="inlineStr">
        <is>
          <t>VÄSTERBOTTENS LÄN</t>
        </is>
      </c>
      <c r="G532" t="inlineStr">
        <is>
          <t>ROBERTSFORS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45846-2024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45580</v>
      </c>
      <c r="E533" s="1" t="n">
        <v>46323</v>
      </c>
      <c r="F533" t="inlineStr">
        <is>
          <t>VÄSTERBOTTENS LÄN</t>
        </is>
      </c>
      <c r="G533" t="inlineStr">
        <is>
          <t>ROBERTSFORS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45386</v>
      </c>
      <c r="E534" s="1" t="n">
        <v>46323</v>
      </c>
      <c r="F534" t="inlineStr">
        <is>
          <t>VÄSTERBOTTENS LÄN</t>
        </is>
      </c>
      <c r="G534" t="inlineStr">
        <is>
          <t>ROBERTSFORS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46323</v>
      </c>
      <c r="F535" t="inlineStr">
        <is>
          <t>VÄSTERBOTTENS LÄN</t>
        </is>
      </c>
      <c r="G535" t="inlineStr">
        <is>
          <t>ROBERTSFORS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24484-2026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46323</v>
      </c>
      <c r="F536" t="inlineStr">
        <is>
          <t>VÄSTERBOTTENS LÄN</t>
        </is>
      </c>
      <c r="G536" t="inlineStr">
        <is>
          <t>ROBERTSFORS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24647-2026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46171</v>
      </c>
      <c r="E537" s="1" t="n">
        <v>46323</v>
      </c>
      <c r="F537" t="inlineStr">
        <is>
          <t>VÄSTERBOTTENS LÄN</t>
        </is>
      </c>
      <c r="G537" t="inlineStr">
        <is>
          <t>ROBERTSFORS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46323</v>
      </c>
      <c r="F538" t="inlineStr">
        <is>
          <t>VÄSTERBOTTENS LÄN</t>
        </is>
      </c>
      <c r="G538" t="inlineStr">
        <is>
          <t>ROBERTSFORS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46175</v>
      </c>
      <c r="E539" s="1" t="n">
        <v>46323</v>
      </c>
      <c r="F539" t="inlineStr">
        <is>
          <t>VÄSTERBOTTENS LÄN</t>
        </is>
      </c>
      <c r="G539" t="inlineStr">
        <is>
          <t>ROBERTSFORS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46323</v>
      </c>
      <c r="F540" t="inlineStr">
        <is>
          <t>VÄSTERBOTTENS LÄN</t>
        </is>
      </c>
      <c r="G540" t="inlineStr">
        <is>
          <t>ROBERTSFORS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45454</v>
      </c>
      <c r="E541" s="1" t="n">
        <v>46323</v>
      </c>
      <c r="F541" t="inlineStr">
        <is>
          <t>VÄSTERBOTTENS LÄN</t>
        </is>
      </c>
      <c r="G541" t="inlineStr">
        <is>
          <t>ROBERTSFORS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46323</v>
      </c>
      <c r="F542" t="inlineStr">
        <is>
          <t>VÄSTERBOTTENS LÄN</t>
        </is>
      </c>
      <c r="G542" t="inlineStr">
        <is>
          <t>ROBERTSFORS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26045-2026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46323</v>
      </c>
      <c r="F543" t="inlineStr">
        <is>
          <t>VÄSTERBOTTENS LÄN</t>
        </is>
      </c>
      <c r="G543" t="inlineStr">
        <is>
          <t>ROBERTSFORS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46183</v>
      </c>
      <c r="E544" s="1" t="n">
        <v>46323</v>
      </c>
      <c r="F544" t="inlineStr">
        <is>
          <t>VÄSTERBOTTENS LÄN</t>
        </is>
      </c>
      <c r="G544" t="inlineStr">
        <is>
          <t>ROBERTSFORS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46185</v>
      </c>
      <c r="E545" s="1" t="n">
        <v>46323</v>
      </c>
      <c r="F545" t="inlineStr">
        <is>
          <t>VÄSTERBOTTENS LÄN</t>
        </is>
      </c>
      <c r="G545" t="inlineStr">
        <is>
          <t>ROBERTSFORS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46323</v>
      </c>
      <c r="F546" t="inlineStr">
        <is>
          <t>VÄSTERBOTTENS LÄN</t>
        </is>
      </c>
      <c r="G546" t="inlineStr">
        <is>
          <t>ROBERTSFORS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46323</v>
      </c>
      <c r="F547" t="inlineStr">
        <is>
          <t>VÄSTERBOTTENS LÄN</t>
        </is>
      </c>
      <c r="G547" t="inlineStr">
        <is>
          <t>ROBERTSFORS</t>
        </is>
      </c>
      <c r="H547" t="inlineStr">
        <is>
          <t>Holmen skog AB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46323</v>
      </c>
      <c r="F548" t="inlineStr">
        <is>
          <t>VÄSTERBOTTENS LÄN</t>
        </is>
      </c>
      <c r="G548" t="inlineStr">
        <is>
          <t>ROBERTSFORS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46188</v>
      </c>
      <c r="E549" s="1" t="n">
        <v>46323</v>
      </c>
      <c r="F549" t="inlineStr">
        <is>
          <t>VÄSTERBOTTENS LÄN</t>
        </is>
      </c>
      <c r="G549" t="inlineStr">
        <is>
          <t>ROBERTSFORS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46323</v>
      </c>
      <c r="F550" t="inlineStr">
        <is>
          <t>VÄSTERBOTTENS LÄN</t>
        </is>
      </c>
      <c r="G550" t="inlineStr">
        <is>
          <t>ROBERTSFORS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45620</v>
      </c>
      <c r="E551" s="1" t="n">
        <v>46323</v>
      </c>
      <c r="F551" t="inlineStr">
        <is>
          <t>VÄSTERBOTTENS LÄN</t>
        </is>
      </c>
      <c r="G551" t="inlineStr">
        <is>
          <t>ROBERTSFORS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2849-2022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44707</v>
      </c>
      <c r="E552" s="1" t="n">
        <v>46323</v>
      </c>
      <c r="F552" t="inlineStr">
        <is>
          <t>VÄSTERBOTTENS LÄN</t>
        </is>
      </c>
      <c r="G552" t="inlineStr">
        <is>
          <t>ROBERTSFORS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8592-2021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44501</v>
      </c>
      <c r="E553" s="1" t="n">
        <v>46323</v>
      </c>
      <c r="F553" t="inlineStr">
        <is>
          <t>VÄSTERBOTTENS LÄN</t>
        </is>
      </c>
      <c r="G553" t="inlineStr">
        <is>
          <t>ROBERTSFORS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1034-2025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45747</v>
      </c>
      <c r="E554" s="1" t="n">
        <v>46323</v>
      </c>
      <c r="F554" t="inlineStr">
        <is>
          <t>VÄSTERBOTTENS LÄN</t>
        </is>
      </c>
      <c r="G554" t="inlineStr">
        <is>
          <t>ROBERTSFORS</t>
        </is>
      </c>
      <c r="H554" t="inlineStr">
        <is>
          <t>Sveaskog</t>
        </is>
      </c>
      <c r="I554" t="n">
        <v>14.9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1249-2025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45762</v>
      </c>
      <c r="E555" s="1" t="n">
        <v>46323</v>
      </c>
      <c r="F555" t="inlineStr">
        <is>
          <t>VÄSTERBOTTENS LÄN</t>
        </is>
      </c>
      <c r="G555" t="inlineStr">
        <is>
          <t>ROBERTSFORS</t>
        </is>
      </c>
      <c r="H555" t="inlineStr">
        <is>
          <t>Holmen skog AB</t>
        </is>
      </c>
      <c r="I555" t="n">
        <v>175.8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702-2026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46092</v>
      </c>
      <c r="E556" s="1" t="n">
        <v>46323</v>
      </c>
      <c r="F556" t="inlineStr">
        <is>
          <t>VÄSTERBOTTENS LÄN</t>
        </is>
      </c>
      <c r="G556" t="inlineStr">
        <is>
          <t>ROBERTSFORS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1273-2026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46147</v>
      </c>
      <c r="E557" s="1" t="n">
        <v>46323</v>
      </c>
      <c r="F557" t="inlineStr">
        <is>
          <t>VÄSTERBOTTENS LÄN</t>
        </is>
      </c>
      <c r="G557" t="inlineStr">
        <is>
          <t>ROBERTSFORS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1322-2026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46149</v>
      </c>
      <c r="E558" s="1" t="n">
        <v>46323</v>
      </c>
      <c r="F558" t="inlineStr">
        <is>
          <t>VÄSTERBOTTENS LÄN</t>
        </is>
      </c>
      <c r="G558" t="inlineStr">
        <is>
          <t>ROBERTSFORS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>
      <c r="A559" t="inlineStr">
        <is>
          <t>S 1416-2026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46155</v>
      </c>
      <c r="E559" s="1" t="n">
        <v>46323</v>
      </c>
      <c r="F559" t="inlineStr">
        <is>
          <t>VÄSTERBOTTENS LÄN</t>
        </is>
      </c>
      <c r="G559" t="inlineStr">
        <is>
          <t>ROBERTSFORS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2026-10-28T03:13:41Z</dcterms:created>
  <dcterms:modified xmlns:dcterms="http://purl.org/dc/terms/" xmlns:xsi="http://www.w3.org/2001/XMLSchema-instance" xsi:type="dcterms:W3CDTF">2026-10-28T03:13:41Z</dcterms:modified>
</cp:coreProperties>
</file>