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45881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45881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45881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41550-2024</t>
        </is>
      </c>
      <c r="B11" s="1" t="n">
        <v>45560</v>
      </c>
      <c r="C11" s="1" t="n">
        <v>45881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Harticka
Ullticka</t>
        </is>
      </c>
      <c r="S11">
        <f>HYPERLINK("https://klasma.github.io/Logging_2409/artfynd/A 41550-2024 artfynd.xlsx", "A 41550-2024")</f>
        <v/>
      </c>
      <c r="T11">
        <f>HYPERLINK("https://klasma.github.io/Logging_2409/kartor/A 41550-2024 karta.png", "A 41550-2024")</f>
        <v/>
      </c>
      <c r="V11">
        <f>HYPERLINK("https://klasma.github.io/Logging_2409/klagomål/A 41550-2024 FSC-klagomål.docx", "A 41550-2024")</f>
        <v/>
      </c>
      <c r="W11">
        <f>HYPERLINK("https://klasma.github.io/Logging_2409/klagomålsmail/A 41550-2024 FSC-klagomål mail.docx", "A 41550-2024")</f>
        <v/>
      </c>
      <c r="X11">
        <f>HYPERLINK("https://klasma.github.io/Logging_2409/tillsyn/A 41550-2024 tillsynsbegäran.docx", "A 41550-2024")</f>
        <v/>
      </c>
      <c r="Y11">
        <f>HYPERLINK("https://klasma.github.io/Logging_2409/tillsynsmail/A 41550-2024 tillsynsbegäran mail.docx", "A 41550-2024")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45881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45881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45881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45881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45881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45881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45881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45881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29248-2025</t>
        </is>
      </c>
      <c r="B23" s="1" t="n">
        <v>45824.37269675926</v>
      </c>
      <c r="C23" s="1" t="n">
        <v>45881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10.7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HYPERLINK("https://klasma.github.io/Logging_2409/artfynd/A 29248-2025 artfynd.xlsx", "A 29248-2025")</f>
        <v/>
      </c>
      <c r="T23">
        <f>HYPERLINK("https://klasma.github.io/Logging_2409/kartor/A 29248-2025 karta.png", "A 29248-2025")</f>
        <v/>
      </c>
      <c r="V23">
        <f>HYPERLINK("https://klasma.github.io/Logging_2409/klagomål/A 29248-2025 FSC-klagomål.docx", "A 29248-2025")</f>
        <v/>
      </c>
      <c r="W23">
        <f>HYPERLINK("https://klasma.github.io/Logging_2409/klagomålsmail/A 29248-2025 FSC-klagomål mail.docx", "A 29248-2025")</f>
        <v/>
      </c>
      <c r="X23">
        <f>HYPERLINK("https://klasma.github.io/Logging_2409/tillsyn/A 29248-2025 tillsynsbegäran.docx", "A 29248-2025")</f>
        <v/>
      </c>
      <c r="Y23">
        <f>HYPERLINK("https://klasma.github.io/Logging_2409/tillsynsmail/A 29248-2025 tillsynsbegäran mail.docx", "A 29248-2025")</f>
        <v/>
      </c>
      <c r="Z23">
        <f>HYPERLINK("https://klasma.github.io/Logging_2409/fåglar/A 29248-2025 prioriterade fågelarter.docx", "A 29248-2025")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45881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45881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45881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41557-2024</t>
        </is>
      </c>
      <c r="B28" s="1" t="n">
        <v>45560</v>
      </c>
      <c r="C28" s="1" t="n">
        <v>45881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HYPERLINK("https://klasma.github.io/Logging_2409/artfynd/A 41557-2024 artfynd.xlsx", "A 41557-2024")</f>
        <v/>
      </c>
      <c r="T28">
        <f>HYPERLINK("https://klasma.github.io/Logging_2409/kartor/A 41557-2024 karta.png", "A 41557-2024")</f>
        <v/>
      </c>
      <c r="V28">
        <f>HYPERLINK("https://klasma.github.io/Logging_2409/klagomål/A 41557-2024 FSC-klagomål.docx", "A 41557-2024")</f>
        <v/>
      </c>
      <c r="W28">
        <f>HYPERLINK("https://klasma.github.io/Logging_2409/klagomålsmail/A 41557-2024 FSC-klagomål mail.docx", "A 41557-2024")</f>
        <v/>
      </c>
      <c r="X28">
        <f>HYPERLINK("https://klasma.github.io/Logging_2409/tillsyn/A 41557-2024 tillsynsbegäran.docx", "A 41557-2024")</f>
        <v/>
      </c>
      <c r="Y28">
        <f>HYPERLINK("https://klasma.github.io/Logging_2409/tillsynsmail/A 41557-2024 tillsynsbegäran mail.docx", "A 41557-2024")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45881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45881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23817-2025</t>
        </is>
      </c>
      <c r="B31" s="1" t="n">
        <v>45793.58310185185</v>
      </c>
      <c r="C31" s="1" t="n">
        <v>45881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HYPERLINK("https://klasma.github.io/Logging_2409/artfynd/A 23817-2025 artfynd.xlsx", "A 23817-2025")</f>
        <v/>
      </c>
      <c r="T31">
        <f>HYPERLINK("https://klasma.github.io/Logging_2409/kartor/A 23817-2025 karta.png", "A 23817-2025")</f>
        <v/>
      </c>
      <c r="V31">
        <f>HYPERLINK("https://klasma.github.io/Logging_2409/klagomål/A 23817-2025 FSC-klagomål.docx", "A 23817-2025")</f>
        <v/>
      </c>
      <c r="W31">
        <f>HYPERLINK("https://klasma.github.io/Logging_2409/klagomålsmail/A 23817-2025 FSC-klagomål mail.docx", "A 23817-2025")</f>
        <v/>
      </c>
      <c r="X31">
        <f>HYPERLINK("https://klasma.github.io/Logging_2409/tillsyn/A 23817-2025 tillsynsbegäran.docx", "A 23817-2025")</f>
        <v/>
      </c>
      <c r="Y31">
        <f>HYPERLINK("https://klasma.github.io/Logging_2409/tillsynsmail/A 23817-2025 tillsynsbegäran mail.docx", "A 23817-2025")</f>
        <v/>
      </c>
      <c r="Z31">
        <f>HYPERLINK("https://klasma.github.io/Logging_2409/fåglar/A 23817-2025 prioriterade fågelarter.docx", "A 23817-2025")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45881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45881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34007-2025</t>
        </is>
      </c>
      <c r="B34" s="1" t="n">
        <v>45844.72150462963</v>
      </c>
      <c r="C34" s="1" t="n">
        <v>45881</v>
      </c>
      <c r="D34" t="inlineStr">
        <is>
          <t>VÄSTERBOTTENS LÄN</t>
        </is>
      </c>
      <c r="E34" t="inlineStr">
        <is>
          <t>ROBERTSFORS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34007-2025 artfynd.xlsx", "A 34007-2025")</f>
        <v/>
      </c>
      <c r="T34">
        <f>HYPERLINK("https://klasma.github.io/Logging_2409/kartor/A 34007-2025 karta.png", "A 34007-2025")</f>
        <v/>
      </c>
      <c r="V34">
        <f>HYPERLINK("https://klasma.github.io/Logging_2409/klagomål/A 34007-2025 FSC-klagomål.docx", "A 34007-2025")</f>
        <v/>
      </c>
      <c r="W34">
        <f>HYPERLINK("https://klasma.github.io/Logging_2409/klagomålsmail/A 34007-2025 FSC-klagomål mail.docx", "A 34007-2025")</f>
        <v/>
      </c>
      <c r="X34">
        <f>HYPERLINK("https://klasma.github.io/Logging_2409/tillsyn/A 34007-2025 tillsynsbegäran.docx", "A 34007-2025")</f>
        <v/>
      </c>
      <c r="Y34">
        <f>HYPERLINK("https://klasma.github.io/Logging_2409/tillsynsmail/A 34007-2025 tillsynsbegäran mail.docx", "A 34007-2025")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45881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45881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45881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45881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45881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45881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45881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45881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45881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169-2021</t>
        </is>
      </c>
      <c r="B46" s="1" t="n">
        <v>44200</v>
      </c>
      <c r="C46" s="1" t="n">
        <v>45881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45881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45881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45881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45881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45881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45881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45881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45881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45881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45881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45881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45881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45881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45881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45881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45881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45881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45881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45881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45881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45881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45881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45881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45881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45881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45881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45881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45881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45881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45881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54603-2020</t>
        </is>
      </c>
      <c r="B85" s="1" t="n">
        <v>44127</v>
      </c>
      <c r="C85" s="1" t="n">
        <v>45881</v>
      </c>
      <c r="D85" t="inlineStr">
        <is>
          <t>VÄSTERBOTTENS LÄN</t>
        </is>
      </c>
      <c r="E85" t="inlineStr">
        <is>
          <t>ROBERTSFORS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48024-2022</t>
        </is>
      </c>
      <c r="B86" s="1" t="n">
        <v>44855</v>
      </c>
      <c r="C86" s="1" t="n">
        <v>45881</v>
      </c>
      <c r="D86" t="inlineStr">
        <is>
          <t>VÄSTERBOTTENS LÄN</t>
        </is>
      </c>
      <c r="E86" t="inlineStr">
        <is>
          <t>ROBERTSFORS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45881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45881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34353-2021</t>
        </is>
      </c>
      <c r="B90" s="1" t="n">
        <v>44379</v>
      </c>
      <c r="C90" s="1" t="n">
        <v>45881</v>
      </c>
      <c r="D90" t="inlineStr">
        <is>
          <t>VÄSTERBOTTENS LÄN</t>
        </is>
      </c>
      <c r="E90" t="inlineStr">
        <is>
          <t>ROBERTSFORS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62884-2020</t>
        </is>
      </c>
      <c r="B91" s="1" t="n">
        <v>44161</v>
      </c>
      <c r="C91" s="1" t="n">
        <v>45881</v>
      </c>
      <c r="D91" t="inlineStr">
        <is>
          <t>VÄSTERBOTTENS LÄN</t>
        </is>
      </c>
      <c r="E91" t="inlineStr">
        <is>
          <t>ROBERTSFORS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45881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45881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45881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45881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45881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49802-2020</t>
        </is>
      </c>
      <c r="B98" s="1" t="n">
        <v>44106</v>
      </c>
      <c r="C98" s="1" t="n">
        <v>45881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45881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45881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2590-2022</t>
        </is>
      </c>
      <c r="B102" s="1" t="n">
        <v>44580</v>
      </c>
      <c r="C102" s="1" t="n">
        <v>45881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6981-2021</t>
        </is>
      </c>
      <c r="B103" s="1" t="n">
        <v>44237</v>
      </c>
      <c r="C103" s="1" t="n">
        <v>45881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53562-2020</t>
        </is>
      </c>
      <c r="B104" s="1" t="n">
        <v>44124.4106712963</v>
      </c>
      <c r="C104" s="1" t="n">
        <v>45881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54403-2021</t>
        </is>
      </c>
      <c r="B105" s="1" t="n">
        <v>44473</v>
      </c>
      <c r="C105" s="1" t="n">
        <v>45881</v>
      </c>
      <c r="D105" t="inlineStr">
        <is>
          <t>VÄSTERBOTTENS LÄN</t>
        </is>
      </c>
      <c r="E105" t="inlineStr">
        <is>
          <t>ROBERTSFORS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69805-2021</t>
        </is>
      </c>
      <c r="B106" s="1" t="n">
        <v>44532</v>
      </c>
      <c r="C106" s="1" t="n">
        <v>45881</v>
      </c>
      <c r="D106" t="inlineStr">
        <is>
          <t>VÄSTERBOTTENS LÄN</t>
        </is>
      </c>
      <c r="E106" t="inlineStr">
        <is>
          <t>ROBERTSFORS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53433-2020</t>
        </is>
      </c>
      <c r="B107" s="1" t="n">
        <v>44122</v>
      </c>
      <c r="C107" s="1" t="n">
        <v>45881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39836-2022</t>
        </is>
      </c>
      <c r="B108" s="1" t="n">
        <v>44819.5896875</v>
      </c>
      <c r="C108" s="1" t="n">
        <v>45881</v>
      </c>
      <c r="D108" t="inlineStr">
        <is>
          <t>VÄSTERBOTTENS LÄN</t>
        </is>
      </c>
      <c r="E108" t="inlineStr">
        <is>
          <t>ROBERTSFORS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45881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45881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66039-2020</t>
        </is>
      </c>
      <c r="B111" s="1" t="n">
        <v>44175</v>
      </c>
      <c r="C111" s="1" t="n">
        <v>45881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65830-2020</t>
        </is>
      </c>
      <c r="B112" s="1" t="n">
        <v>44172</v>
      </c>
      <c r="C112" s="1" t="n">
        <v>45881</v>
      </c>
      <c r="D112" t="inlineStr">
        <is>
          <t>VÄSTERBOTTENS LÄN</t>
        </is>
      </c>
      <c r="E112" t="inlineStr">
        <is>
          <t>ROBERTSFORS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45881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15644-2022</t>
        </is>
      </c>
      <c r="B114" s="1" t="n">
        <v>44662.92425925926</v>
      </c>
      <c r="C114" s="1" t="n">
        <v>45881</v>
      </c>
      <c r="D114" t="inlineStr">
        <is>
          <t>VÄSTERBOTTENS LÄN</t>
        </is>
      </c>
      <c r="E114" t="inlineStr">
        <is>
          <t>ROBERTSFORS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45881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57189-2021</t>
        </is>
      </c>
      <c r="B116" s="1" t="n">
        <v>44482.92244212963</v>
      </c>
      <c r="C116" s="1" t="n">
        <v>45881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45881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45881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45881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43714-2020</t>
        </is>
      </c>
      <c r="B120" s="1" t="n">
        <v>44078</v>
      </c>
      <c r="C120" s="1" t="n">
        <v>45881</v>
      </c>
      <c r="D120" t="inlineStr">
        <is>
          <t>VÄSTERBOTTENS LÄN</t>
        </is>
      </c>
      <c r="E120" t="inlineStr">
        <is>
          <t>ROBERTSFORS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41047-2022</t>
        </is>
      </c>
      <c r="B121" s="1" t="n">
        <v>44824</v>
      </c>
      <c r="C121" s="1" t="n">
        <v>45881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13983-2021</t>
        </is>
      </c>
      <c r="B122" s="1" t="n">
        <v>44277</v>
      </c>
      <c r="C122" s="1" t="n">
        <v>45881</v>
      </c>
      <c r="D122" t="inlineStr">
        <is>
          <t>VÄSTERBOTTENS LÄN</t>
        </is>
      </c>
      <c r="E122" t="inlineStr">
        <is>
          <t>ROBERTSFORS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13329-2022</t>
        </is>
      </c>
      <c r="B123" s="1" t="n">
        <v>44644</v>
      </c>
      <c r="C123" s="1" t="n">
        <v>45881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19962-2022</t>
        </is>
      </c>
      <c r="B124" s="1" t="n">
        <v>44697</v>
      </c>
      <c r="C124" s="1" t="n">
        <v>45881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39283-2022</t>
        </is>
      </c>
      <c r="B125" s="1" t="n">
        <v>44817</v>
      </c>
      <c r="C125" s="1" t="n">
        <v>45881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45881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55484-2021</t>
        </is>
      </c>
      <c r="B127" s="1" t="n">
        <v>44475</v>
      </c>
      <c r="C127" s="1" t="n">
        <v>45881</v>
      </c>
      <c r="D127" t="inlineStr">
        <is>
          <t>VÄSTERBOTTENS LÄN</t>
        </is>
      </c>
      <c r="E127" t="inlineStr">
        <is>
          <t>ROBERTSFORS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53559-2020</t>
        </is>
      </c>
      <c r="B128" s="1" t="n">
        <v>44124</v>
      </c>
      <c r="C128" s="1" t="n">
        <v>45881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35551-2021</t>
        </is>
      </c>
      <c r="B129" s="1" t="n">
        <v>44385.82789351852</v>
      </c>
      <c r="C129" s="1" t="n">
        <v>45881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55843-2020</t>
        </is>
      </c>
      <c r="B130" s="1" t="n">
        <v>44132</v>
      </c>
      <c r="C130" s="1" t="n">
        <v>45881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41645-2022</t>
        </is>
      </c>
      <c r="B131" s="1" t="n">
        <v>44827.50721064815</v>
      </c>
      <c r="C131" s="1" t="n">
        <v>45881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46731-2022</t>
        </is>
      </c>
      <c r="B132" s="1" t="n">
        <v>44851.43311342593</v>
      </c>
      <c r="C132" s="1" t="n">
        <v>45881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44822-2022</t>
        </is>
      </c>
      <c r="B133" s="1" t="n">
        <v>44841.41417824074</v>
      </c>
      <c r="C133" s="1" t="n">
        <v>45881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10906-2022</t>
        </is>
      </c>
      <c r="B134" s="1" t="n">
        <v>44627.92642361111</v>
      </c>
      <c r="C134" s="1" t="n">
        <v>45881</v>
      </c>
      <c r="D134" t="inlineStr">
        <is>
          <t>VÄSTERBOTTENS LÄN</t>
        </is>
      </c>
      <c r="E134" t="inlineStr">
        <is>
          <t>ROBERTSFORS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10907-2022</t>
        </is>
      </c>
      <c r="B135" s="1" t="n">
        <v>44627.9264699074</v>
      </c>
      <c r="C135" s="1" t="n">
        <v>45881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45881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9192-2022</t>
        </is>
      </c>
      <c r="B137" s="1" t="n">
        <v>44615.9247800926</v>
      </c>
      <c r="C137" s="1" t="n">
        <v>45881</v>
      </c>
      <c r="D137" t="inlineStr">
        <is>
          <t>VÄSTERBOTTENS LÄN</t>
        </is>
      </c>
      <c r="E137" t="inlineStr">
        <is>
          <t>ROBERTSFORS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12013-2022</t>
        </is>
      </c>
      <c r="B138" s="1" t="n">
        <v>44635.92523148148</v>
      </c>
      <c r="C138" s="1" t="n">
        <v>45881</v>
      </c>
      <c r="D138" t="inlineStr">
        <is>
          <t>VÄSTERBOTTENS LÄN</t>
        </is>
      </c>
      <c r="E138" t="inlineStr">
        <is>
          <t>ROBERTSFORS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64158-2020</t>
        </is>
      </c>
      <c r="B139" s="1" t="n">
        <v>44167</v>
      </c>
      <c r="C139" s="1" t="n">
        <v>45881</v>
      </c>
      <c r="D139" t="inlineStr">
        <is>
          <t>VÄSTERBOTTENS LÄN</t>
        </is>
      </c>
      <c r="E139" t="inlineStr">
        <is>
          <t>ROBERTSFORS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35852-2021</t>
        </is>
      </c>
      <c r="B140" s="1" t="n">
        <v>44386</v>
      </c>
      <c r="C140" s="1" t="n">
        <v>45881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18827-2023</t>
        </is>
      </c>
      <c r="B141" s="1" t="n">
        <v>45042</v>
      </c>
      <c r="C141" s="1" t="n">
        <v>45881</v>
      </c>
      <c r="D141" t="inlineStr">
        <is>
          <t>VÄSTERBOTTENS LÄN</t>
        </is>
      </c>
      <c r="E141" t="inlineStr">
        <is>
          <t>ROBERTSFORS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14903-2025</t>
        </is>
      </c>
      <c r="B142" s="1" t="n">
        <v>45743.48991898148</v>
      </c>
      <c r="C142" s="1" t="n">
        <v>45881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9463-2025</t>
        </is>
      </c>
      <c r="B143" s="1" t="n">
        <v>45715.45984953704</v>
      </c>
      <c r="C143" s="1" t="n">
        <v>45881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62506-2023</t>
        </is>
      </c>
      <c r="B144" s="1" t="n">
        <v>45268</v>
      </c>
      <c r="C144" s="1" t="n">
        <v>45881</v>
      </c>
      <c r="D144" t="inlineStr">
        <is>
          <t>VÄSTERBOTTENS LÄN</t>
        </is>
      </c>
      <c r="E144" t="inlineStr">
        <is>
          <t>ROBERTSFORS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25216-2022</t>
        </is>
      </c>
      <c r="B145" s="1" t="n">
        <v>44729.68305555556</v>
      </c>
      <c r="C145" s="1" t="n">
        <v>45881</v>
      </c>
      <c r="D145" t="inlineStr">
        <is>
          <t>VÄSTERBOTTENS LÄN</t>
        </is>
      </c>
      <c r="E145" t="inlineStr">
        <is>
          <t>ROBERTSFORS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68371-2020</t>
        </is>
      </c>
      <c r="B146" s="1" t="n">
        <v>44186</v>
      </c>
      <c r="C146" s="1" t="n">
        <v>45881</v>
      </c>
      <c r="D146" t="inlineStr">
        <is>
          <t>VÄSTERBOTTENS LÄN</t>
        </is>
      </c>
      <c r="E146" t="inlineStr">
        <is>
          <t>ROBERTSFORS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24797-2021</t>
        </is>
      </c>
      <c r="B147" s="1" t="n">
        <v>44340</v>
      </c>
      <c r="C147" s="1" t="n">
        <v>45881</v>
      </c>
      <c r="D147" t="inlineStr">
        <is>
          <t>VÄSTERBOTTENS LÄN</t>
        </is>
      </c>
      <c r="E147" t="inlineStr">
        <is>
          <t>ROBERTSFORS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5251-2025</t>
        </is>
      </c>
      <c r="B148" s="1" t="n">
        <v>45692.34487268519</v>
      </c>
      <c r="C148" s="1" t="n">
        <v>45881</v>
      </c>
      <c r="D148" t="inlineStr">
        <is>
          <t>VÄSTERBOTTENS LÄN</t>
        </is>
      </c>
      <c r="E148" t="inlineStr">
        <is>
          <t>ROBERTSFORS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43027-2023</t>
        </is>
      </c>
      <c r="B149" s="1" t="n">
        <v>45182.65770833333</v>
      </c>
      <c r="C149" s="1" t="n">
        <v>45881</v>
      </c>
      <c r="D149" t="inlineStr">
        <is>
          <t>VÄSTERBOTTENS LÄN</t>
        </is>
      </c>
      <c r="E149" t="inlineStr">
        <is>
          <t>ROBERTSFORS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56950-2020</t>
        </is>
      </c>
      <c r="B150" s="1" t="n">
        <v>44137</v>
      </c>
      <c r="C150" s="1" t="n">
        <v>45881</v>
      </c>
      <c r="D150" t="inlineStr">
        <is>
          <t>VÄSTERBOTTENS LÄN</t>
        </is>
      </c>
      <c r="E150" t="inlineStr">
        <is>
          <t>ROBERTSFORS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16104-2025</t>
        </is>
      </c>
      <c r="B151" s="1" t="n">
        <v>45750.3231712963</v>
      </c>
      <c r="C151" s="1" t="n">
        <v>45881</v>
      </c>
      <c r="D151" t="inlineStr">
        <is>
          <t>VÄSTERBOTTENS LÄN</t>
        </is>
      </c>
      <c r="E151" t="inlineStr">
        <is>
          <t>ROBERTSFORS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58631-2021</t>
        </is>
      </c>
      <c r="B152" s="1" t="n">
        <v>44488</v>
      </c>
      <c r="C152" s="1" t="n">
        <v>45881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46331-2023</t>
        </is>
      </c>
      <c r="B153" s="1" t="n">
        <v>45197.38826388889</v>
      </c>
      <c r="C153" s="1" t="n">
        <v>45881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63293-2020</t>
        </is>
      </c>
      <c r="B154" s="1" t="n">
        <v>44165</v>
      </c>
      <c r="C154" s="1" t="n">
        <v>45881</v>
      </c>
      <c r="D154" t="inlineStr">
        <is>
          <t>VÄSTERBOTTENS LÄN</t>
        </is>
      </c>
      <c r="E154" t="inlineStr">
        <is>
          <t>ROBERTSFORS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7076-2025</t>
        </is>
      </c>
      <c r="B155" s="1" t="n">
        <v>45701.68518518518</v>
      </c>
      <c r="C155" s="1" t="n">
        <v>45881</v>
      </c>
      <c r="D155" t="inlineStr">
        <is>
          <t>VÄSTERBOTTENS LÄN</t>
        </is>
      </c>
      <c r="E155" t="inlineStr">
        <is>
          <t>ROBERTSFORS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39325-2021</t>
        </is>
      </c>
      <c r="B156" s="1" t="n">
        <v>44413.91990740741</v>
      </c>
      <c r="C156" s="1" t="n">
        <v>45881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16865-2023</t>
        </is>
      </c>
      <c r="B157" s="1" t="n">
        <v>45029</v>
      </c>
      <c r="C157" s="1" t="n">
        <v>45881</v>
      </c>
      <c r="D157" t="inlineStr">
        <is>
          <t>VÄSTERBOTTENS LÄN</t>
        </is>
      </c>
      <c r="E157" t="inlineStr">
        <is>
          <t>ROBERTSFORS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53271-2021</t>
        </is>
      </c>
      <c r="B158" s="1" t="n">
        <v>44467</v>
      </c>
      <c r="C158" s="1" t="n">
        <v>45881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61207-2024</t>
        </is>
      </c>
      <c r="B159" s="1" t="n">
        <v>45645.64688657408</v>
      </c>
      <c r="C159" s="1" t="n">
        <v>45881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61531-2024</t>
        </is>
      </c>
      <c r="B160" s="1" t="n">
        <v>45646.58731481482</v>
      </c>
      <c r="C160" s="1" t="n">
        <v>45881</v>
      </c>
      <c r="D160" t="inlineStr">
        <is>
          <t>VÄSTERBOTTENS LÄN</t>
        </is>
      </c>
      <c r="E160" t="inlineStr">
        <is>
          <t>ROBERTSFORS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45924-2024</t>
        </is>
      </c>
      <c r="B161" s="1" t="n">
        <v>45580.47027777778</v>
      </c>
      <c r="C161" s="1" t="n">
        <v>45881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49086-2023</t>
        </is>
      </c>
      <c r="B162" s="1" t="n">
        <v>45210</v>
      </c>
      <c r="C162" s="1" t="n">
        <v>45881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18143-2023</t>
        </is>
      </c>
      <c r="B163" s="1" t="n">
        <v>45040</v>
      </c>
      <c r="C163" s="1" t="n">
        <v>45881</v>
      </c>
      <c r="D163" t="inlineStr">
        <is>
          <t>VÄSTERBOTTENS LÄN</t>
        </is>
      </c>
      <c r="E163" t="inlineStr">
        <is>
          <t>ROBERTSFORS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14421-2025</t>
        </is>
      </c>
      <c r="B164" s="1" t="n">
        <v>45741</v>
      </c>
      <c r="C164" s="1" t="n">
        <v>45881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41850-2023</t>
        </is>
      </c>
      <c r="B165" s="1" t="n">
        <v>45176</v>
      </c>
      <c r="C165" s="1" t="n">
        <v>45881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19806-2024</t>
        </is>
      </c>
      <c r="B166" s="1" t="n">
        <v>45433</v>
      </c>
      <c r="C166" s="1" t="n">
        <v>45881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4552-2025</t>
        </is>
      </c>
      <c r="B167" s="1" t="n">
        <v>45687.42112268518</v>
      </c>
      <c r="C167" s="1" t="n">
        <v>45881</v>
      </c>
      <c r="D167" t="inlineStr">
        <is>
          <t>VÄSTERBOTTENS LÄN</t>
        </is>
      </c>
      <c r="E167" t="inlineStr">
        <is>
          <t>ROBERTSFORS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38777-2023</t>
        </is>
      </c>
      <c r="B168" s="1" t="n">
        <v>45163</v>
      </c>
      <c r="C168" s="1" t="n">
        <v>45881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41767-2023</t>
        </is>
      </c>
      <c r="B169" s="1" t="n">
        <v>45176</v>
      </c>
      <c r="C169" s="1" t="n">
        <v>45881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4611-2025</t>
        </is>
      </c>
      <c r="B170" s="1" t="n">
        <v>45687</v>
      </c>
      <c r="C170" s="1" t="n">
        <v>45881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54968-2024</t>
        </is>
      </c>
      <c r="B171" s="1" t="n">
        <v>45620.4262962963</v>
      </c>
      <c r="C171" s="1" t="n">
        <v>45881</v>
      </c>
      <c r="D171" t="inlineStr">
        <is>
          <t>VÄSTERBOTTENS LÄN</t>
        </is>
      </c>
      <c r="E171" t="inlineStr">
        <is>
          <t>ROBERTSFORS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13533-2023</t>
        </is>
      </c>
      <c r="B172" s="1" t="n">
        <v>45005</v>
      </c>
      <c r="C172" s="1" t="n">
        <v>45881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58240-2023</t>
        </is>
      </c>
      <c r="B173" s="1" t="n">
        <v>45250.47113425926</v>
      </c>
      <c r="C173" s="1" t="n">
        <v>45881</v>
      </c>
      <c r="D173" t="inlineStr">
        <is>
          <t>VÄSTERBOTTENS LÄN</t>
        </is>
      </c>
      <c r="E173" t="inlineStr">
        <is>
          <t>ROBERTSFORS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33379-2021</t>
        </is>
      </c>
      <c r="B174" s="1" t="n">
        <v>44377</v>
      </c>
      <c r="C174" s="1" t="n">
        <v>45881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26894-2024</t>
        </is>
      </c>
      <c r="B175" s="1" t="n">
        <v>45470.66340277778</v>
      </c>
      <c r="C175" s="1" t="n">
        <v>45881</v>
      </c>
      <c r="D175" t="inlineStr">
        <is>
          <t>VÄSTERBOTTENS LÄN</t>
        </is>
      </c>
      <c r="E175" t="inlineStr">
        <is>
          <t>ROBERTSFORS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59032-2024</t>
        </is>
      </c>
      <c r="B176" s="1" t="n">
        <v>45636.69321759259</v>
      </c>
      <c r="C176" s="1" t="n">
        <v>45881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49308-2024</t>
        </is>
      </c>
      <c r="B177" s="1" t="n">
        <v>45595.55538194445</v>
      </c>
      <c r="C177" s="1" t="n">
        <v>45881</v>
      </c>
      <c r="D177" t="inlineStr">
        <is>
          <t>VÄSTERBOTTENS LÄN</t>
        </is>
      </c>
      <c r="E177" t="inlineStr">
        <is>
          <t>ROBERTSFORS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16921-2023</t>
        </is>
      </c>
      <c r="B178" s="1" t="n">
        <v>45029</v>
      </c>
      <c r="C178" s="1" t="n">
        <v>45881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59549-2023</t>
        </is>
      </c>
      <c r="B179" s="1" t="n">
        <v>45253</v>
      </c>
      <c r="C179" s="1" t="n">
        <v>45881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62937-2023</t>
        </is>
      </c>
      <c r="B180" s="1" t="n">
        <v>45271</v>
      </c>
      <c r="C180" s="1" t="n">
        <v>45881</v>
      </c>
      <c r="D180" t="inlineStr">
        <is>
          <t>VÄSTERBOTTENS LÄN</t>
        </is>
      </c>
      <c r="E180" t="inlineStr">
        <is>
          <t>ROBERTSFORS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4478-2023</t>
        </is>
      </c>
      <c r="B181" s="1" t="n">
        <v>44952</v>
      </c>
      <c r="C181" s="1" t="n">
        <v>45881</v>
      </c>
      <c r="D181" t="inlineStr">
        <is>
          <t>VÄSTERBOTTENS LÄN</t>
        </is>
      </c>
      <c r="E181" t="inlineStr">
        <is>
          <t>ROBERTSFORS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1625-2021</t>
        </is>
      </c>
      <c r="B182" s="1" t="n">
        <v>44209</v>
      </c>
      <c r="C182" s="1" t="n">
        <v>45881</v>
      </c>
      <c r="D182" t="inlineStr">
        <is>
          <t>VÄSTERBOTTENS LÄN</t>
        </is>
      </c>
      <c r="E182" t="inlineStr">
        <is>
          <t>ROBERTSFORS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24241-2022</t>
        </is>
      </c>
      <c r="B183" s="1" t="n">
        <v>44725</v>
      </c>
      <c r="C183" s="1" t="n">
        <v>45881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26038-2022</t>
        </is>
      </c>
      <c r="B184" s="1" t="n">
        <v>44734.58537037037</v>
      </c>
      <c r="C184" s="1" t="n">
        <v>45881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9315-2023</t>
        </is>
      </c>
      <c r="B185" s="1" t="n">
        <v>44980.68075231482</v>
      </c>
      <c r="C185" s="1" t="n">
        <v>45881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3018-2023</t>
        </is>
      </c>
      <c r="B186" s="1" t="n">
        <v>44945.92484953703</v>
      </c>
      <c r="C186" s="1" t="n">
        <v>45881</v>
      </c>
      <c r="D186" t="inlineStr">
        <is>
          <t>VÄSTERBOTTENS LÄN</t>
        </is>
      </c>
      <c r="E186" t="inlineStr">
        <is>
          <t>ROBERTSFORS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34771-2024</t>
        </is>
      </c>
      <c r="B187" s="1" t="n">
        <v>45526.62267361111</v>
      </c>
      <c r="C187" s="1" t="n">
        <v>45881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24899-2024</t>
        </is>
      </c>
      <c r="B188" s="1" t="n">
        <v>45461.58384259259</v>
      </c>
      <c r="C188" s="1" t="n">
        <v>45881</v>
      </c>
      <c r="D188" t="inlineStr">
        <is>
          <t>VÄSTERBOTTENS LÄN</t>
        </is>
      </c>
      <c r="E188" t="inlineStr">
        <is>
          <t>ROBERTSFORS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13187-2023</t>
        </is>
      </c>
      <c r="B189" s="1" t="n">
        <v>45002</v>
      </c>
      <c r="C189" s="1" t="n">
        <v>45881</v>
      </c>
      <c r="D189" t="inlineStr">
        <is>
          <t>VÄSTERBOTTENS LÄN</t>
        </is>
      </c>
      <c r="E189" t="inlineStr">
        <is>
          <t>ROBERTSFORS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24136-2023</t>
        </is>
      </c>
      <c r="B190" s="1" t="n">
        <v>45076</v>
      </c>
      <c r="C190" s="1" t="n">
        <v>45881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33438-2023</t>
        </is>
      </c>
      <c r="B191" s="1" t="n">
        <v>45129.5255787037</v>
      </c>
      <c r="C191" s="1" t="n">
        <v>45881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23647-2024</t>
        </is>
      </c>
      <c r="B192" s="1" t="n">
        <v>45454.51224537037</v>
      </c>
      <c r="C192" s="1" t="n">
        <v>45881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36449-2024</t>
        </is>
      </c>
      <c r="B193" s="1" t="n">
        <v>45537</v>
      </c>
      <c r="C193" s="1" t="n">
        <v>45881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58715-2022</t>
        </is>
      </c>
      <c r="B194" s="1" t="n">
        <v>44902.92510416666</v>
      </c>
      <c r="C194" s="1" t="n">
        <v>45881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33821-2023</t>
        </is>
      </c>
      <c r="B195" s="1" t="n">
        <v>45133</v>
      </c>
      <c r="C195" s="1" t="n">
        <v>45881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37482-2024</t>
        </is>
      </c>
      <c r="B196" s="1" t="n">
        <v>45541.33385416667</v>
      </c>
      <c r="C196" s="1" t="n">
        <v>45881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45846-2024</t>
        </is>
      </c>
      <c r="B197" s="1" t="n">
        <v>45580.31106481481</v>
      </c>
      <c r="C197" s="1" t="n">
        <v>45881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63771-2023</t>
        </is>
      </c>
      <c r="B198" s="1" t="n">
        <v>45278</v>
      </c>
      <c r="C198" s="1" t="n">
        <v>45881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49031-2024</t>
        </is>
      </c>
      <c r="B199" s="1" t="n">
        <v>45594.53015046296</v>
      </c>
      <c r="C199" s="1" t="n">
        <v>45881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49146-2022</t>
        </is>
      </c>
      <c r="B200" s="1" t="n">
        <v>44860</v>
      </c>
      <c r="C200" s="1" t="n">
        <v>45881</v>
      </c>
      <c r="D200" t="inlineStr">
        <is>
          <t>VÄSTERBOTTENS LÄN</t>
        </is>
      </c>
      <c r="E200" t="inlineStr">
        <is>
          <t>ROBERTSFORS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30341-2023</t>
        </is>
      </c>
      <c r="B201" s="1" t="n">
        <v>45111</v>
      </c>
      <c r="C201" s="1" t="n">
        <v>45881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Sveaskog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45881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31058-2024</t>
        </is>
      </c>
      <c r="B203" s="1" t="n">
        <v>45502</v>
      </c>
      <c r="C203" s="1" t="n">
        <v>45881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31059-2024</t>
        </is>
      </c>
      <c r="B204" s="1" t="n">
        <v>45502</v>
      </c>
      <c r="C204" s="1" t="n">
        <v>45881</v>
      </c>
      <c r="D204" t="inlineStr">
        <is>
          <t>VÄSTERBOTTENS LÄN</t>
        </is>
      </c>
      <c r="E204" t="inlineStr">
        <is>
          <t>ROBERTSFORS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34821-2023</t>
        </is>
      </c>
      <c r="B205" s="1" t="n">
        <v>45140</v>
      </c>
      <c r="C205" s="1" t="n">
        <v>45881</v>
      </c>
      <c r="D205" t="inlineStr">
        <is>
          <t>VÄSTERBOTTENS LÄN</t>
        </is>
      </c>
      <c r="E205" t="inlineStr">
        <is>
          <t>ROBERTSFORS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24466-2024</t>
        </is>
      </c>
      <c r="B206" s="1" t="n">
        <v>45458</v>
      </c>
      <c r="C206" s="1" t="n">
        <v>45881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24469-2024</t>
        </is>
      </c>
      <c r="B207" s="1" t="n">
        <v>45458</v>
      </c>
      <c r="C207" s="1" t="n">
        <v>45881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37901-2023</t>
        </is>
      </c>
      <c r="B208" s="1" t="n">
        <v>45160.4729050926</v>
      </c>
      <c r="C208" s="1" t="n">
        <v>45881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45927-2024</t>
        </is>
      </c>
      <c r="B209" s="1" t="n">
        <v>45580</v>
      </c>
      <c r="C209" s="1" t="n">
        <v>45881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38026-2024</t>
        </is>
      </c>
      <c r="B210" s="1" t="n">
        <v>45544</v>
      </c>
      <c r="C210" s="1" t="n">
        <v>45881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7873-2023</t>
        </is>
      </c>
      <c r="B211" s="1" t="n">
        <v>44973</v>
      </c>
      <c r="C211" s="1" t="n">
        <v>45881</v>
      </c>
      <c r="D211" t="inlineStr">
        <is>
          <t>VÄSTERBOTTENS LÄN</t>
        </is>
      </c>
      <c r="E211" t="inlineStr">
        <is>
          <t>ROBERTSFORS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9251-2025</t>
        </is>
      </c>
      <c r="B212" s="1" t="n">
        <v>45714.59408564815</v>
      </c>
      <c r="C212" s="1" t="n">
        <v>45881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35313-2023</t>
        </is>
      </c>
      <c r="B213" s="1" t="n">
        <v>45146.38486111111</v>
      </c>
      <c r="C213" s="1" t="n">
        <v>45881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19315-2025</t>
        </is>
      </c>
      <c r="B214" s="1" t="n">
        <v>45769.5737037037</v>
      </c>
      <c r="C214" s="1" t="n">
        <v>45881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57629-2023</t>
        </is>
      </c>
      <c r="B215" s="1" t="n">
        <v>45246.58361111111</v>
      </c>
      <c r="C215" s="1" t="n">
        <v>45881</v>
      </c>
      <c r="D215" t="inlineStr">
        <is>
          <t>VÄSTERBOTTENS LÄN</t>
        </is>
      </c>
      <c r="E215" t="inlineStr">
        <is>
          <t>ROBERTSFORS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15159-2025</t>
        </is>
      </c>
      <c r="B216" s="1" t="n">
        <v>45744.47206018519</v>
      </c>
      <c r="C216" s="1" t="n">
        <v>45881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52997-2024</t>
        </is>
      </c>
      <c r="B217" s="1" t="n">
        <v>45611.38657407407</v>
      </c>
      <c r="C217" s="1" t="n">
        <v>45881</v>
      </c>
      <c r="D217" t="inlineStr">
        <is>
          <t>VÄSTERBOTTENS LÄN</t>
        </is>
      </c>
      <c r="E217" t="inlineStr">
        <is>
          <t>ROBERTSFORS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43424-2024</t>
        </is>
      </c>
      <c r="B218" s="1" t="n">
        <v>45568</v>
      </c>
      <c r="C218" s="1" t="n">
        <v>45881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55469-2021</t>
        </is>
      </c>
      <c r="B219" s="1" t="n">
        <v>44475</v>
      </c>
      <c r="C219" s="1" t="n">
        <v>45881</v>
      </c>
      <c r="D219" t="inlineStr">
        <is>
          <t>VÄSTERBOTTENS LÄN</t>
        </is>
      </c>
      <c r="E219" t="inlineStr">
        <is>
          <t>ROBERTSFORS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26797-2023</t>
        </is>
      </c>
      <c r="B220" s="1" t="n">
        <v>45090</v>
      </c>
      <c r="C220" s="1" t="n">
        <v>45881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36639-2024</t>
        </is>
      </c>
      <c r="B221" s="1" t="n">
        <v>45537.59991898148</v>
      </c>
      <c r="C221" s="1" t="n">
        <v>45881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155-2025</t>
        </is>
      </c>
      <c r="B222" s="1" t="n">
        <v>45659.61873842592</v>
      </c>
      <c r="C222" s="1" t="n">
        <v>45881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30722-2024</t>
        </is>
      </c>
      <c r="B223" s="1" t="n">
        <v>45496</v>
      </c>
      <c r="C223" s="1" t="n">
        <v>45881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49292-2024</t>
        </is>
      </c>
      <c r="B224" s="1" t="n">
        <v>45595.53545138889</v>
      </c>
      <c r="C224" s="1" t="n">
        <v>45881</v>
      </c>
      <c r="D224" t="inlineStr">
        <is>
          <t>VÄSTERBOTTENS LÄN</t>
        </is>
      </c>
      <c r="E224" t="inlineStr">
        <is>
          <t>ROBERTSFORS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59256-2022</t>
        </is>
      </c>
      <c r="B225" s="1" t="n">
        <v>44904.57989583333</v>
      </c>
      <c r="C225" s="1" t="n">
        <v>45881</v>
      </c>
      <c r="D225" t="inlineStr">
        <is>
          <t>VÄSTERBOTTENS LÄN</t>
        </is>
      </c>
      <c r="E225" t="inlineStr">
        <is>
          <t>ROBERTSFORS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41271-2024</t>
        </is>
      </c>
      <c r="B226" s="1" t="n">
        <v>45559</v>
      </c>
      <c r="C226" s="1" t="n">
        <v>45881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59306-2023</t>
        </is>
      </c>
      <c r="B227" s="1" t="n">
        <v>45253.59967592593</v>
      </c>
      <c r="C227" s="1" t="n">
        <v>45881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22257-2023</t>
        </is>
      </c>
      <c r="B228" s="1" t="n">
        <v>45070</v>
      </c>
      <c r="C228" s="1" t="n">
        <v>45881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32104-2024</t>
        </is>
      </c>
      <c r="B229" s="1" t="n">
        <v>45511.4325925926</v>
      </c>
      <c r="C229" s="1" t="n">
        <v>45881</v>
      </c>
      <c r="D229" t="inlineStr">
        <is>
          <t>VÄSTERBOTTENS LÄN</t>
        </is>
      </c>
      <c r="E229" t="inlineStr">
        <is>
          <t>ROBERTSFORS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17464-2025</t>
        </is>
      </c>
      <c r="B230" s="1" t="n">
        <v>45757.45982638889</v>
      </c>
      <c r="C230" s="1" t="n">
        <v>45881</v>
      </c>
      <c r="D230" t="inlineStr">
        <is>
          <t>VÄSTERBOTTENS LÄN</t>
        </is>
      </c>
      <c r="E230" t="inlineStr">
        <is>
          <t>ROBERTSFORS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58030-2024</t>
        </is>
      </c>
      <c r="B231" s="1" t="n">
        <v>45631</v>
      </c>
      <c r="C231" s="1" t="n">
        <v>45881</v>
      </c>
      <c r="D231" t="inlineStr">
        <is>
          <t>VÄSTERBOTTENS LÄN</t>
        </is>
      </c>
      <c r="E231" t="inlineStr">
        <is>
          <t>ROBERTSFORS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57979-2021</t>
        </is>
      </c>
      <c r="B232" s="1" t="n">
        <v>44487</v>
      </c>
      <c r="C232" s="1" t="n">
        <v>45881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26791-2023</t>
        </is>
      </c>
      <c r="B233" s="1" t="n">
        <v>45090</v>
      </c>
      <c r="C233" s="1" t="n">
        <v>45881</v>
      </c>
      <c r="D233" t="inlineStr">
        <is>
          <t>VÄSTERBOTTENS LÄN</t>
        </is>
      </c>
      <c r="E233" t="inlineStr">
        <is>
          <t>ROBERTSFORS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69574-2020</t>
        </is>
      </c>
      <c r="B234" s="1" t="n">
        <v>44194</v>
      </c>
      <c r="C234" s="1" t="n">
        <v>45881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36933-2024</t>
        </is>
      </c>
      <c r="B235" s="1" t="n">
        <v>45538</v>
      </c>
      <c r="C235" s="1" t="n">
        <v>45881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60226-2024</t>
        </is>
      </c>
      <c r="B236" s="1" t="n">
        <v>45642.7152199074</v>
      </c>
      <c r="C236" s="1" t="n">
        <v>45881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59833-2022</t>
        </is>
      </c>
      <c r="B237" s="1" t="n">
        <v>44901</v>
      </c>
      <c r="C237" s="1" t="n">
        <v>45881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60738-2022</t>
        </is>
      </c>
      <c r="B238" s="1" t="n">
        <v>44913.89579861111</v>
      </c>
      <c r="C238" s="1" t="n">
        <v>45881</v>
      </c>
      <c r="D238" t="inlineStr">
        <is>
          <t>VÄSTERBOTTENS LÄN</t>
        </is>
      </c>
      <c r="E238" t="inlineStr">
        <is>
          <t>ROBERTSFORS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38494-2023</t>
        </is>
      </c>
      <c r="B239" s="1" t="n">
        <v>45162</v>
      </c>
      <c r="C239" s="1" t="n">
        <v>45881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53984-2022</t>
        </is>
      </c>
      <c r="B240" s="1" t="n">
        <v>44876</v>
      </c>
      <c r="C240" s="1" t="n">
        <v>45881</v>
      </c>
      <c r="D240" t="inlineStr">
        <is>
          <t>VÄSTERBOTTENS LÄN</t>
        </is>
      </c>
      <c r="E240" t="inlineStr">
        <is>
          <t>ROBERTSFORS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8309-2025</t>
        </is>
      </c>
      <c r="B241" s="1" t="n">
        <v>45708.60898148148</v>
      </c>
      <c r="C241" s="1" t="n">
        <v>45881</v>
      </c>
      <c r="D241" t="inlineStr">
        <is>
          <t>VÄSTERBOTTENS LÄN</t>
        </is>
      </c>
      <c r="E241" t="inlineStr">
        <is>
          <t>ROBERTSFORS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58790-2022</t>
        </is>
      </c>
      <c r="B242" s="1" t="n">
        <v>44895</v>
      </c>
      <c r="C242" s="1" t="n">
        <v>45881</v>
      </c>
      <c r="D242" t="inlineStr">
        <is>
          <t>VÄSTERBOTTENS LÄN</t>
        </is>
      </c>
      <c r="E242" t="inlineStr">
        <is>
          <t>ROBERTSFORS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38270-2023</t>
        </is>
      </c>
      <c r="B243" s="1" t="n">
        <v>45160</v>
      </c>
      <c r="C243" s="1" t="n">
        <v>45881</v>
      </c>
      <c r="D243" t="inlineStr">
        <is>
          <t>VÄSTERBOTTENS LÄN</t>
        </is>
      </c>
      <c r="E243" t="inlineStr">
        <is>
          <t>ROBERTSFORS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13026-2025</t>
        </is>
      </c>
      <c r="B244" s="1" t="n">
        <v>45734.5574537037</v>
      </c>
      <c r="C244" s="1" t="n">
        <v>45881</v>
      </c>
      <c r="D244" t="inlineStr">
        <is>
          <t>VÄSTERBOTTENS LÄN</t>
        </is>
      </c>
      <c r="E244" t="inlineStr">
        <is>
          <t>ROBERTSFORS</t>
        </is>
      </c>
      <c r="G244" t="n">
        <v>24.4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35221-2024</t>
        </is>
      </c>
      <c r="B245" s="1" t="n">
        <v>45530.50326388889</v>
      </c>
      <c r="C245" s="1" t="n">
        <v>45881</v>
      </c>
      <c r="D245" t="inlineStr">
        <is>
          <t>VÄSTERBOTTENS LÄN</t>
        </is>
      </c>
      <c r="E245" t="inlineStr">
        <is>
          <t>ROBERTSFORS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35222-2024</t>
        </is>
      </c>
      <c r="B246" s="1" t="n">
        <v>45530.50581018518</v>
      </c>
      <c r="C246" s="1" t="n">
        <v>45881</v>
      </c>
      <c r="D246" t="inlineStr">
        <is>
          <t>VÄSTERBOTTENS LÄN</t>
        </is>
      </c>
      <c r="E246" t="inlineStr">
        <is>
          <t>ROBERTSFORS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1713-2024</t>
        </is>
      </c>
      <c r="B247" s="1" t="n">
        <v>45307</v>
      </c>
      <c r="C247" s="1" t="n">
        <v>45881</v>
      </c>
      <c r="D247" t="inlineStr">
        <is>
          <t>VÄSTERBOTTENS LÄN</t>
        </is>
      </c>
      <c r="E247" t="inlineStr">
        <is>
          <t>ROBERTSFORS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5937-2025</t>
        </is>
      </c>
      <c r="B248" s="1" t="n">
        <v>45695.45655092593</v>
      </c>
      <c r="C248" s="1" t="n">
        <v>45881</v>
      </c>
      <c r="D248" t="inlineStr">
        <is>
          <t>VÄSTERBOTTENS LÄN</t>
        </is>
      </c>
      <c r="E248" t="inlineStr">
        <is>
          <t>ROBERTSFORS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16106-2025</t>
        </is>
      </c>
      <c r="B249" s="1" t="n">
        <v>45750.33010416666</v>
      </c>
      <c r="C249" s="1" t="n">
        <v>45881</v>
      </c>
      <c r="D249" t="inlineStr">
        <is>
          <t>VÄSTERBOTTENS LÄN</t>
        </is>
      </c>
      <c r="E249" t="inlineStr">
        <is>
          <t>ROBERTSFORS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39750-2023</t>
        </is>
      </c>
      <c r="B250" s="1" t="n">
        <v>45166</v>
      </c>
      <c r="C250" s="1" t="n">
        <v>45881</v>
      </c>
      <c r="D250" t="inlineStr">
        <is>
          <t>VÄSTERBOTTENS LÄN</t>
        </is>
      </c>
      <c r="E250" t="inlineStr">
        <is>
          <t>ROBERTSFORS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10188-2023</t>
        </is>
      </c>
      <c r="B251" s="1" t="n">
        <v>44980</v>
      </c>
      <c r="C251" s="1" t="n">
        <v>45881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12034-2025</t>
        </is>
      </c>
      <c r="B252" s="1" t="n">
        <v>45728.64752314815</v>
      </c>
      <c r="C252" s="1" t="n">
        <v>45881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46388-2023</t>
        </is>
      </c>
      <c r="B253" s="1" t="n">
        <v>45197.47825231482</v>
      </c>
      <c r="C253" s="1" t="n">
        <v>45881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40600-2022</t>
        </is>
      </c>
      <c r="B254" s="1" t="n">
        <v>44823</v>
      </c>
      <c r="C254" s="1" t="n">
        <v>45881</v>
      </c>
      <c r="D254" t="inlineStr">
        <is>
          <t>VÄSTERBOTTENS LÄN</t>
        </is>
      </c>
      <c r="E254" t="inlineStr">
        <is>
          <t>ROBERTSFORS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647-2025</t>
        </is>
      </c>
      <c r="B255" s="1" t="n">
        <v>45661</v>
      </c>
      <c r="C255" s="1" t="n">
        <v>45881</v>
      </c>
      <c r="D255" t="inlineStr">
        <is>
          <t>VÄSTERBOTTENS LÄN</t>
        </is>
      </c>
      <c r="E255" t="inlineStr">
        <is>
          <t>ROBERTSFORS</t>
        </is>
      </c>
      <c r="G255" t="n">
        <v>34.3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676-2025</t>
        </is>
      </c>
      <c r="B256" s="1" t="n">
        <v>45664</v>
      </c>
      <c r="C256" s="1" t="n">
        <v>45881</v>
      </c>
      <c r="D256" t="inlineStr">
        <is>
          <t>VÄSTERBOTTENS LÄN</t>
        </is>
      </c>
      <c r="E256" t="inlineStr">
        <is>
          <t>ROBERTSFORS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58604-2022</t>
        </is>
      </c>
      <c r="B257" s="1" t="n">
        <v>44894</v>
      </c>
      <c r="C257" s="1" t="n">
        <v>45881</v>
      </c>
      <c r="D257" t="inlineStr">
        <is>
          <t>VÄSTERBOTTENS LÄN</t>
        </is>
      </c>
      <c r="E257" t="inlineStr">
        <is>
          <t>ROBERTSFORS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176-2025</t>
        </is>
      </c>
      <c r="B258" s="1" t="n">
        <v>45659</v>
      </c>
      <c r="C258" s="1" t="n">
        <v>45881</v>
      </c>
      <c r="D258" t="inlineStr">
        <is>
          <t>VÄSTERBOTTENS LÄN</t>
        </is>
      </c>
      <c r="E258" t="inlineStr">
        <is>
          <t>ROBERTSFORS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45881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45881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45881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62933-2023</t>
        </is>
      </c>
      <c r="B262" s="1" t="n">
        <v>45271</v>
      </c>
      <c r="C262" s="1" t="n">
        <v>45881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54477-2023</t>
        </is>
      </c>
      <c r="B263" s="1" t="n">
        <v>45226</v>
      </c>
      <c r="C263" s="1" t="n">
        <v>45881</v>
      </c>
      <c r="D263" t="inlineStr">
        <is>
          <t>VÄSTERBOTTENS LÄN</t>
        </is>
      </c>
      <c r="E263" t="inlineStr">
        <is>
          <t>ROBERTSFORS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54484-2023</t>
        </is>
      </c>
      <c r="B264" s="1" t="n">
        <v>45233</v>
      </c>
      <c r="C264" s="1" t="n">
        <v>45881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61392-2024</t>
        </is>
      </c>
      <c r="B265" s="1" t="n">
        <v>45646.42027777778</v>
      </c>
      <c r="C265" s="1" t="n">
        <v>45881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61399-2024</t>
        </is>
      </c>
      <c r="B266" s="1" t="n">
        <v>45646.42921296296</v>
      </c>
      <c r="C266" s="1" t="n">
        <v>45881</v>
      </c>
      <c r="D266" t="inlineStr">
        <is>
          <t>VÄSTERBOTTENS LÄN</t>
        </is>
      </c>
      <c r="E266" t="inlineStr">
        <is>
          <t>ROBERTSFORS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10058-2025</t>
        </is>
      </c>
      <c r="B267" s="1" t="n">
        <v>45719.53226851852</v>
      </c>
      <c r="C267" s="1" t="n">
        <v>45881</v>
      </c>
      <c r="D267" t="inlineStr">
        <is>
          <t>VÄSTERBOTTENS LÄN</t>
        </is>
      </c>
      <c r="E267" t="inlineStr">
        <is>
          <t>ROBERTSFORS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54366-2024</t>
        </is>
      </c>
      <c r="B268" s="1" t="n">
        <v>45617</v>
      </c>
      <c r="C268" s="1" t="n">
        <v>45881</v>
      </c>
      <c r="D268" t="inlineStr">
        <is>
          <t>VÄSTERBOTTENS LÄN</t>
        </is>
      </c>
      <c r="E268" t="inlineStr">
        <is>
          <t>ROBERTSFORS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34029-2023</t>
        </is>
      </c>
      <c r="B269" s="1" t="n">
        <v>45135</v>
      </c>
      <c r="C269" s="1" t="n">
        <v>45881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45881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54344-2024</t>
        </is>
      </c>
      <c r="B271" s="1" t="n">
        <v>45617.39003472222</v>
      </c>
      <c r="C271" s="1" t="n">
        <v>45881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54395-2024</t>
        </is>
      </c>
      <c r="B272" s="1" t="n">
        <v>45617.4600462963</v>
      </c>
      <c r="C272" s="1" t="n">
        <v>45881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32876-2023</t>
        </is>
      </c>
      <c r="B273" s="1" t="n">
        <v>45124</v>
      </c>
      <c r="C273" s="1" t="n">
        <v>45881</v>
      </c>
      <c r="D273" t="inlineStr">
        <is>
          <t>VÄSTERBOTTENS LÄN</t>
        </is>
      </c>
      <c r="E273" t="inlineStr">
        <is>
          <t>ROBERTSFORS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38086-2020</t>
        </is>
      </c>
      <c r="B274" s="1" t="n">
        <v>44057</v>
      </c>
      <c r="C274" s="1" t="n">
        <v>45881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SCA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43354-2024</t>
        </is>
      </c>
      <c r="B275" s="1" t="n">
        <v>45568.56800925926</v>
      </c>
      <c r="C275" s="1" t="n">
        <v>45881</v>
      </c>
      <c r="D275" t="inlineStr">
        <is>
          <t>VÄSTERBOTTENS LÄN</t>
        </is>
      </c>
      <c r="E275" t="inlineStr">
        <is>
          <t>ROBERTSFORS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58814-2024</t>
        </is>
      </c>
      <c r="B276" s="1" t="n">
        <v>45636</v>
      </c>
      <c r="C276" s="1" t="n">
        <v>45881</v>
      </c>
      <c r="D276" t="inlineStr">
        <is>
          <t>VÄSTERBOTTENS LÄN</t>
        </is>
      </c>
      <c r="E276" t="inlineStr">
        <is>
          <t>ROBERTSFORS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52434-2023</t>
        </is>
      </c>
      <c r="B277" s="1" t="n">
        <v>45225.33805555556</v>
      </c>
      <c r="C277" s="1" t="n">
        <v>45881</v>
      </c>
      <c r="D277" t="inlineStr">
        <is>
          <t>VÄSTERBOTTENS LÄN</t>
        </is>
      </c>
      <c r="E277" t="inlineStr">
        <is>
          <t>ROBERTSFORS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58526-2023</t>
        </is>
      </c>
      <c r="B278" s="1" t="n">
        <v>45251.38590277778</v>
      </c>
      <c r="C278" s="1" t="n">
        <v>45881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1883-2025</t>
        </is>
      </c>
      <c r="B279" s="1" t="n">
        <v>45671</v>
      </c>
      <c r="C279" s="1" t="n">
        <v>45881</v>
      </c>
      <c r="D279" t="inlineStr">
        <is>
          <t>VÄSTERBOTTENS LÄN</t>
        </is>
      </c>
      <c r="E279" t="inlineStr">
        <is>
          <t>ROBERTSFORS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4227-2023</t>
        </is>
      </c>
      <c r="B280" s="1" t="n">
        <v>44953.47570601852</v>
      </c>
      <c r="C280" s="1" t="n">
        <v>45881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35787-2023</t>
        </is>
      </c>
      <c r="B281" s="1" t="n">
        <v>45148.37356481481</v>
      </c>
      <c r="C281" s="1" t="n">
        <v>45881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977-2022</t>
        </is>
      </c>
      <c r="B282" s="1" t="n">
        <v>44571</v>
      </c>
      <c r="C282" s="1" t="n">
        <v>45881</v>
      </c>
      <c r="D282" t="inlineStr">
        <is>
          <t>VÄSTERBOTTENS LÄN</t>
        </is>
      </c>
      <c r="E282" t="inlineStr">
        <is>
          <t>ROBERTSFORS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47420-2024</t>
        </is>
      </c>
      <c r="B283" s="1" t="n">
        <v>45587</v>
      </c>
      <c r="C283" s="1" t="n">
        <v>45881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16653-2023</t>
        </is>
      </c>
      <c r="B284" s="1" t="n">
        <v>45030.5209375</v>
      </c>
      <c r="C284" s="1" t="n">
        <v>45881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46842-2023</t>
        </is>
      </c>
      <c r="B285" s="1" t="n">
        <v>45199.72377314815</v>
      </c>
      <c r="C285" s="1" t="n">
        <v>45881</v>
      </c>
      <c r="D285" t="inlineStr">
        <is>
          <t>VÄSTERBOTTENS LÄN</t>
        </is>
      </c>
      <c r="E285" t="inlineStr">
        <is>
          <t>ROBERTSFORS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59051-2024</t>
        </is>
      </c>
      <c r="B286" s="1" t="n">
        <v>45636.78251157407</v>
      </c>
      <c r="C286" s="1" t="n">
        <v>45881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35497-2023</t>
        </is>
      </c>
      <c r="B287" s="1" t="n">
        <v>45146</v>
      </c>
      <c r="C287" s="1" t="n">
        <v>45881</v>
      </c>
      <c r="D287" t="inlineStr">
        <is>
          <t>VÄSTERBOTTENS LÄN</t>
        </is>
      </c>
      <c r="E287" t="inlineStr">
        <is>
          <t>ROBERTSFORS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34434-2024</t>
        </is>
      </c>
      <c r="B288" s="1" t="n">
        <v>45525.53164351852</v>
      </c>
      <c r="C288" s="1" t="n">
        <v>45881</v>
      </c>
      <c r="D288" t="inlineStr">
        <is>
          <t>VÄSTERBOTTENS LÄN</t>
        </is>
      </c>
      <c r="E288" t="inlineStr">
        <is>
          <t>ROBERTSFORS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46041-2024</t>
        </is>
      </c>
      <c r="B289" s="1" t="n">
        <v>45580.79371527778</v>
      </c>
      <c r="C289" s="1" t="n">
        <v>45881</v>
      </c>
      <c r="D289" t="inlineStr">
        <is>
          <t>VÄSTERBOTTENS LÄN</t>
        </is>
      </c>
      <c r="E289" t="inlineStr">
        <is>
          <t>ROBERTSFORS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44355.66364583333</v>
      </c>
      <c r="C290" s="1" t="n">
        <v>45881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15879-2024</t>
        </is>
      </c>
      <c r="B291" s="1" t="n">
        <v>45405</v>
      </c>
      <c r="C291" s="1" t="n">
        <v>45881</v>
      </c>
      <c r="D291" t="inlineStr">
        <is>
          <t>VÄSTERBOTTENS LÄN</t>
        </is>
      </c>
      <c r="E291" t="inlineStr">
        <is>
          <t>ROBERTSFORS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30733-2024</t>
        </is>
      </c>
      <c r="B292" s="1" t="n">
        <v>45496.62179398148</v>
      </c>
      <c r="C292" s="1" t="n">
        <v>45881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59877-2022</t>
        </is>
      </c>
      <c r="B293" s="1" t="n">
        <v>44901</v>
      </c>
      <c r="C293" s="1" t="n">
        <v>45881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13164-2024</t>
        </is>
      </c>
      <c r="B294" s="1" t="n">
        <v>45386</v>
      </c>
      <c r="C294" s="1" t="n">
        <v>45881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38480-2023</t>
        </is>
      </c>
      <c r="B295" s="1" t="n">
        <v>45162</v>
      </c>
      <c r="C295" s="1" t="n">
        <v>45881</v>
      </c>
      <c r="D295" t="inlineStr">
        <is>
          <t>VÄSTERBOTTENS LÄN</t>
        </is>
      </c>
      <c r="E295" t="inlineStr">
        <is>
          <t>ROBERTSFORS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10234-2024</t>
        </is>
      </c>
      <c r="B296" s="1" t="n">
        <v>45365.3278125</v>
      </c>
      <c r="C296" s="1" t="n">
        <v>45881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15799-2024</t>
        </is>
      </c>
      <c r="B297" s="1" t="n">
        <v>45404.63964120371</v>
      </c>
      <c r="C297" s="1" t="n">
        <v>45881</v>
      </c>
      <c r="D297" t="inlineStr">
        <is>
          <t>VÄSTERBOTTENS LÄN</t>
        </is>
      </c>
      <c r="E297" t="inlineStr">
        <is>
          <t>ROBERTSFORS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37357-2024</t>
        </is>
      </c>
      <c r="B298" s="1" t="n">
        <v>45540.54907407407</v>
      </c>
      <c r="C298" s="1" t="n">
        <v>45881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10330-2024</t>
        </is>
      </c>
      <c r="B299" s="1" t="n">
        <v>45365</v>
      </c>
      <c r="C299" s="1" t="n">
        <v>45881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52832-2024</t>
        </is>
      </c>
      <c r="B300" s="1" t="n">
        <v>45610.59431712963</v>
      </c>
      <c r="C300" s="1" t="n">
        <v>45881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15294-2023</t>
        </is>
      </c>
      <c r="B301" s="1" t="n">
        <v>45019</v>
      </c>
      <c r="C301" s="1" t="n">
        <v>45881</v>
      </c>
      <c r="D301" t="inlineStr">
        <is>
          <t>VÄSTERBOTTENS LÄN</t>
        </is>
      </c>
      <c r="E301" t="inlineStr">
        <is>
          <t>ROBERTSFORS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56703-2024</t>
        </is>
      </c>
      <c r="B302" s="1" t="n">
        <v>45627</v>
      </c>
      <c r="C302" s="1" t="n">
        <v>45881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10334-2023</t>
        </is>
      </c>
      <c r="B303" s="1" t="n">
        <v>44980</v>
      </c>
      <c r="C303" s="1" t="n">
        <v>45881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52834-2024</t>
        </is>
      </c>
      <c r="B304" s="1" t="n">
        <v>45610.59465277778</v>
      </c>
      <c r="C304" s="1" t="n">
        <v>45881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43946-2024</t>
        </is>
      </c>
      <c r="B305" s="1" t="n">
        <v>45572</v>
      </c>
      <c r="C305" s="1" t="n">
        <v>45881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3222-2025</t>
        </is>
      </c>
      <c r="B306" s="1" t="n">
        <v>45679</v>
      </c>
      <c r="C306" s="1" t="n">
        <v>45881</v>
      </c>
      <c r="D306" t="inlineStr">
        <is>
          <t>VÄSTERBOTTENS LÄN</t>
        </is>
      </c>
      <c r="E306" t="inlineStr">
        <is>
          <t>ROBERTSFORS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47329-2024</t>
        </is>
      </c>
      <c r="B307" s="1" t="n">
        <v>45587.38643518519</v>
      </c>
      <c r="C307" s="1" t="n">
        <v>45881</v>
      </c>
      <c r="D307" t="inlineStr">
        <is>
          <t>VÄSTERBOTTENS LÄN</t>
        </is>
      </c>
      <c r="E307" t="inlineStr">
        <is>
          <t>ROBERTSFORS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38949-2024</t>
        </is>
      </c>
      <c r="B308" s="1" t="n">
        <v>45548</v>
      </c>
      <c r="C308" s="1" t="n">
        <v>45881</v>
      </c>
      <c r="D308" t="inlineStr">
        <is>
          <t>VÄSTERBOTTENS LÄN</t>
        </is>
      </c>
      <c r="E308" t="inlineStr">
        <is>
          <t>ROBERTSFORS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19378-2023</t>
        </is>
      </c>
      <c r="B309" s="1" t="n">
        <v>45049</v>
      </c>
      <c r="C309" s="1" t="n">
        <v>45881</v>
      </c>
      <c r="D309" t="inlineStr">
        <is>
          <t>VÄSTERBOTTENS LÄN</t>
        </is>
      </c>
      <c r="E309" t="inlineStr">
        <is>
          <t>ROBERTSFORS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46713-2020</t>
        </is>
      </c>
      <c r="B310" s="1" t="n">
        <v>44089</v>
      </c>
      <c r="C310" s="1" t="n">
        <v>45881</v>
      </c>
      <c r="D310" t="inlineStr">
        <is>
          <t>VÄSTERBOTTENS LÄN</t>
        </is>
      </c>
      <c r="E310" t="inlineStr">
        <is>
          <t>ROBERTSFORS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15484-2023</t>
        </is>
      </c>
      <c r="B311" s="1" t="n">
        <v>45020</v>
      </c>
      <c r="C311" s="1" t="n">
        <v>45881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25575-2022</t>
        </is>
      </c>
      <c r="B312" s="1" t="n">
        <v>44732</v>
      </c>
      <c r="C312" s="1" t="n">
        <v>45881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22656-2024</t>
        </is>
      </c>
      <c r="B313" s="1" t="n">
        <v>45447</v>
      </c>
      <c r="C313" s="1" t="n">
        <v>45881</v>
      </c>
      <c r="D313" t="inlineStr">
        <is>
          <t>VÄSTERBOTTENS LÄN</t>
        </is>
      </c>
      <c r="E313" t="inlineStr">
        <is>
          <t>ROBERTSFORS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54365-2024</t>
        </is>
      </c>
      <c r="B314" s="1" t="n">
        <v>45617.41984953704</v>
      </c>
      <c r="C314" s="1" t="n">
        <v>45881</v>
      </c>
      <c r="D314" t="inlineStr">
        <is>
          <t>VÄSTERBOTTENS LÄN</t>
        </is>
      </c>
      <c r="E314" t="inlineStr">
        <is>
          <t>ROBERTSFORS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50187-2023</t>
        </is>
      </c>
      <c r="B315" s="1" t="n">
        <v>45215.78850694445</v>
      </c>
      <c r="C315" s="1" t="n">
        <v>45881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28906-2024</t>
        </is>
      </c>
      <c r="B316" s="1" t="n">
        <v>45480.57652777778</v>
      </c>
      <c r="C316" s="1" t="n">
        <v>45881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25569-2023</t>
        </is>
      </c>
      <c r="B317" s="1" t="n">
        <v>45089</v>
      </c>
      <c r="C317" s="1" t="n">
        <v>45881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34844-2023</t>
        </is>
      </c>
      <c r="B318" s="1" t="n">
        <v>45141.93166666666</v>
      </c>
      <c r="C318" s="1" t="n">
        <v>45881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64625-2023</t>
        </is>
      </c>
      <c r="B319" s="1" t="n">
        <v>45281.53866898148</v>
      </c>
      <c r="C319" s="1" t="n">
        <v>45881</v>
      </c>
      <c r="D319" t="inlineStr">
        <is>
          <t>VÄSTERBOTTENS LÄN</t>
        </is>
      </c>
      <c r="E319" t="inlineStr">
        <is>
          <t>ROBERTSFORS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4618-2025</t>
        </is>
      </c>
      <c r="B320" s="1" t="n">
        <v>45687.60042824074</v>
      </c>
      <c r="C320" s="1" t="n">
        <v>45881</v>
      </c>
      <c r="D320" t="inlineStr">
        <is>
          <t>VÄSTERBOTTENS LÄN</t>
        </is>
      </c>
      <c r="E320" t="inlineStr">
        <is>
          <t>ROBERTSFORS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26372-2024</t>
        </is>
      </c>
      <c r="B321" s="1" t="n">
        <v>45468</v>
      </c>
      <c r="C321" s="1" t="n">
        <v>45881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27852-2024</t>
        </is>
      </c>
      <c r="B322" s="1" t="n">
        <v>45475</v>
      </c>
      <c r="C322" s="1" t="n">
        <v>45881</v>
      </c>
      <c r="D322" t="inlineStr">
        <is>
          <t>VÄSTERBOTTENS LÄN</t>
        </is>
      </c>
      <c r="E322" t="inlineStr">
        <is>
          <t>ROBERTSFORS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46156-2024</t>
        </is>
      </c>
      <c r="B323" s="1" t="n">
        <v>45581.45914351852</v>
      </c>
      <c r="C323" s="1" t="n">
        <v>45881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50046-2024</t>
        </is>
      </c>
      <c r="B324" s="1" t="n">
        <v>45600.31105324074</v>
      </c>
      <c r="C324" s="1" t="n">
        <v>45881</v>
      </c>
      <c r="D324" t="inlineStr">
        <is>
          <t>VÄSTERBOTTENS LÄN</t>
        </is>
      </c>
      <c r="E324" t="inlineStr">
        <is>
          <t>ROBERTSFORS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53432-2024</t>
        </is>
      </c>
      <c r="B325" s="1" t="n">
        <v>45614.52643518519</v>
      </c>
      <c r="C325" s="1" t="n">
        <v>45881</v>
      </c>
      <c r="D325" t="inlineStr">
        <is>
          <t>VÄSTERBOTTENS LÄN</t>
        </is>
      </c>
      <c r="E325" t="inlineStr">
        <is>
          <t>ROBERTSFORS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52833-2024</t>
        </is>
      </c>
      <c r="B326" s="1" t="n">
        <v>45610.59439814815</v>
      </c>
      <c r="C326" s="1" t="n">
        <v>45881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40633-2023</t>
        </is>
      </c>
      <c r="B327" s="1" t="n">
        <v>45170</v>
      </c>
      <c r="C327" s="1" t="n">
        <v>45881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43547-2023</t>
        </is>
      </c>
      <c r="B328" s="1" t="n">
        <v>45184.56421296296</v>
      </c>
      <c r="C328" s="1" t="n">
        <v>45881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58565-2023</t>
        </is>
      </c>
      <c r="B329" s="1" t="n">
        <v>45246</v>
      </c>
      <c r="C329" s="1" t="n">
        <v>45881</v>
      </c>
      <c r="D329" t="inlineStr">
        <is>
          <t>VÄSTERBOTTENS LÄN</t>
        </is>
      </c>
      <c r="E329" t="inlineStr">
        <is>
          <t>ROBERTSFORS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41269-2024</t>
        </is>
      </c>
      <c r="B330" s="1" t="n">
        <v>45559</v>
      </c>
      <c r="C330" s="1" t="n">
        <v>45881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6535-2025</t>
        </is>
      </c>
      <c r="B331" s="1" t="n">
        <v>45699.67743055556</v>
      </c>
      <c r="C331" s="1" t="n">
        <v>45881</v>
      </c>
      <c r="D331" t="inlineStr">
        <is>
          <t>VÄSTERBOTTENS LÄN</t>
        </is>
      </c>
      <c r="E331" t="inlineStr">
        <is>
          <t>ROBERTSFORS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14176-2023</t>
        </is>
      </c>
      <c r="B332" s="1" t="n">
        <v>45009</v>
      </c>
      <c r="C332" s="1" t="n">
        <v>45881</v>
      </c>
      <c r="D332" t="inlineStr">
        <is>
          <t>VÄSTERBOTTENS LÄN</t>
        </is>
      </c>
      <c r="E332" t="inlineStr">
        <is>
          <t>ROBERTSFORS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8686-2025</t>
        </is>
      </c>
      <c r="B333" s="1" t="n">
        <v>45712.45840277777</v>
      </c>
      <c r="C333" s="1" t="n">
        <v>45881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36703-2023</t>
        </is>
      </c>
      <c r="B334" s="1" t="n">
        <v>45153</v>
      </c>
      <c r="C334" s="1" t="n">
        <v>45881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36139-2023</t>
        </is>
      </c>
      <c r="B335" s="1" t="n">
        <v>45149.5874537037</v>
      </c>
      <c r="C335" s="1" t="n">
        <v>45881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58624-2023</t>
        </is>
      </c>
      <c r="B336" s="1" t="n">
        <v>45251</v>
      </c>
      <c r="C336" s="1" t="n">
        <v>45881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41299-2024</t>
        </is>
      </c>
      <c r="B337" s="1" t="n">
        <v>45559.61635416667</v>
      </c>
      <c r="C337" s="1" t="n">
        <v>45881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51873-2024</t>
        </is>
      </c>
      <c r="B338" s="1" t="n">
        <v>45607</v>
      </c>
      <c r="C338" s="1" t="n">
        <v>45881</v>
      </c>
      <c r="D338" t="inlineStr">
        <is>
          <t>VÄSTERBOTTENS LÄN</t>
        </is>
      </c>
      <c r="E338" t="inlineStr">
        <is>
          <t>ROBERTSFORS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57653-2024</t>
        </is>
      </c>
      <c r="B339" s="1" t="n">
        <v>45630</v>
      </c>
      <c r="C339" s="1" t="n">
        <v>45881</v>
      </c>
      <c r="D339" t="inlineStr">
        <is>
          <t>VÄSTERBOTTENS LÄN</t>
        </is>
      </c>
      <c r="E339" t="inlineStr">
        <is>
          <t>ROBERTSFORS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27586-2024</t>
        </is>
      </c>
      <c r="B340" s="1" t="n">
        <v>45474.66497685185</v>
      </c>
      <c r="C340" s="1" t="n">
        <v>45881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38120-2024</t>
        </is>
      </c>
      <c r="B341" s="1" t="n">
        <v>45545.40222222222</v>
      </c>
      <c r="C341" s="1" t="n">
        <v>45881</v>
      </c>
      <c r="D341" t="inlineStr">
        <is>
          <t>VÄSTERBOTTENS LÄN</t>
        </is>
      </c>
      <c r="E341" t="inlineStr">
        <is>
          <t>ROBERTSFORS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60510-2022</t>
        </is>
      </c>
      <c r="B342" s="1" t="n">
        <v>44911</v>
      </c>
      <c r="C342" s="1" t="n">
        <v>45881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1691-2025</t>
        </is>
      </c>
      <c r="B343" s="1" t="n">
        <v>45670</v>
      </c>
      <c r="C343" s="1" t="n">
        <v>45881</v>
      </c>
      <c r="D343" t="inlineStr">
        <is>
          <t>VÄSTERBOTTENS LÄN</t>
        </is>
      </c>
      <c r="E343" t="inlineStr">
        <is>
          <t>ROBERTSFORS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1693-2025</t>
        </is>
      </c>
      <c r="B344" s="1" t="n">
        <v>45670</v>
      </c>
      <c r="C344" s="1" t="n">
        <v>45881</v>
      </c>
      <c r="D344" t="inlineStr">
        <is>
          <t>VÄSTERBOTTENS LÄN</t>
        </is>
      </c>
      <c r="E344" t="inlineStr">
        <is>
          <t>ROBERTSFORS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58679-2024</t>
        </is>
      </c>
      <c r="B345" s="1" t="n">
        <v>45635.61375</v>
      </c>
      <c r="C345" s="1" t="n">
        <v>45881</v>
      </c>
      <c r="D345" t="inlineStr">
        <is>
          <t>VÄSTERBOTTENS LÄN</t>
        </is>
      </c>
      <c r="E345" t="inlineStr">
        <is>
          <t>ROBERTSFORS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57646-2023</t>
        </is>
      </c>
      <c r="B346" s="1" t="n">
        <v>45246.59564814815</v>
      </c>
      <c r="C346" s="1" t="n">
        <v>45881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1814-2025</t>
        </is>
      </c>
      <c r="B347" s="1" t="n">
        <v>45671</v>
      </c>
      <c r="C347" s="1" t="n">
        <v>45881</v>
      </c>
      <c r="D347" t="inlineStr">
        <is>
          <t>VÄSTERBOTTENS LÄN</t>
        </is>
      </c>
      <c r="E347" t="inlineStr">
        <is>
          <t>ROBERTSFORS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56724-2024</t>
        </is>
      </c>
      <c r="B348" s="1" t="n">
        <v>45628</v>
      </c>
      <c r="C348" s="1" t="n">
        <v>45881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61380-2024</t>
        </is>
      </c>
      <c r="B349" s="1" t="n">
        <v>45646.40557870371</v>
      </c>
      <c r="C349" s="1" t="n">
        <v>45881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24468-2024</t>
        </is>
      </c>
      <c r="B350" s="1" t="n">
        <v>45458</v>
      </c>
      <c r="C350" s="1" t="n">
        <v>45881</v>
      </c>
      <c r="D350" t="inlineStr">
        <is>
          <t>VÄSTERBOTTENS LÄN</t>
        </is>
      </c>
      <c r="E350" t="inlineStr">
        <is>
          <t>ROBERTSFORS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5689-2023</t>
        </is>
      </c>
      <c r="B351" s="1" t="n">
        <v>44960</v>
      </c>
      <c r="C351" s="1" t="n">
        <v>45881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5690-2023</t>
        </is>
      </c>
      <c r="B352" s="1" t="n">
        <v>44960</v>
      </c>
      <c r="C352" s="1" t="n">
        <v>45881</v>
      </c>
      <c r="D352" t="inlineStr">
        <is>
          <t>VÄSTERBOTTENS LÄN</t>
        </is>
      </c>
      <c r="E352" t="inlineStr">
        <is>
          <t>ROBERTSFORS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5691-2023</t>
        </is>
      </c>
      <c r="B353" s="1" t="n">
        <v>44960</v>
      </c>
      <c r="C353" s="1" t="n">
        <v>45881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59211-2023</t>
        </is>
      </c>
      <c r="B354" s="1" t="n">
        <v>45251</v>
      </c>
      <c r="C354" s="1" t="n">
        <v>45881</v>
      </c>
      <c r="D354" t="inlineStr">
        <is>
          <t>VÄSTERBOTTENS LÄN</t>
        </is>
      </c>
      <c r="E354" t="inlineStr">
        <is>
          <t>ROBERTSFORS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61406-2024</t>
        </is>
      </c>
      <c r="B355" s="1" t="n">
        <v>45646.43638888889</v>
      </c>
      <c r="C355" s="1" t="n">
        <v>45881</v>
      </c>
      <c r="D355" t="inlineStr">
        <is>
          <t>VÄSTERBOTTENS LÄN</t>
        </is>
      </c>
      <c r="E355" t="inlineStr">
        <is>
          <t>ROBERTSFORS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73557-2021</t>
        </is>
      </c>
      <c r="B356" s="1" t="n">
        <v>44551.9203125</v>
      </c>
      <c r="C356" s="1" t="n">
        <v>45881</v>
      </c>
      <c r="D356" t="inlineStr">
        <is>
          <t>VÄSTERBOTTENS LÄN</t>
        </is>
      </c>
      <c r="E356" t="inlineStr">
        <is>
          <t>ROBERTSFORS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17479-2024</t>
        </is>
      </c>
      <c r="B357" s="1" t="n">
        <v>45415</v>
      </c>
      <c r="C357" s="1" t="n">
        <v>45881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29622-2024</t>
        </is>
      </c>
      <c r="B358" s="1" t="n">
        <v>45484.65622685185</v>
      </c>
      <c r="C358" s="1" t="n">
        <v>45881</v>
      </c>
      <c r="D358" t="inlineStr">
        <is>
          <t>VÄSTERBOTTENS LÄN</t>
        </is>
      </c>
      <c r="E358" t="inlineStr">
        <is>
          <t>ROBERTSFORS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24295-2023</t>
        </is>
      </c>
      <c r="B359" s="1" t="n">
        <v>45079</v>
      </c>
      <c r="C359" s="1" t="n">
        <v>45881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42494-2024</t>
        </is>
      </c>
      <c r="B360" s="1" t="n">
        <v>45565.49755787037</v>
      </c>
      <c r="C360" s="1" t="n">
        <v>45881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15528-2023</t>
        </is>
      </c>
      <c r="B361" s="1" t="n">
        <v>45020</v>
      </c>
      <c r="C361" s="1" t="n">
        <v>45881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4016-2023</t>
        </is>
      </c>
      <c r="B362" s="1" t="n">
        <v>44952.54068287037</v>
      </c>
      <c r="C362" s="1" t="n">
        <v>45881</v>
      </c>
      <c r="D362" t="inlineStr">
        <is>
          <t>VÄSTERBOTTENS LÄN</t>
        </is>
      </c>
      <c r="E362" t="inlineStr">
        <is>
          <t>ROBERTSFORS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20744-2025</t>
        </is>
      </c>
      <c r="B363" s="1" t="n">
        <v>45776.55534722222</v>
      </c>
      <c r="C363" s="1" t="n">
        <v>45881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20751-2025</t>
        </is>
      </c>
      <c r="B364" s="1" t="n">
        <v>45776</v>
      </c>
      <c r="C364" s="1" t="n">
        <v>45881</v>
      </c>
      <c r="D364" t="inlineStr">
        <is>
          <t>VÄSTERBOTTENS LÄN</t>
        </is>
      </c>
      <c r="E364" t="inlineStr">
        <is>
          <t>ROBERTSFORS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24106-2024</t>
        </is>
      </c>
      <c r="B365" s="1" t="n">
        <v>45456</v>
      </c>
      <c r="C365" s="1" t="n">
        <v>45881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60570-2024</t>
        </is>
      </c>
      <c r="B366" s="1" t="n">
        <v>45644.32280092593</v>
      </c>
      <c r="C366" s="1" t="n">
        <v>45881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57008-2024</t>
        </is>
      </c>
      <c r="B367" s="1" t="n">
        <v>45628</v>
      </c>
      <c r="C367" s="1" t="n">
        <v>45881</v>
      </c>
      <c r="D367" t="inlineStr">
        <is>
          <t>VÄSTERBOTTENS LÄN</t>
        </is>
      </c>
      <c r="E367" t="inlineStr">
        <is>
          <t>ROBERTSFORS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20802-2025</t>
        </is>
      </c>
      <c r="B368" s="1" t="n">
        <v>45776</v>
      </c>
      <c r="C368" s="1" t="n">
        <v>45881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38083-2023</t>
        </is>
      </c>
      <c r="B369" s="1" t="n">
        <v>45160</v>
      </c>
      <c r="C369" s="1" t="n">
        <v>45881</v>
      </c>
      <c r="D369" t="inlineStr">
        <is>
          <t>VÄSTERBOTTENS LÄN</t>
        </is>
      </c>
      <c r="E369" t="inlineStr">
        <is>
          <t>ROBERTSFORS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35149-2023</t>
        </is>
      </c>
      <c r="B370" s="1" t="n">
        <v>45145.55239583334</v>
      </c>
      <c r="C370" s="1" t="n">
        <v>45881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8753-2025</t>
        </is>
      </c>
      <c r="B371" s="1" t="n">
        <v>45712</v>
      </c>
      <c r="C371" s="1" t="n">
        <v>45881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Kommuner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38352-2023</t>
        </is>
      </c>
      <c r="B372" s="1" t="n">
        <v>45161</v>
      </c>
      <c r="C372" s="1" t="n">
        <v>45881</v>
      </c>
      <c r="D372" t="inlineStr">
        <is>
          <t>VÄSTERBOTTENS LÄN</t>
        </is>
      </c>
      <c r="E372" t="inlineStr">
        <is>
          <t>ROBERTSFORS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18533-2023</t>
        </is>
      </c>
      <c r="B373" s="1" t="n">
        <v>45041</v>
      </c>
      <c r="C373" s="1" t="n">
        <v>45881</v>
      </c>
      <c r="D373" t="inlineStr">
        <is>
          <t>VÄSTERBOTTENS LÄN</t>
        </is>
      </c>
      <c r="E373" t="inlineStr">
        <is>
          <t>ROBERTSFORS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58579-2023</t>
        </is>
      </c>
      <c r="B374" s="1" t="n">
        <v>45246</v>
      </c>
      <c r="C374" s="1" t="n">
        <v>45881</v>
      </c>
      <c r="D374" t="inlineStr">
        <is>
          <t>VÄSTERBOTTENS LÄN</t>
        </is>
      </c>
      <c r="E374" t="inlineStr">
        <is>
          <t>ROBERTSFORS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65771-2021</t>
        </is>
      </c>
      <c r="B375" s="1" t="n">
        <v>44516</v>
      </c>
      <c r="C375" s="1" t="n">
        <v>45881</v>
      </c>
      <c r="D375" t="inlineStr">
        <is>
          <t>VÄSTERBOTTENS LÄN</t>
        </is>
      </c>
      <c r="E375" t="inlineStr">
        <is>
          <t>ROBERTSFORS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26788-2023</t>
        </is>
      </c>
      <c r="B376" s="1" t="n">
        <v>45090</v>
      </c>
      <c r="C376" s="1" t="n">
        <v>45881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1117-2024</t>
        </is>
      </c>
      <c r="B377" s="1" t="n">
        <v>45302.43986111111</v>
      </c>
      <c r="C377" s="1" t="n">
        <v>45881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48259-2023</t>
        </is>
      </c>
      <c r="B378" s="1" t="n">
        <v>45205.53640046297</v>
      </c>
      <c r="C378" s="1" t="n">
        <v>45881</v>
      </c>
      <c r="D378" t="inlineStr">
        <is>
          <t>VÄSTERBOTTENS LÄN</t>
        </is>
      </c>
      <c r="E378" t="inlineStr">
        <is>
          <t>ROBERTSFORS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46663-2024</t>
        </is>
      </c>
      <c r="B379" s="1" t="n">
        <v>45583.3650462963</v>
      </c>
      <c r="C379" s="1" t="n">
        <v>45881</v>
      </c>
      <c r="D379" t="inlineStr">
        <is>
          <t>VÄSTERBOTTENS LÄN</t>
        </is>
      </c>
      <c r="E379" t="inlineStr">
        <is>
          <t>ROBERTSFORS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58582-2023</t>
        </is>
      </c>
      <c r="B380" s="1" t="n">
        <v>45246</v>
      </c>
      <c r="C380" s="1" t="n">
        <v>45881</v>
      </c>
      <c r="D380" t="inlineStr">
        <is>
          <t>VÄSTERBOTTENS LÄN</t>
        </is>
      </c>
      <c r="E380" t="inlineStr">
        <is>
          <t>ROBERTSFORS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21397-2025</t>
        </is>
      </c>
      <c r="B381" s="1" t="n">
        <v>45782.48233796296</v>
      </c>
      <c r="C381" s="1" t="n">
        <v>45881</v>
      </c>
      <c r="D381" t="inlineStr">
        <is>
          <t>VÄSTERBOTTENS LÄN</t>
        </is>
      </c>
      <c r="E381" t="inlineStr">
        <is>
          <t>ROBERTSFORS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21148-2025</t>
        </is>
      </c>
      <c r="B382" s="1" t="n">
        <v>45779.34300925926</v>
      </c>
      <c r="C382" s="1" t="n">
        <v>45881</v>
      </c>
      <c r="D382" t="inlineStr">
        <is>
          <t>VÄSTERBOTTENS LÄN</t>
        </is>
      </c>
      <c r="E382" t="inlineStr">
        <is>
          <t>ROBERTSFORS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57270-2023</t>
        </is>
      </c>
      <c r="B383" s="1" t="n">
        <v>45245</v>
      </c>
      <c r="C383" s="1" t="n">
        <v>45881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21145-2025</t>
        </is>
      </c>
      <c r="B384" s="1" t="n">
        <v>45779.33771990741</v>
      </c>
      <c r="C384" s="1" t="n">
        <v>45881</v>
      </c>
      <c r="D384" t="inlineStr">
        <is>
          <t>VÄSTERBOTTENS LÄN</t>
        </is>
      </c>
      <c r="E384" t="inlineStr">
        <is>
          <t>ROBERTSFORS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15888-2024</t>
        </is>
      </c>
      <c r="B385" s="1" t="n">
        <v>45405</v>
      </c>
      <c r="C385" s="1" t="n">
        <v>45881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21143-2025</t>
        </is>
      </c>
      <c r="B386" s="1" t="n">
        <v>45779</v>
      </c>
      <c r="C386" s="1" t="n">
        <v>45881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21144-2025</t>
        </is>
      </c>
      <c r="B387" s="1" t="n">
        <v>45779.33128472222</v>
      </c>
      <c r="C387" s="1" t="n">
        <v>45881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13529-2023</t>
        </is>
      </c>
      <c r="B388" s="1" t="n">
        <v>45005</v>
      </c>
      <c r="C388" s="1" t="n">
        <v>45881</v>
      </c>
      <c r="D388" t="inlineStr">
        <is>
          <t>VÄSTERBOTTENS LÄN</t>
        </is>
      </c>
      <c r="E388" t="inlineStr">
        <is>
          <t>ROBERTSFORS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21732-2025</t>
        </is>
      </c>
      <c r="B389" s="1" t="n">
        <v>45783.58565972222</v>
      </c>
      <c r="C389" s="1" t="n">
        <v>45881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9369-2025</t>
        </is>
      </c>
      <c r="B390" s="1" t="n">
        <v>45715.32680555555</v>
      </c>
      <c r="C390" s="1" t="n">
        <v>45881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5902-2024</t>
        </is>
      </c>
      <c r="B391" s="1" t="n">
        <v>45335</v>
      </c>
      <c r="C391" s="1" t="n">
        <v>45881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156-2025</t>
        </is>
      </c>
      <c r="B392" s="1" t="n">
        <v>45659</v>
      </c>
      <c r="C392" s="1" t="n">
        <v>45881</v>
      </c>
      <c r="D392" t="inlineStr">
        <is>
          <t>VÄSTERBOTTENS LÄN</t>
        </is>
      </c>
      <c r="E392" t="inlineStr">
        <is>
          <t>ROBERTSFORS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175-2025</t>
        </is>
      </c>
      <c r="B393" s="1" t="n">
        <v>45659</v>
      </c>
      <c r="C393" s="1" t="n">
        <v>45881</v>
      </c>
      <c r="D393" t="inlineStr">
        <is>
          <t>VÄSTERBOTTENS LÄN</t>
        </is>
      </c>
      <c r="E393" t="inlineStr">
        <is>
          <t>ROBERTSFORS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25572-2023</t>
        </is>
      </c>
      <c r="B394" s="1" t="n">
        <v>45082</v>
      </c>
      <c r="C394" s="1" t="n">
        <v>45881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1311-2025</t>
        </is>
      </c>
      <c r="B395" s="1" t="n">
        <v>45667</v>
      </c>
      <c r="C395" s="1" t="n">
        <v>45881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8681-2025</t>
        </is>
      </c>
      <c r="B396" s="1" t="n">
        <v>45712.44364583334</v>
      </c>
      <c r="C396" s="1" t="n">
        <v>45881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23579-2024</t>
        </is>
      </c>
      <c r="B397" s="1" t="n">
        <v>45454</v>
      </c>
      <c r="C397" s="1" t="n">
        <v>45881</v>
      </c>
      <c r="D397" t="inlineStr">
        <is>
          <t>VÄSTERBOTTENS LÄN</t>
        </is>
      </c>
      <c r="E397" t="inlineStr">
        <is>
          <t>ROBERTSFORS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32434-2024</t>
        </is>
      </c>
      <c r="B398" s="1" t="n">
        <v>45512.92891203704</v>
      </c>
      <c r="C398" s="1" t="n">
        <v>45881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61386-2024</t>
        </is>
      </c>
      <c r="B399" s="1" t="n">
        <v>45646.41387731482</v>
      </c>
      <c r="C399" s="1" t="n">
        <v>45881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3042-2025</t>
        </is>
      </c>
      <c r="B400" s="1" t="n">
        <v>45678</v>
      </c>
      <c r="C400" s="1" t="n">
        <v>45881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19724-2023</t>
        </is>
      </c>
      <c r="B401" s="1" t="n">
        <v>45051</v>
      </c>
      <c r="C401" s="1" t="n">
        <v>45881</v>
      </c>
      <c r="D401" t="inlineStr">
        <is>
          <t>VÄSTERBOTTENS LÄN</t>
        </is>
      </c>
      <c r="E401" t="inlineStr">
        <is>
          <t>ROBERTSFORS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41962-2023</t>
        </is>
      </c>
      <c r="B402" s="1" t="n">
        <v>45177</v>
      </c>
      <c r="C402" s="1" t="n">
        <v>45881</v>
      </c>
      <c r="D402" t="inlineStr">
        <is>
          <t>VÄSTERBOTTENS LÄN</t>
        </is>
      </c>
      <c r="E402" t="inlineStr">
        <is>
          <t>ROBERTSFORS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52650-2024</t>
        </is>
      </c>
      <c r="B403" s="1" t="n">
        <v>45610.34976851852</v>
      </c>
      <c r="C403" s="1" t="n">
        <v>45881</v>
      </c>
      <c r="D403" t="inlineStr">
        <is>
          <t>VÄSTERBOTTENS LÄN</t>
        </is>
      </c>
      <c r="E403" t="inlineStr">
        <is>
          <t>ROBERTSFORS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43095-2023</t>
        </is>
      </c>
      <c r="B404" s="1" t="n">
        <v>45182</v>
      </c>
      <c r="C404" s="1" t="n">
        <v>45881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25904-2022</t>
        </is>
      </c>
      <c r="B405" s="1" t="n">
        <v>44733.92600694444</v>
      </c>
      <c r="C405" s="1" t="n">
        <v>45881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22032-2025</t>
        </is>
      </c>
      <c r="B406" s="1" t="n">
        <v>45784</v>
      </c>
      <c r="C406" s="1" t="n">
        <v>45881</v>
      </c>
      <c r="D406" t="inlineStr">
        <is>
          <t>VÄSTERBOTTENS LÄN</t>
        </is>
      </c>
      <c r="E406" t="inlineStr">
        <is>
          <t>ROBERTSFORS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22092-2025</t>
        </is>
      </c>
      <c r="B407" s="1" t="n">
        <v>45785.45925925926</v>
      </c>
      <c r="C407" s="1" t="n">
        <v>45881</v>
      </c>
      <c r="D407" t="inlineStr">
        <is>
          <t>VÄSTERBOTTENS LÄN</t>
        </is>
      </c>
      <c r="E407" t="inlineStr">
        <is>
          <t>ROBERTSFORS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22154-2025</t>
        </is>
      </c>
      <c r="B408" s="1" t="n">
        <v>45785.57237268519</v>
      </c>
      <c r="C408" s="1" t="n">
        <v>45881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645-2025</t>
        </is>
      </c>
      <c r="B409" s="1" t="n">
        <v>45661</v>
      </c>
      <c r="C409" s="1" t="n">
        <v>45881</v>
      </c>
      <c r="D409" t="inlineStr">
        <is>
          <t>VÄSTERBOTTENS LÄN</t>
        </is>
      </c>
      <c r="E409" t="inlineStr">
        <is>
          <t>ROBERTSFORS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674-2025</t>
        </is>
      </c>
      <c r="B410" s="1" t="n">
        <v>45664</v>
      </c>
      <c r="C410" s="1" t="n">
        <v>45881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44651-2023</t>
        </is>
      </c>
      <c r="B411" s="1" t="n">
        <v>45184</v>
      </c>
      <c r="C411" s="1" t="n">
        <v>45881</v>
      </c>
      <c r="D411" t="inlineStr">
        <is>
          <t>VÄSTERBOTTENS LÄN</t>
        </is>
      </c>
      <c r="E411" t="inlineStr">
        <is>
          <t>ROBERTSFORS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58712-2024</t>
        </is>
      </c>
      <c r="B412" s="1" t="n">
        <v>45635</v>
      </c>
      <c r="C412" s="1" t="n">
        <v>45881</v>
      </c>
      <c r="D412" t="inlineStr">
        <is>
          <t>VÄSTERBOTTENS LÄN</t>
        </is>
      </c>
      <c r="E412" t="inlineStr">
        <is>
          <t>ROBERTSFORS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16994-2023</t>
        </is>
      </c>
      <c r="B413" s="1" t="n">
        <v>45033</v>
      </c>
      <c r="C413" s="1" t="n">
        <v>45881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16995-2023</t>
        </is>
      </c>
      <c r="B414" s="1" t="n">
        <v>45033.92592592593</v>
      </c>
      <c r="C414" s="1" t="n">
        <v>45881</v>
      </c>
      <c r="D414" t="inlineStr">
        <is>
          <t>VÄSTERBOTTENS LÄN</t>
        </is>
      </c>
      <c r="E414" t="inlineStr">
        <is>
          <t>ROBERTSFORS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54144-2020</t>
        </is>
      </c>
      <c r="B415" s="1" t="n">
        <v>44123</v>
      </c>
      <c r="C415" s="1" t="n">
        <v>45881</v>
      </c>
      <c r="D415" t="inlineStr">
        <is>
          <t>VÄSTERBOTTENS LÄN</t>
        </is>
      </c>
      <c r="E415" t="inlineStr">
        <is>
          <t>ROBERTSFORS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60604-2024</t>
        </is>
      </c>
      <c r="B416" s="1" t="n">
        <v>45644.37731481482</v>
      </c>
      <c r="C416" s="1" t="n">
        <v>45881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39789-2024</t>
        </is>
      </c>
      <c r="B417" s="1" t="n">
        <v>45553</v>
      </c>
      <c r="C417" s="1" t="n">
        <v>45881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6994-2025</t>
        </is>
      </c>
      <c r="B418" s="1" t="n">
        <v>45701</v>
      </c>
      <c r="C418" s="1" t="n">
        <v>45881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68765-2020</t>
        </is>
      </c>
      <c r="B419" s="1" t="n">
        <v>44186</v>
      </c>
      <c r="C419" s="1" t="n">
        <v>45881</v>
      </c>
      <c r="D419" t="inlineStr">
        <is>
          <t>VÄSTERBOTTENS LÄN</t>
        </is>
      </c>
      <c r="E419" t="inlineStr">
        <is>
          <t>ROBERTSFORS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31731-2024</t>
        </is>
      </c>
      <c r="B420" s="1" t="n">
        <v>45509.36456018518</v>
      </c>
      <c r="C420" s="1" t="n">
        <v>45881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43852-2024</t>
        </is>
      </c>
      <c r="B421" s="1" t="n">
        <v>45572.35177083333</v>
      </c>
      <c r="C421" s="1" t="n">
        <v>45881</v>
      </c>
      <c r="D421" t="inlineStr">
        <is>
          <t>VÄSTERBOTTENS LÄN</t>
        </is>
      </c>
      <c r="E421" t="inlineStr">
        <is>
          <t>ROBERTSFORS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24467-2024</t>
        </is>
      </c>
      <c r="B422" s="1" t="n">
        <v>45458.29769675926</v>
      </c>
      <c r="C422" s="1" t="n">
        <v>45881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45157-2023</t>
        </is>
      </c>
      <c r="B423" s="1" t="n">
        <v>45191.48872685185</v>
      </c>
      <c r="C423" s="1" t="n">
        <v>45881</v>
      </c>
      <c r="D423" t="inlineStr">
        <is>
          <t>VÄSTERBOTTENS LÄN</t>
        </is>
      </c>
      <c r="E423" t="inlineStr">
        <is>
          <t>ROBERTSFORS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2707-2022</t>
        </is>
      </c>
      <c r="B424" s="1" t="n">
        <v>44580</v>
      </c>
      <c r="C424" s="1" t="n">
        <v>45881</v>
      </c>
      <c r="D424" t="inlineStr">
        <is>
          <t>VÄSTERBOTTENS LÄN</t>
        </is>
      </c>
      <c r="E424" t="inlineStr">
        <is>
          <t>ROBERTSFORS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48252-2023</t>
        </is>
      </c>
      <c r="B425" s="1" t="n">
        <v>45205.5255787037</v>
      </c>
      <c r="C425" s="1" t="n">
        <v>45881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22781-2025</t>
        </is>
      </c>
      <c r="B426" s="1" t="n">
        <v>45789.63765046297</v>
      </c>
      <c r="C426" s="1" t="n">
        <v>45881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60225-2024</t>
        </is>
      </c>
      <c r="B427" s="1" t="n">
        <v>45642.71113425926</v>
      </c>
      <c r="C427" s="1" t="n">
        <v>45881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51875-2024</t>
        </is>
      </c>
      <c r="B428" s="1" t="n">
        <v>45607.55600694445</v>
      </c>
      <c r="C428" s="1" t="n">
        <v>45881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52835-2024</t>
        </is>
      </c>
      <c r="B429" s="1" t="n">
        <v>45610.59471064815</v>
      </c>
      <c r="C429" s="1" t="n">
        <v>45881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17848-2022</t>
        </is>
      </c>
      <c r="B430" s="1" t="n">
        <v>44683.46040509259</v>
      </c>
      <c r="C430" s="1" t="n">
        <v>45881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2709-2025</t>
        </is>
      </c>
      <c r="B431" s="1" t="n">
        <v>45674</v>
      </c>
      <c r="C431" s="1" t="n">
        <v>45881</v>
      </c>
      <c r="D431" t="inlineStr">
        <is>
          <t>VÄSTERBOTTENS LÄN</t>
        </is>
      </c>
      <c r="E431" t="inlineStr">
        <is>
          <t>ROBERTSFORS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30643-2024</t>
        </is>
      </c>
      <c r="B432" s="1" t="n">
        <v>45495.58291666667</v>
      </c>
      <c r="C432" s="1" t="n">
        <v>45881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22778-2025</t>
        </is>
      </c>
      <c r="B433" s="1" t="n">
        <v>45789.6372337963</v>
      </c>
      <c r="C433" s="1" t="n">
        <v>45881</v>
      </c>
      <c r="D433" t="inlineStr">
        <is>
          <t>VÄSTERBOTTENS LÄN</t>
        </is>
      </c>
      <c r="E433" t="inlineStr">
        <is>
          <t>ROBERTSFORS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22779-2025</t>
        </is>
      </c>
      <c r="B434" s="1" t="n">
        <v>45789.63725694444</v>
      </c>
      <c r="C434" s="1" t="n">
        <v>45881</v>
      </c>
      <c r="D434" t="inlineStr">
        <is>
          <t>VÄSTERBOTTENS LÄN</t>
        </is>
      </c>
      <c r="E434" t="inlineStr">
        <is>
          <t>ROBERTSFORS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51949-2024</t>
        </is>
      </c>
      <c r="B435" s="1" t="n">
        <v>45607.63787037037</v>
      </c>
      <c r="C435" s="1" t="n">
        <v>45881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56502-2024</t>
        </is>
      </c>
      <c r="B436" s="1" t="n">
        <v>45625.50078703704</v>
      </c>
      <c r="C436" s="1" t="n">
        <v>45881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22782-2025</t>
        </is>
      </c>
      <c r="B437" s="1" t="n">
        <v>45789.63767361111</v>
      </c>
      <c r="C437" s="1" t="n">
        <v>45881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23631-2025</t>
        </is>
      </c>
      <c r="B438" s="1" t="n">
        <v>45792.67769675926</v>
      </c>
      <c r="C438" s="1" t="n">
        <v>45881</v>
      </c>
      <c r="D438" t="inlineStr">
        <is>
          <t>VÄSTERBOTTENS LÄN</t>
        </is>
      </c>
      <c r="E438" t="inlineStr">
        <is>
          <t>ROBERTSFORS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23593-2025</t>
        </is>
      </c>
      <c r="B439" s="1" t="n">
        <v>45792.63686342593</v>
      </c>
      <c r="C439" s="1" t="n">
        <v>45881</v>
      </c>
      <c r="D439" t="inlineStr">
        <is>
          <t>VÄSTERBOTTENS LÄN</t>
        </is>
      </c>
      <c r="E439" t="inlineStr">
        <is>
          <t>ROBERTSFORS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23646-2025</t>
        </is>
      </c>
      <c r="B440" s="1" t="n">
        <v>45792.69844907407</v>
      </c>
      <c r="C440" s="1" t="n">
        <v>45881</v>
      </c>
      <c r="D440" t="inlineStr">
        <is>
          <t>VÄSTERBOTTENS LÄN</t>
        </is>
      </c>
      <c r="E440" t="inlineStr">
        <is>
          <t>ROBERTSFORS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46292-2023</t>
        </is>
      </c>
      <c r="B441" s="1" t="n">
        <v>45197.31126157408</v>
      </c>
      <c r="C441" s="1" t="n">
        <v>45881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50448-2024</t>
        </is>
      </c>
      <c r="B442" s="1" t="n">
        <v>45601.43474537037</v>
      </c>
      <c r="C442" s="1" t="n">
        <v>45881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36771-2022</t>
        </is>
      </c>
      <c r="B443" s="1" t="n">
        <v>44805</v>
      </c>
      <c r="C443" s="1" t="n">
        <v>45881</v>
      </c>
      <c r="D443" t="inlineStr">
        <is>
          <t>VÄSTERBOTTENS LÄN</t>
        </is>
      </c>
      <c r="E443" t="inlineStr">
        <is>
          <t>ROBERTSFORS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23605-2025</t>
        </is>
      </c>
      <c r="B444" s="1" t="n">
        <v>45792.65528935185</v>
      </c>
      <c r="C444" s="1" t="n">
        <v>45881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22673-2025</t>
        </is>
      </c>
      <c r="B445" s="1" t="n">
        <v>45789.49042824074</v>
      </c>
      <c r="C445" s="1" t="n">
        <v>45881</v>
      </c>
      <c r="D445" t="inlineStr">
        <is>
          <t>VÄSTERBOTTENS LÄN</t>
        </is>
      </c>
      <c r="E445" t="inlineStr">
        <is>
          <t>ROBERTSFORS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44372-2023</t>
        </is>
      </c>
      <c r="B446" s="1" t="n">
        <v>45188</v>
      </c>
      <c r="C446" s="1" t="n">
        <v>45881</v>
      </c>
      <c r="D446" t="inlineStr">
        <is>
          <t>VÄSTERBOTTENS LÄN</t>
        </is>
      </c>
      <c r="E446" t="inlineStr">
        <is>
          <t>ROBERTSFORS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23260-2025</t>
        </is>
      </c>
      <c r="B447" s="1" t="n">
        <v>45791.54234953703</v>
      </c>
      <c r="C447" s="1" t="n">
        <v>45881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4614-2025</t>
        </is>
      </c>
      <c r="B448" s="1" t="n">
        <v>45687</v>
      </c>
      <c r="C448" s="1" t="n">
        <v>45881</v>
      </c>
      <c r="D448" t="inlineStr">
        <is>
          <t>VÄSTERBOTTENS LÄN</t>
        </is>
      </c>
      <c r="E448" t="inlineStr">
        <is>
          <t>ROBERTSFORS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5997-2025</t>
        </is>
      </c>
      <c r="B449" s="1" t="n">
        <v>45695.57164351852</v>
      </c>
      <c r="C449" s="1" t="n">
        <v>45881</v>
      </c>
      <c r="D449" t="inlineStr">
        <is>
          <t>VÄSTERBOTTENS LÄN</t>
        </is>
      </c>
      <c r="E449" t="inlineStr">
        <is>
          <t>ROBERTSFORS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8238-2025</t>
        </is>
      </c>
      <c r="B450" s="1" t="n">
        <v>45708.47898148148</v>
      </c>
      <c r="C450" s="1" t="n">
        <v>45881</v>
      </c>
      <c r="D450" t="inlineStr">
        <is>
          <t>VÄSTERBOTTENS LÄN</t>
        </is>
      </c>
      <c r="E450" t="inlineStr">
        <is>
          <t>ROBERTSFORS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4376-2022</t>
        </is>
      </c>
      <c r="B451" s="1" t="n">
        <v>44588</v>
      </c>
      <c r="C451" s="1" t="n">
        <v>45881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24114-2025</t>
        </is>
      </c>
      <c r="B452" s="1" t="n">
        <v>45796.61449074074</v>
      </c>
      <c r="C452" s="1" t="n">
        <v>45881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10173-2022</t>
        </is>
      </c>
      <c r="B453" s="1" t="n">
        <v>44622</v>
      </c>
      <c r="C453" s="1" t="n">
        <v>45881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23961-2025</t>
        </is>
      </c>
      <c r="B454" s="1" t="n">
        <v>45794</v>
      </c>
      <c r="C454" s="1" t="n">
        <v>45881</v>
      </c>
      <c r="D454" t="inlineStr">
        <is>
          <t>VÄSTERBOTTENS LÄN</t>
        </is>
      </c>
      <c r="E454" t="inlineStr">
        <is>
          <t>ROBERTSFORS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23989-2025</t>
        </is>
      </c>
      <c r="B455" s="1" t="n">
        <v>45796.40104166666</v>
      </c>
      <c r="C455" s="1" t="n">
        <v>45881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289-2025</t>
        </is>
      </c>
      <c r="B456" s="1" t="n">
        <v>45653</v>
      </c>
      <c r="C456" s="1" t="n">
        <v>45881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672-2025</t>
        </is>
      </c>
      <c r="B457" s="1" t="n">
        <v>45664</v>
      </c>
      <c r="C457" s="1" t="n">
        <v>45881</v>
      </c>
      <c r="D457" t="inlineStr">
        <is>
          <t>VÄSTERBOTTENS LÄN</t>
        </is>
      </c>
      <c r="E457" t="inlineStr">
        <is>
          <t>ROBERTSFORS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2696-2025</t>
        </is>
      </c>
      <c r="B458" s="1" t="n">
        <v>45674</v>
      </c>
      <c r="C458" s="1" t="n">
        <v>45881</v>
      </c>
      <c r="D458" t="inlineStr">
        <is>
          <t>VÄSTERBOTTENS LÄN</t>
        </is>
      </c>
      <c r="E458" t="inlineStr">
        <is>
          <t>ROBERTSFORS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23979-2025</t>
        </is>
      </c>
      <c r="B459" s="1" t="n">
        <v>45796.38870370371</v>
      </c>
      <c r="C459" s="1" t="n">
        <v>45881</v>
      </c>
      <c r="D459" t="inlineStr">
        <is>
          <t>VÄSTERBOTTENS LÄN</t>
        </is>
      </c>
      <c r="E459" t="inlineStr">
        <is>
          <t>ROBERTSFORS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11184-2021</t>
        </is>
      </c>
      <c r="B460" s="1" t="n">
        <v>44263.27416666667</v>
      </c>
      <c r="C460" s="1" t="n">
        <v>45881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55417-2023</t>
        </is>
      </c>
      <c r="B461" s="1" t="n">
        <v>45238.41365740741</v>
      </c>
      <c r="C461" s="1" t="n">
        <v>45881</v>
      </c>
      <c r="D461" t="inlineStr">
        <is>
          <t>VÄSTERBOTTENS LÄN</t>
        </is>
      </c>
      <c r="E461" t="inlineStr">
        <is>
          <t>ROBERTSFORS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21925-2021</t>
        </is>
      </c>
      <c r="B462" s="1" t="n">
        <v>44322.91846064815</v>
      </c>
      <c r="C462" s="1" t="n">
        <v>45881</v>
      </c>
      <c r="D462" t="inlineStr">
        <is>
          <t>VÄSTERBOTTENS LÄN</t>
        </is>
      </c>
      <c r="E462" t="inlineStr">
        <is>
          <t>ROBERTSFORS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19695-2024</t>
        </is>
      </c>
      <c r="B463" s="1" t="n">
        <v>45432</v>
      </c>
      <c r="C463" s="1" t="n">
        <v>45881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20519-2022</t>
        </is>
      </c>
      <c r="B464" s="1" t="n">
        <v>44699</v>
      </c>
      <c r="C464" s="1" t="n">
        <v>45881</v>
      </c>
      <c r="D464" t="inlineStr">
        <is>
          <t>VÄSTERBOTTENS LÄN</t>
        </is>
      </c>
      <c r="E464" t="inlineStr">
        <is>
          <t>ROBERTSFORS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32820-2025</t>
        </is>
      </c>
      <c r="B465" s="1" t="n">
        <v>45839.53807870371</v>
      </c>
      <c r="C465" s="1" t="n">
        <v>45881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32823-2025</t>
        </is>
      </c>
      <c r="B466" s="1" t="n">
        <v>45839.54072916666</v>
      </c>
      <c r="C466" s="1" t="n">
        <v>45881</v>
      </c>
      <c r="D466" t="inlineStr">
        <is>
          <t>VÄSTERBOTTENS LÄN</t>
        </is>
      </c>
      <c r="E466" t="inlineStr">
        <is>
          <t>ROBERTSFORS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164-2025</t>
        </is>
      </c>
      <c r="B467" s="1" t="n">
        <v>45659.63700231481</v>
      </c>
      <c r="C467" s="1" t="n">
        <v>45881</v>
      </c>
      <c r="D467" t="inlineStr">
        <is>
          <t>VÄSTERBOTTENS LÄN</t>
        </is>
      </c>
      <c r="E467" t="inlineStr">
        <is>
          <t>ROBERTSFORS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17547-2025</t>
        </is>
      </c>
      <c r="B468" s="1" t="n">
        <v>45757.60878472222</v>
      </c>
      <c r="C468" s="1" t="n">
        <v>45881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24705-2025</t>
        </is>
      </c>
      <c r="B469" s="1" t="n">
        <v>45798</v>
      </c>
      <c r="C469" s="1" t="n">
        <v>45881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32826-2025</t>
        </is>
      </c>
      <c r="B470" s="1" t="n">
        <v>45839.54482638889</v>
      </c>
      <c r="C470" s="1" t="n">
        <v>45881</v>
      </c>
      <c r="D470" t="inlineStr">
        <is>
          <t>VÄSTERBOTTENS LÄN</t>
        </is>
      </c>
      <c r="E470" t="inlineStr">
        <is>
          <t>ROBERTSFORS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32828-2025</t>
        </is>
      </c>
      <c r="B471" s="1" t="n">
        <v>45839.54767361111</v>
      </c>
      <c r="C471" s="1" t="n">
        <v>45881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32720-2025</t>
        </is>
      </c>
      <c r="B472" s="1" t="n">
        <v>45839.38269675926</v>
      </c>
      <c r="C472" s="1" t="n">
        <v>45881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18168-2025</t>
        </is>
      </c>
      <c r="B473" s="1" t="n">
        <v>45761.6440625</v>
      </c>
      <c r="C473" s="1" t="n">
        <v>45881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53564-2024</t>
        </is>
      </c>
      <c r="B474" s="1" t="n">
        <v>45611</v>
      </c>
      <c r="C474" s="1" t="n">
        <v>45881</v>
      </c>
      <c r="D474" t="inlineStr">
        <is>
          <t>VÄSTERBOTTENS LÄN</t>
        </is>
      </c>
      <c r="E474" t="inlineStr">
        <is>
          <t>ROBERTSFORS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25341-2025</t>
        </is>
      </c>
      <c r="B475" s="1" t="n">
        <v>45800.60171296296</v>
      </c>
      <c r="C475" s="1" t="n">
        <v>45881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25333-2025</t>
        </is>
      </c>
      <c r="B476" s="1" t="n">
        <v>45800.59549768519</v>
      </c>
      <c r="C476" s="1" t="n">
        <v>45881</v>
      </c>
      <c r="D476" t="inlineStr">
        <is>
          <t>VÄSTERBOTTENS LÄN</t>
        </is>
      </c>
      <c r="E476" t="inlineStr">
        <is>
          <t>ROBERTSFORS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1573-2025</t>
        </is>
      </c>
      <c r="B477" s="1" t="n">
        <v>45670</v>
      </c>
      <c r="C477" s="1" t="n">
        <v>45881</v>
      </c>
      <c r="D477" t="inlineStr">
        <is>
          <t>VÄSTERBOTTENS LÄN</t>
        </is>
      </c>
      <c r="E477" t="inlineStr">
        <is>
          <t>ROBERTSFORS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39578-2023</t>
        </is>
      </c>
      <c r="B478" s="1" t="n">
        <v>45167.42793981481</v>
      </c>
      <c r="C478" s="1" t="n">
        <v>45881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24936-2025</t>
        </is>
      </c>
      <c r="B479" s="1" t="n">
        <v>45799</v>
      </c>
      <c r="C479" s="1" t="n">
        <v>45881</v>
      </c>
      <c r="D479" t="inlineStr">
        <is>
          <t>VÄSTERBOTTENS LÄN</t>
        </is>
      </c>
      <c r="E479" t="inlineStr">
        <is>
          <t>ROBERTSFORS</t>
        </is>
      </c>
      <c r="G479" t="n">
        <v>23.3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44026-2022</t>
        </is>
      </c>
      <c r="B480" s="1" t="n">
        <v>44838.92494212963</v>
      </c>
      <c r="C480" s="1" t="n">
        <v>45881</v>
      </c>
      <c r="D480" t="inlineStr">
        <is>
          <t>VÄSTERBOTTENS LÄN</t>
        </is>
      </c>
      <c r="E480" t="inlineStr">
        <is>
          <t>ROBERTSFORS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25201-2025</t>
        </is>
      </c>
      <c r="B481" s="1" t="n">
        <v>45800.4647337963</v>
      </c>
      <c r="C481" s="1" t="n">
        <v>45881</v>
      </c>
      <c r="D481" t="inlineStr">
        <is>
          <t>VÄSTERBOTTENS LÄN</t>
        </is>
      </c>
      <c r="E481" t="inlineStr">
        <is>
          <t>ROBERTSFORS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22339-2024</t>
        </is>
      </c>
      <c r="B482" s="1" t="n">
        <v>45446</v>
      </c>
      <c r="C482" s="1" t="n">
        <v>45881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6725-2025</t>
        </is>
      </c>
      <c r="B483" s="1" t="n">
        <v>45700</v>
      </c>
      <c r="C483" s="1" t="n">
        <v>45881</v>
      </c>
      <c r="D483" t="inlineStr">
        <is>
          <t>VÄSTERBOTTENS LÄN</t>
        </is>
      </c>
      <c r="E483" t="inlineStr">
        <is>
          <t>ROBERTSFORS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48547-2023</t>
        </is>
      </c>
      <c r="B484" s="1" t="n">
        <v>45202</v>
      </c>
      <c r="C484" s="1" t="n">
        <v>45881</v>
      </c>
      <c r="D484" t="inlineStr">
        <is>
          <t>VÄSTERBOTTENS LÄN</t>
        </is>
      </c>
      <c r="E484" t="inlineStr">
        <is>
          <t>ROBERTSFORS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25373-2025</t>
        </is>
      </c>
      <c r="B485" s="1" t="n">
        <v>45800.63518518519</v>
      </c>
      <c r="C485" s="1" t="n">
        <v>45881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25335-2025</t>
        </is>
      </c>
      <c r="B486" s="1" t="n">
        <v>45800.59609953704</v>
      </c>
      <c r="C486" s="1" t="n">
        <v>45881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25579-2025</t>
        </is>
      </c>
      <c r="B487" s="1" t="n">
        <v>45803.47896990741</v>
      </c>
      <c r="C487" s="1" t="n">
        <v>45881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25577-2025</t>
        </is>
      </c>
      <c r="B488" s="1" t="n">
        <v>45803.47759259259</v>
      </c>
      <c r="C488" s="1" t="n">
        <v>45881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2963-2021</t>
        </is>
      </c>
      <c r="B489" s="1" t="n">
        <v>44216</v>
      </c>
      <c r="C489" s="1" t="n">
        <v>45881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34755-2025</t>
        </is>
      </c>
      <c r="B490" s="1" t="n">
        <v>45848.62711805556</v>
      </c>
      <c r="C490" s="1" t="n">
        <v>45881</v>
      </c>
      <c r="D490" t="inlineStr">
        <is>
          <t>VÄSTERBOTTENS LÄN</t>
        </is>
      </c>
      <c r="E490" t="inlineStr">
        <is>
          <t>ROBERTSFORS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34758-2025</t>
        </is>
      </c>
      <c r="B491" s="1" t="n">
        <v>45848.63575231482</v>
      </c>
      <c r="C491" s="1" t="n">
        <v>45881</v>
      </c>
      <c r="D491" t="inlineStr">
        <is>
          <t>VÄSTERBOTTENS LÄN</t>
        </is>
      </c>
      <c r="E491" t="inlineStr">
        <is>
          <t>ROBERTSFORS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10145-2025</t>
        </is>
      </c>
      <c r="B492" s="1" t="n">
        <v>45719.63577546296</v>
      </c>
      <c r="C492" s="1" t="n">
        <v>45881</v>
      </c>
      <c r="D492" t="inlineStr">
        <is>
          <t>VÄSTERBOTTENS LÄN</t>
        </is>
      </c>
      <c r="E492" t="inlineStr">
        <is>
          <t>ROBERTSFORS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7476-2021</t>
        </is>
      </c>
      <c r="B493" s="1" t="n">
        <v>44239</v>
      </c>
      <c r="C493" s="1" t="n">
        <v>45881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64035-2020</t>
        </is>
      </c>
      <c r="B494" s="1" t="n">
        <v>44165</v>
      </c>
      <c r="C494" s="1" t="n">
        <v>45881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63390-2023</t>
        </is>
      </c>
      <c r="B495" s="1" t="n">
        <v>45274</v>
      </c>
      <c r="C495" s="1" t="n">
        <v>45881</v>
      </c>
      <c r="D495" t="inlineStr">
        <is>
          <t>VÄSTERBOTTENS LÄN</t>
        </is>
      </c>
      <c r="E495" t="inlineStr">
        <is>
          <t>ROBERTSFORS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8256-2025</t>
        </is>
      </c>
      <c r="B496" s="1" t="n">
        <v>45708.49795138889</v>
      </c>
      <c r="C496" s="1" t="n">
        <v>45881</v>
      </c>
      <c r="D496" t="inlineStr">
        <is>
          <t>VÄSTERBOTTENS LÄN</t>
        </is>
      </c>
      <c r="E496" t="inlineStr">
        <is>
          <t>ROBERTSFORS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4602-2025</t>
        </is>
      </c>
      <c r="B497" s="1" t="n">
        <v>45687.56137731481</v>
      </c>
      <c r="C497" s="1" t="n">
        <v>45881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17210-2025</t>
        </is>
      </c>
      <c r="B498" s="1" t="n">
        <v>45756.4359375</v>
      </c>
      <c r="C498" s="1" t="n">
        <v>45881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32581-2022</t>
        </is>
      </c>
      <c r="B499" s="1" t="n">
        <v>44783</v>
      </c>
      <c r="C499" s="1" t="n">
        <v>45881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26644-2025</t>
        </is>
      </c>
      <c r="B500" s="1" t="n">
        <v>45810.37159722222</v>
      </c>
      <c r="C500" s="1" t="n">
        <v>45881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26394-2025</t>
        </is>
      </c>
      <c r="B501" s="1" t="n">
        <v>45806.84342592592</v>
      </c>
      <c r="C501" s="1" t="n">
        <v>45881</v>
      </c>
      <c r="D501" t="inlineStr">
        <is>
          <t>VÄSTERBOTTENS LÄN</t>
        </is>
      </c>
      <c r="E501" t="inlineStr">
        <is>
          <t>ROBERTSFORS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25446-2024</t>
        </is>
      </c>
      <c r="B502" s="1" t="n">
        <v>45463</v>
      </c>
      <c r="C502" s="1" t="n">
        <v>45881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35125-2025</t>
        </is>
      </c>
      <c r="B503" s="1" t="n">
        <v>45852.61484953704</v>
      </c>
      <c r="C503" s="1" t="n">
        <v>45881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14418-2025</t>
        </is>
      </c>
      <c r="B504" s="1" t="n">
        <v>45741</v>
      </c>
      <c r="C504" s="1" t="n">
        <v>45881</v>
      </c>
      <c r="D504" t="inlineStr">
        <is>
          <t>VÄSTERBOTTENS LÄN</t>
        </is>
      </c>
      <c r="E504" t="inlineStr">
        <is>
          <t>ROBERTSFORS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59028-2024</t>
        </is>
      </c>
      <c r="B505" s="1" t="n">
        <v>45636</v>
      </c>
      <c r="C505" s="1" t="n">
        <v>45881</v>
      </c>
      <c r="D505" t="inlineStr">
        <is>
          <t>VÄSTERBOTTENS LÄN</t>
        </is>
      </c>
      <c r="E505" t="inlineStr">
        <is>
          <t>ROBERTSFORS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26204-2024</t>
        </is>
      </c>
      <c r="B506" s="1" t="n">
        <v>45468.58577546296</v>
      </c>
      <c r="C506" s="1" t="n">
        <v>45881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26991-2025</t>
        </is>
      </c>
      <c r="B507" s="1" t="n">
        <v>45811.52162037037</v>
      </c>
      <c r="C507" s="1" t="n">
        <v>45881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35224-2025</t>
        </is>
      </c>
      <c r="B508" s="1" t="n">
        <v>45853.57020833333</v>
      </c>
      <c r="C508" s="1" t="n">
        <v>45881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26984-2025</t>
        </is>
      </c>
      <c r="B509" s="1" t="n">
        <v>45811.49811342593</v>
      </c>
      <c r="C509" s="1" t="n">
        <v>45881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26987-2025</t>
        </is>
      </c>
      <c r="B510" s="1" t="n">
        <v>45811.50929398148</v>
      </c>
      <c r="C510" s="1" t="n">
        <v>45881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35553-2025</t>
        </is>
      </c>
      <c r="B511" s="1" t="n">
        <v>45856.50510416667</v>
      </c>
      <c r="C511" s="1" t="n">
        <v>45881</v>
      </c>
      <c r="D511" t="inlineStr">
        <is>
          <t>VÄSTERBOTTENS LÄN</t>
        </is>
      </c>
      <c r="E511" t="inlineStr">
        <is>
          <t>ROBERTSFORS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27687-2025</t>
        </is>
      </c>
      <c r="B512" s="1" t="n">
        <v>45813.654375</v>
      </c>
      <c r="C512" s="1" t="n">
        <v>45881</v>
      </c>
      <c r="D512" t="inlineStr">
        <is>
          <t>VÄSTERBOTTENS LÄN</t>
        </is>
      </c>
      <c r="E512" t="inlineStr">
        <is>
          <t>ROBERTSFORS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991-2024</t>
        </is>
      </c>
      <c r="B513" s="1" t="n">
        <v>45301</v>
      </c>
      <c r="C513" s="1" t="n">
        <v>45881</v>
      </c>
      <c r="D513" t="inlineStr">
        <is>
          <t>VÄSTERBOTTENS LÄN</t>
        </is>
      </c>
      <c r="E513" t="inlineStr">
        <is>
          <t>ROBERTSFORS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58542-2023</t>
        </is>
      </c>
      <c r="B514" s="1" t="n">
        <v>45246</v>
      </c>
      <c r="C514" s="1" t="n">
        <v>45881</v>
      </c>
      <c r="D514" t="inlineStr">
        <is>
          <t>VÄSTERBOTTENS LÄN</t>
        </is>
      </c>
      <c r="E514" t="inlineStr">
        <is>
          <t>ROBERTSFORS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21811-2024</t>
        </is>
      </c>
      <c r="B515" s="1" t="n">
        <v>45442</v>
      </c>
      <c r="C515" s="1" t="n">
        <v>45881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41752-2023</t>
        </is>
      </c>
      <c r="B516" s="1" t="n">
        <v>45176</v>
      </c>
      <c r="C516" s="1" t="n">
        <v>45881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10337-2024</t>
        </is>
      </c>
      <c r="B517" s="1" t="n">
        <v>45365</v>
      </c>
      <c r="C517" s="1" t="n">
        <v>45881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14671-2023</t>
        </is>
      </c>
      <c r="B518" s="1" t="n">
        <v>45013</v>
      </c>
      <c r="C518" s="1" t="n">
        <v>45881</v>
      </c>
      <c r="D518" t="inlineStr">
        <is>
          <t>VÄSTERBOTTENS LÄN</t>
        </is>
      </c>
      <c r="E518" t="inlineStr">
        <is>
          <t>ROBERTSFORS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35562-2025</t>
        </is>
      </c>
      <c r="B519" s="1" t="n">
        <v>45856.54179398148</v>
      </c>
      <c r="C519" s="1" t="n">
        <v>45881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8363-2024</t>
        </is>
      </c>
      <c r="B520" s="1" t="n">
        <v>45352</v>
      </c>
      <c r="C520" s="1" t="n">
        <v>45881</v>
      </c>
      <c r="D520" t="inlineStr">
        <is>
          <t>VÄSTERBOTTENS LÄN</t>
        </is>
      </c>
      <c r="E520" t="inlineStr">
        <is>
          <t>ROBERTSFORS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35551-2025</t>
        </is>
      </c>
      <c r="B521" s="1" t="n">
        <v>45856.49604166667</v>
      </c>
      <c r="C521" s="1" t="n">
        <v>45881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27479-2025</t>
        </is>
      </c>
      <c r="B522" s="1" t="n">
        <v>45813.37797453703</v>
      </c>
      <c r="C522" s="1" t="n">
        <v>45881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62980-2023</t>
        </is>
      </c>
      <c r="B523" s="1" t="n">
        <v>45272</v>
      </c>
      <c r="C523" s="1" t="n">
        <v>45881</v>
      </c>
      <c r="D523" t="inlineStr">
        <is>
          <t>VÄSTERBOTTENS LÄN</t>
        </is>
      </c>
      <c r="E523" t="inlineStr">
        <is>
          <t>ROBERTSFORS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15108-2025</t>
        </is>
      </c>
      <c r="B524" s="1" t="n">
        <v>45744</v>
      </c>
      <c r="C524" s="1" t="n">
        <v>45881</v>
      </c>
      <c r="D524" t="inlineStr">
        <is>
          <t>VÄSTERBOTTENS LÄN</t>
        </is>
      </c>
      <c r="E524" t="inlineStr">
        <is>
          <t>ROBERTSFORS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36477-2024</t>
        </is>
      </c>
      <c r="B525" s="1" t="n">
        <v>45537.36497685185</v>
      </c>
      <c r="C525" s="1" t="n">
        <v>45881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35565-2025</t>
        </is>
      </c>
      <c r="B526" s="1" t="n">
        <v>45856.55130787037</v>
      </c>
      <c r="C526" s="1" t="n">
        <v>45881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1922-2023</t>
        </is>
      </c>
      <c r="B527" s="1" t="n">
        <v>44938</v>
      </c>
      <c r="C527" s="1" t="n">
        <v>45881</v>
      </c>
      <c r="D527" t="inlineStr">
        <is>
          <t>VÄSTERBOTTENS LÄN</t>
        </is>
      </c>
      <c r="E527" t="inlineStr">
        <is>
          <t>ROBERTSFORS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35560-2025</t>
        </is>
      </c>
      <c r="B528" s="1" t="n">
        <v>45856.53145833333</v>
      </c>
      <c r="C528" s="1" t="n">
        <v>45881</v>
      </c>
      <c r="D528" t="inlineStr">
        <is>
          <t>VÄSTERBOTTENS LÄN</t>
        </is>
      </c>
      <c r="E528" t="inlineStr">
        <is>
          <t>ROBERTSFORS</t>
        </is>
      </c>
      <c r="G528" t="n">
        <v>13.1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27515-2025</t>
        </is>
      </c>
      <c r="B529" s="1" t="n">
        <v>45813.43405092593</v>
      </c>
      <c r="C529" s="1" t="n">
        <v>45881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61553-2023</t>
        </is>
      </c>
      <c r="B530" s="1" t="n">
        <v>45261</v>
      </c>
      <c r="C530" s="1" t="n">
        <v>45881</v>
      </c>
      <c r="D530" t="inlineStr">
        <is>
          <t>VÄSTERBOTTENS LÄN</t>
        </is>
      </c>
      <c r="E530" t="inlineStr">
        <is>
          <t>ROBERTSFORS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27541-2025</t>
        </is>
      </c>
      <c r="B531" s="1" t="n">
        <v>45813.46613425926</v>
      </c>
      <c r="C531" s="1" t="n">
        <v>45881</v>
      </c>
      <c r="D531" t="inlineStr">
        <is>
          <t>VÄSTERBOTTENS LÄN</t>
        </is>
      </c>
      <c r="E531" t="inlineStr">
        <is>
          <t>ROBERTSFORS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31736-2024</t>
        </is>
      </c>
      <c r="B532" s="1" t="n">
        <v>45509.37478009259</v>
      </c>
      <c r="C532" s="1" t="n">
        <v>45881</v>
      </c>
      <c r="D532" t="inlineStr">
        <is>
          <t>VÄSTERBOTTENS LÄN</t>
        </is>
      </c>
      <c r="E532" t="inlineStr">
        <is>
          <t>ROBERTSFORS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28330-2025</t>
        </is>
      </c>
      <c r="B533" s="1" t="n">
        <v>45818.65878472223</v>
      </c>
      <c r="C533" s="1" t="n">
        <v>45881</v>
      </c>
      <c r="D533" t="inlineStr">
        <is>
          <t>VÄSTERBOTTENS LÄN</t>
        </is>
      </c>
      <c r="E533" t="inlineStr">
        <is>
          <t>ROBERTSFORS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26368-2024</t>
        </is>
      </c>
      <c r="B534" s="1" t="n">
        <v>45468</v>
      </c>
      <c r="C534" s="1" t="n">
        <v>45881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28688-2025</t>
        </is>
      </c>
      <c r="B535" s="1" t="n">
        <v>45819</v>
      </c>
      <c r="C535" s="1" t="n">
        <v>45881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45881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29262-2025</t>
        </is>
      </c>
      <c r="B537" s="1" t="n">
        <v>45824.39509259259</v>
      </c>
      <c r="C537" s="1" t="n">
        <v>45881</v>
      </c>
      <c r="D537" t="inlineStr">
        <is>
          <t>VÄSTERBOTTENS LÄN</t>
        </is>
      </c>
      <c r="E537" t="inlineStr">
        <is>
          <t>ROBERTSFORS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29272-2025</t>
        </is>
      </c>
      <c r="B538" s="1" t="n">
        <v>45824.41008101852</v>
      </c>
      <c r="C538" s="1" t="n">
        <v>45881</v>
      </c>
      <c r="D538" t="inlineStr">
        <is>
          <t>VÄSTERBOTTENS LÄN</t>
        </is>
      </c>
      <c r="E538" t="inlineStr">
        <is>
          <t>ROBERTSFORS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31737-2024</t>
        </is>
      </c>
      <c r="B539" s="1" t="n">
        <v>45509.37478009259</v>
      </c>
      <c r="C539" s="1" t="n">
        <v>45881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31905-2024</t>
        </is>
      </c>
      <c r="B540" s="1" t="n">
        <v>45510.34210648148</v>
      </c>
      <c r="C540" s="1" t="n">
        <v>45881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29224-2025</t>
        </is>
      </c>
      <c r="B541" s="1" t="n">
        <v>45824.33494212963</v>
      </c>
      <c r="C541" s="1" t="n">
        <v>45881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29847-2025</t>
        </is>
      </c>
      <c r="B542" s="1" t="n">
        <v>45826.32677083334</v>
      </c>
      <c r="C542" s="1" t="n">
        <v>45881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29939-2025</t>
        </is>
      </c>
      <c r="B543" s="1" t="n">
        <v>45826.45071759259</v>
      </c>
      <c r="C543" s="1" t="n">
        <v>45881</v>
      </c>
      <c r="D543" t="inlineStr">
        <is>
          <t>VÄSTERBOTTENS LÄN</t>
        </is>
      </c>
      <c r="E543" t="inlineStr">
        <is>
          <t>ROBERTSFORS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55717-2024</t>
        </is>
      </c>
      <c r="B544" s="1" t="n">
        <v>45622</v>
      </c>
      <c r="C544" s="1" t="n">
        <v>45881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1859-2025</t>
        </is>
      </c>
      <c r="B545" s="1" t="n">
        <v>45671</v>
      </c>
      <c r="C545" s="1" t="n">
        <v>45881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29616-2025</t>
        </is>
      </c>
      <c r="B546" s="1" t="n">
        <v>45825.43400462963</v>
      </c>
      <c r="C546" s="1" t="n">
        <v>45881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1815-2025</t>
        </is>
      </c>
      <c r="B547" s="1" t="n">
        <v>45671</v>
      </c>
      <c r="C547" s="1" t="n">
        <v>45881</v>
      </c>
      <c r="D547" t="inlineStr">
        <is>
          <t>VÄSTERBOTTENS LÄN</t>
        </is>
      </c>
      <c r="E547" t="inlineStr">
        <is>
          <t>ROBERTSFORS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9305-2023</t>
        </is>
      </c>
      <c r="B548" s="1" t="n">
        <v>44980</v>
      </c>
      <c r="C548" s="1" t="n">
        <v>45881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46300-2024</t>
        </is>
      </c>
      <c r="B549" s="1" t="n">
        <v>45581.67887731481</v>
      </c>
      <c r="C549" s="1" t="n">
        <v>45881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30344-2025</t>
        </is>
      </c>
      <c r="B550" s="1" t="n">
        <v>45827</v>
      </c>
      <c r="C550" s="1" t="n">
        <v>45881</v>
      </c>
      <c r="D550" t="inlineStr">
        <is>
          <t>VÄSTERBOTTENS LÄN</t>
        </is>
      </c>
      <c r="E550" t="inlineStr">
        <is>
          <t>ROBERTSFORS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38951-2024</t>
        </is>
      </c>
      <c r="B551" s="1" t="n">
        <v>45548</v>
      </c>
      <c r="C551" s="1" t="n">
        <v>45881</v>
      </c>
      <c r="D551" t="inlineStr">
        <is>
          <t>VÄSTERBOTTENS LÄN</t>
        </is>
      </c>
      <c r="E551" t="inlineStr">
        <is>
          <t>ROBERTSFORS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68385-2020</t>
        </is>
      </c>
      <c r="B552" s="1" t="n">
        <v>44186</v>
      </c>
      <c r="C552" s="1" t="n">
        <v>45881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30913-2025</t>
        </is>
      </c>
      <c r="B553" s="1" t="n">
        <v>45832.37649305556</v>
      </c>
      <c r="C553" s="1" t="n">
        <v>45881</v>
      </c>
      <c r="D553" t="inlineStr">
        <is>
          <t>VÄSTERBOTTENS LÄN</t>
        </is>
      </c>
      <c r="E553" t="inlineStr">
        <is>
          <t>ROBERTSFORS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36651-2025</t>
        </is>
      </c>
      <c r="B554" s="1" t="n">
        <v>45872.63649305556</v>
      </c>
      <c r="C554" s="1" t="n">
        <v>45881</v>
      </c>
      <c r="D554" t="inlineStr">
        <is>
          <t>VÄSTERBOTTENS LÄN</t>
        </is>
      </c>
      <c r="E554" t="inlineStr">
        <is>
          <t>ROBERTSFORS</t>
        </is>
      </c>
      <c r="G554" t="n">
        <v>14.4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26437-2025</t>
        </is>
      </c>
      <c r="B555" s="1" t="n">
        <v>45807.40113425926</v>
      </c>
      <c r="C555" s="1" t="n">
        <v>45881</v>
      </c>
      <c r="D555" t="inlineStr">
        <is>
          <t>VÄSTERBOTTENS LÄN</t>
        </is>
      </c>
      <c r="E555" t="inlineStr">
        <is>
          <t>ROBERTSFORS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31045-2025</t>
        </is>
      </c>
      <c r="B556" s="1" t="n">
        <v>45832.55502314815</v>
      </c>
      <c r="C556" s="1" t="n">
        <v>45881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31110-2025</t>
        </is>
      </c>
      <c r="B557" s="1" t="n">
        <v>45832.61085648148</v>
      </c>
      <c r="C557" s="1" t="n">
        <v>45881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5864-2025</t>
        </is>
      </c>
      <c r="B558" s="1" t="n">
        <v>45695.35236111111</v>
      </c>
      <c r="C558" s="1" t="n">
        <v>45881</v>
      </c>
      <c r="D558" t="inlineStr">
        <is>
          <t>VÄSTERBOTTENS LÄN</t>
        </is>
      </c>
      <c r="E558" t="inlineStr">
        <is>
          <t>ROBERTSFORS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65772-2021</t>
        </is>
      </c>
      <c r="B559" s="1" t="n">
        <v>44516</v>
      </c>
      <c r="C559" s="1" t="n">
        <v>45881</v>
      </c>
      <c r="D559" t="inlineStr">
        <is>
          <t>VÄSTERBOTTENS LÄN</t>
        </is>
      </c>
      <c r="E559" t="inlineStr">
        <is>
          <t>ROBERTSFORS</t>
        </is>
      </c>
      <c r="G559" t="n">
        <v>18.2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30790-2025</t>
        </is>
      </c>
      <c r="B560" s="1" t="n">
        <v>45831.63315972222</v>
      </c>
      <c r="C560" s="1" t="n">
        <v>45881</v>
      </c>
      <c r="D560" t="inlineStr">
        <is>
          <t>VÄSTERBOTTENS LÄN</t>
        </is>
      </c>
      <c r="E560" t="inlineStr">
        <is>
          <t>ROBERTSFORS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16993-2023</t>
        </is>
      </c>
      <c r="B561" s="1" t="n">
        <v>45033.92583333333</v>
      </c>
      <c r="C561" s="1" t="n">
        <v>45881</v>
      </c>
      <c r="D561" t="inlineStr">
        <is>
          <t>VÄSTERBOTTENS LÄN</t>
        </is>
      </c>
      <c r="E561" t="inlineStr">
        <is>
          <t>ROBERTSFORS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19160-2023</t>
        </is>
      </c>
      <c r="B562" s="1" t="n">
        <v>45048</v>
      </c>
      <c r="C562" s="1" t="n">
        <v>45881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36813-2025</t>
        </is>
      </c>
      <c r="B563" s="1" t="n">
        <v>45873</v>
      </c>
      <c r="C563" s="1" t="n">
        <v>45881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1348-2023</t>
        </is>
      </c>
      <c r="B564" s="1" t="n">
        <v>44936</v>
      </c>
      <c r="C564" s="1" t="n">
        <v>45881</v>
      </c>
      <c r="D564" t="inlineStr">
        <is>
          <t>VÄSTERBOTTENS LÄN</t>
        </is>
      </c>
      <c r="E564" t="inlineStr">
        <is>
          <t>ROBERTSFORS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31912-2025</t>
        </is>
      </c>
      <c r="B565" s="1" t="n">
        <v>45834.70775462963</v>
      </c>
      <c r="C565" s="1" t="n">
        <v>45881</v>
      </c>
      <c r="D565" t="inlineStr">
        <is>
          <t>VÄSTERBOTTENS LÄN</t>
        </is>
      </c>
      <c r="E565" t="inlineStr">
        <is>
          <t>ROBERTSFORS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31287-2025</t>
        </is>
      </c>
      <c r="B566" s="1" t="n">
        <v>45833.35861111111</v>
      </c>
      <c r="C566" s="1" t="n">
        <v>45881</v>
      </c>
      <c r="D566" t="inlineStr">
        <is>
          <t>VÄSTERBOTTENS LÄN</t>
        </is>
      </c>
      <c r="E566" t="inlineStr">
        <is>
          <t>ROBERTSFORS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19776-2024</t>
        </is>
      </c>
      <c r="B567" s="1" t="n">
        <v>45432</v>
      </c>
      <c r="C567" s="1" t="n">
        <v>45881</v>
      </c>
      <c r="D567" t="inlineStr">
        <is>
          <t>VÄSTERBOTTENS LÄN</t>
        </is>
      </c>
      <c r="E567" t="inlineStr">
        <is>
          <t>ROBERTSFORS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3046-2025</t>
        </is>
      </c>
      <c r="B568" s="1" t="n">
        <v>45678</v>
      </c>
      <c r="C568" s="1" t="n">
        <v>45881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32158-2025</t>
        </is>
      </c>
      <c r="B569" s="1" t="n">
        <v>45835.53893518518</v>
      </c>
      <c r="C569" s="1" t="n">
        <v>45881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38092-2022</t>
        </is>
      </c>
      <c r="B570" s="1" t="n">
        <v>44811.93648148148</v>
      </c>
      <c r="C570" s="1" t="n">
        <v>45881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32499-2025</t>
        </is>
      </c>
      <c r="B571" s="1" t="n">
        <v>45838.45792824074</v>
      </c>
      <c r="C571" s="1" t="n">
        <v>45881</v>
      </c>
      <c r="D571" t="inlineStr">
        <is>
          <t>VÄSTERBOTTENS LÄN</t>
        </is>
      </c>
      <c r="E571" t="inlineStr">
        <is>
          <t>ROBERTSFORS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33301-2025</t>
        </is>
      </c>
      <c r="B572" s="1" t="n">
        <v>45841.28633101852</v>
      </c>
      <c r="C572" s="1" t="n">
        <v>45881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32814-2025</t>
        </is>
      </c>
      <c r="B573" s="1" t="n">
        <v>45839.5271875</v>
      </c>
      <c r="C573" s="1" t="n">
        <v>45881</v>
      </c>
      <c r="D573" t="inlineStr">
        <is>
          <t>VÄSTERBOTTENS LÄN</t>
        </is>
      </c>
      <c r="E573" t="inlineStr">
        <is>
          <t>ROBERTSFORS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36594-2025</t>
        </is>
      </c>
      <c r="B574" s="1" t="n">
        <v>45870.51164351852</v>
      </c>
      <c r="C574" s="1" t="n">
        <v>45881</v>
      </c>
      <c r="D574" t="inlineStr">
        <is>
          <t>VÄSTERBOTTENS LÄN</t>
        </is>
      </c>
      <c r="E574" t="inlineStr">
        <is>
          <t>ROBERTSFORS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32263-2025</t>
        </is>
      </c>
      <c r="B575" s="1" t="n">
        <v>45835</v>
      </c>
      <c r="C575" s="1" t="n">
        <v>45881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33368-2025</t>
        </is>
      </c>
      <c r="B576" s="1" t="n">
        <v>45841.38987268518</v>
      </c>
      <c r="C576" s="1" t="n">
        <v>45881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33375-2025</t>
        </is>
      </c>
      <c r="B577" s="1" t="n">
        <v>45841.39737268518</v>
      </c>
      <c r="C577" s="1" t="n">
        <v>45881</v>
      </c>
      <c r="D577" t="inlineStr">
        <is>
          <t>VÄSTERBOTTENS LÄN</t>
        </is>
      </c>
      <c r="E577" t="inlineStr">
        <is>
          <t>ROBERTSFORS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32773-2025</t>
        </is>
      </c>
      <c r="B578" s="1" t="n">
        <v>45839.46233796296</v>
      </c>
      <c r="C578" s="1" t="n">
        <v>45881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36712-2025</t>
        </is>
      </c>
      <c r="B579" s="1" t="n">
        <v>45873.46689814814</v>
      </c>
      <c r="C579" s="1" t="n">
        <v>45881</v>
      </c>
      <c r="D579" t="inlineStr">
        <is>
          <t>VÄSTERBOTTENS LÄN</t>
        </is>
      </c>
      <c r="E579" t="inlineStr">
        <is>
          <t>ROBERTSFORS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36720-2025</t>
        </is>
      </c>
      <c r="B580" s="1" t="n">
        <v>45873.47204861111</v>
      </c>
      <c r="C580" s="1" t="n">
        <v>45881</v>
      </c>
      <c r="D580" t="inlineStr">
        <is>
          <t>VÄSTERBOTTENS LÄN</t>
        </is>
      </c>
      <c r="E580" t="inlineStr">
        <is>
          <t>ROBERTSFORS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35543-2025</t>
        </is>
      </c>
      <c r="B581" s="1" t="n">
        <v>45856.47466435185</v>
      </c>
      <c r="C581" s="1" t="n">
        <v>45881</v>
      </c>
      <c r="D581" t="inlineStr">
        <is>
          <t>VÄSTERBOTTENS LÄN</t>
        </is>
      </c>
      <c r="E581" t="inlineStr">
        <is>
          <t>ROBERTSFORS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35547-2025</t>
        </is>
      </c>
      <c r="B582" s="1" t="n">
        <v>45856.48679398148</v>
      </c>
      <c r="C582" s="1" t="n">
        <v>45881</v>
      </c>
      <c r="D582" t="inlineStr">
        <is>
          <t>VÄSTERBOTTENS LÄN</t>
        </is>
      </c>
      <c r="E582" t="inlineStr">
        <is>
          <t>ROBERTSFORS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36818-2025</t>
        </is>
      </c>
      <c r="B583" s="1" t="n">
        <v>45873.78482638889</v>
      </c>
      <c r="C583" s="1" t="n">
        <v>45881</v>
      </c>
      <c r="D583" t="inlineStr">
        <is>
          <t>VÄSTERBOTTENS LÄN</t>
        </is>
      </c>
      <c r="E583" t="inlineStr">
        <is>
          <t>ROBERTSFORS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37643-2025</t>
        </is>
      </c>
      <c r="B584" s="1" t="n">
        <v>45880.47910879629</v>
      </c>
      <c r="C584" s="1" t="n">
        <v>45881</v>
      </c>
      <c r="D584" t="inlineStr">
        <is>
          <t>VÄSTERBOTTENS LÄN</t>
        </is>
      </c>
      <c r="E584" t="inlineStr">
        <is>
          <t>ROBERTSFORS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32163-2025</t>
        </is>
      </c>
      <c r="B585" s="1" t="n">
        <v>45835</v>
      </c>
      <c r="C585" s="1" t="n">
        <v>45881</v>
      </c>
      <c r="D585" t="inlineStr">
        <is>
          <t>VÄSTERBOTTENS LÄN</t>
        </is>
      </c>
      <c r="E585" t="inlineStr">
        <is>
          <t>ROBERTSFORS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32170-2025</t>
        </is>
      </c>
      <c r="B586" s="1" t="n">
        <v>45835</v>
      </c>
      <c r="C586" s="1" t="n">
        <v>45881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27557-2024</t>
        </is>
      </c>
      <c r="B587" s="1" t="n">
        <v>45474.62798611111</v>
      </c>
      <c r="C587" s="1" t="n">
        <v>45881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62084-2022</t>
        </is>
      </c>
      <c r="B588" s="1" t="n">
        <v>44919</v>
      </c>
      <c r="C588" s="1" t="n">
        <v>45881</v>
      </c>
      <c r="D588" t="inlineStr">
        <is>
          <t>VÄSTERBOTTENS LÄN</t>
        </is>
      </c>
      <c r="E588" t="inlineStr">
        <is>
          <t>ROBERTSFORS</t>
        </is>
      </c>
      <c r="G588" t="n">
        <v>64.7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34740-2025</t>
        </is>
      </c>
      <c r="B589" s="1" t="n">
        <v>45848.60824074074</v>
      </c>
      <c r="C589" s="1" t="n">
        <v>45881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32801-2025</t>
        </is>
      </c>
      <c r="B590" s="1" t="n">
        <v>45839.49627314815</v>
      </c>
      <c r="C590" s="1" t="n">
        <v>45881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32843-2025</t>
        </is>
      </c>
      <c r="B591" s="1" t="n">
        <v>45839.57009259259</v>
      </c>
      <c r="C591" s="1" t="n">
        <v>45881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51966-2024</t>
        </is>
      </c>
      <c r="B592" s="1" t="n">
        <v>45607.65512731481</v>
      </c>
      <c r="C592" s="1" t="n">
        <v>45881</v>
      </c>
      <c r="D592" t="inlineStr">
        <is>
          <t>VÄSTERBOTTENS LÄN</t>
        </is>
      </c>
      <c r="E592" t="inlineStr">
        <is>
          <t>ROBERTSFORS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62187-2021</t>
        </is>
      </c>
      <c r="B593" s="1" t="n">
        <v>44502.91891203704</v>
      </c>
      <c r="C593" s="1" t="n">
        <v>45881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2708-2022</t>
        </is>
      </c>
      <c r="B594" s="1" t="n">
        <v>44580</v>
      </c>
      <c r="C594" s="1" t="n">
        <v>45881</v>
      </c>
      <c r="D594" t="inlineStr">
        <is>
          <t>VÄSTERBOTTENS LÄN</t>
        </is>
      </c>
      <c r="E594" t="inlineStr">
        <is>
          <t>ROBERTSFORS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14538-2023</t>
        </is>
      </c>
      <c r="B595" s="1" t="n">
        <v>45013</v>
      </c>
      <c r="C595" s="1" t="n">
        <v>45881</v>
      </c>
      <c r="D595" t="inlineStr">
        <is>
          <t>VÄSTERBOTTENS LÄN</t>
        </is>
      </c>
      <c r="E595" t="inlineStr">
        <is>
          <t>ROBERTSFORS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7475-2021</t>
        </is>
      </c>
      <c r="B596" s="1" t="n">
        <v>44239</v>
      </c>
      <c r="C596" s="1" t="n">
        <v>45881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2516-2021</t>
        </is>
      </c>
      <c r="B597" s="1" t="n">
        <v>44214</v>
      </c>
      <c r="C597" s="1" t="n">
        <v>45881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59596-2023</t>
        </is>
      </c>
      <c r="B598" s="1" t="n">
        <v>45254</v>
      </c>
      <c r="C598" s="1" t="n">
        <v>45881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2025-08-12T08:25:02Z</dcterms:created>
  <dcterms:modified xmlns:dcterms="http://purl.org/dc/terms/" xmlns:xsi="http://www.w3.org/2001/XMLSchema-instance" xsi:type="dcterms:W3CDTF">2025-08-12T08:25:03Z</dcterms:modified>
</cp:coreProperties>
</file>