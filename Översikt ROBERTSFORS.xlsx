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46252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46252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46252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46252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46252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46252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46252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46252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46252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46252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46252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46252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46252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41962-2023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45177</v>
      </c>
      <c r="E25" s="1" t="n">
        <v>46252</v>
      </c>
      <c r="F25" t="inlineStr">
        <is>
          <t>VÄSTERBOTTENS LÄN</t>
        </is>
      </c>
      <c r="G25" t="inlineStr">
        <is>
          <t>ROBERTSFORS</t>
        </is>
      </c>
      <c r="I25" t="n">
        <v>0.3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Ullticka
Vedticka</t>
        </is>
      </c>
      <c r="W25">
        <f>HYPERLINK("https://klasma.github.io/Logging_2409/artfynd/A 41962-2023 artfynd.xlsx", "A 41962-2023")</f>
        <v/>
      </c>
      <c r="X25">
        <f>HYPERLINK("https://klasma.github.io/Logging_2409/kartor/A 41962-2023 karta.png", "A 41962-2023")</f>
        <v/>
      </c>
      <c r="Y25">
        <f>HYPERLINK("https://klasma.github.io/Logging_2409/kartor_geotiff/A 41962-2023 georefererad karta.tif", "A 41962-2023")</f>
        <v/>
      </c>
      <c r="AA25">
        <f>HYPERLINK("https://klasma.github.io/Logging_2409/klagomål/A 41962-2023 FSC-klagomål.docx", "A 41962-2023")</f>
        <v/>
      </c>
      <c r="AB25">
        <f>HYPERLINK("https://klasma.github.io/Logging_2409/klagomålsmail/A 41962-2023 FSC-klagomål mail.docx", "A 41962-2023")</f>
        <v/>
      </c>
      <c r="AC25">
        <f>HYPERLINK("https://klasma.github.io/Logging_2409/tillsyn/A 41962-2023 tillsynsbegäran.docx", "A 41962-2023")</f>
        <v/>
      </c>
      <c r="AD25">
        <f>HYPERLINK("https://klasma.github.io/Logging_2409/tillsynsmail/A 41962-2023 tillsynsbegäran mail.docx", "A 41962-2023")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46252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26204-2024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46252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3.9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8</v>
      </c>
      <c r="U27" t="n">
        <v>8</v>
      </c>
      <c r="V27" s="2" t="inlineStr">
        <is>
          <t>Tjäder
Orre</t>
        </is>
      </c>
      <c r="W27">
        <f>HYPERLINK("https://klasma.github.io/Logging_2409/artfynd/A 26204-2024 artfynd.xlsx", "A 26204-2024")</f>
        <v/>
      </c>
      <c r="X27">
        <f>HYPERLINK("https://klasma.github.io/Logging_2409/kartor/A 26204-2024 karta.png", "A 26204-2024")</f>
        <v/>
      </c>
      <c r="Y27">
        <f>HYPERLINK("https://klasma.github.io/Logging_2409/kartor_geotiff/A 26204-2024 georefererad karta.tif", "A 26204-2024")</f>
        <v/>
      </c>
      <c r="AA27">
        <f>HYPERLINK("https://klasma.github.io/Logging_2409/klagomål/A 26204-2024 FSC-klagomål.docx", "A 26204-2024")</f>
        <v/>
      </c>
      <c r="AB27">
        <f>HYPERLINK("https://klasma.github.io/Logging_2409/klagomålsmail/A 26204-2024 FSC-klagomål mail.docx", "A 26204-2024")</f>
        <v/>
      </c>
      <c r="AC27">
        <f>HYPERLINK("https://klasma.github.io/Logging_2409/tillsyn/A 26204-2024 tillsynsbegäran.docx", "A 26204-2024")</f>
        <v/>
      </c>
      <c r="AD27">
        <f>HYPERLINK("https://klasma.github.io/Logging_2409/tillsynsmail/A 26204-2024 tillsynsbegäran mail.docx", "A 26204-2024")</f>
        <v/>
      </c>
      <c r="AE27">
        <f>HYPERLINK("https://klasma.github.io/Logging_2409/fåglar/A 26204-2024 prioriterade fågelarter.docx", "A 26204-2024")</f>
        <v/>
      </c>
    </row>
    <row r="28" ht="15" customHeight="1">
      <c r="A28" t="inlineStr">
        <is>
          <t>A 31320-2024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46252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4.9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Kolflarnlav
Vedflamlav</t>
        </is>
      </c>
      <c r="W28">
        <f>HYPERLINK("https://klasma.github.io/Logging_2409/artfynd/A 31320-2024 artfynd.xlsx", "A 31320-2024")</f>
        <v/>
      </c>
      <c r="X28">
        <f>HYPERLINK("https://klasma.github.io/Logging_2409/kartor/A 31320-2024 karta.png", "A 31320-2024")</f>
        <v/>
      </c>
      <c r="Y28">
        <f>HYPERLINK("https://klasma.github.io/Logging_2409/kartor_geotiff/A 31320-2024 georefererad karta.tif", "A 31320-2024")</f>
        <v/>
      </c>
      <c r="AA28">
        <f>HYPERLINK("https://klasma.github.io/Logging_2409/klagomål/A 31320-2024 FSC-klagomål.docx", "A 31320-2024")</f>
        <v/>
      </c>
      <c r="AB28">
        <f>HYPERLINK("https://klasma.github.io/Logging_2409/klagomålsmail/A 31320-2024 FSC-klagomål mail.docx", "A 31320-2024")</f>
        <v/>
      </c>
      <c r="AC28">
        <f>HYPERLINK("https://klasma.github.io/Logging_2409/tillsyn/A 31320-2024 tillsynsbegäran.docx", "A 31320-2024")</f>
        <v/>
      </c>
      <c r="AD28">
        <f>HYPERLINK("https://klasma.github.io/Logging_2409/tillsynsmail/A 31320-2024 tillsynsbegäran mail.docx", "A 31320-2024")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46252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19724-2023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46252</v>
      </c>
      <c r="F30" t="inlineStr">
        <is>
          <t>VÄSTERBOTTENS LÄN</t>
        </is>
      </c>
      <c r="G30" t="inlineStr">
        <is>
          <t>ROBERTSFORS</t>
        </is>
      </c>
      <c r="I30" t="n">
        <v>6.1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Skarp dropptaggsvamp</t>
        </is>
      </c>
      <c r="W30">
        <f>HYPERLINK("https://klasma.github.io/Logging_2409/artfynd/A 19724-2023 artfynd.xlsx", "A 19724-2023")</f>
        <v/>
      </c>
      <c r="X30">
        <f>HYPERLINK("https://klasma.github.io/Logging_2409/kartor/A 19724-2023 karta.png", "A 19724-2023")</f>
        <v/>
      </c>
      <c r="Y30">
        <f>HYPERLINK("https://klasma.github.io/Logging_2409/kartor_geotiff/A 19724-2023 georefererad karta.tif", "A 19724-2023")</f>
        <v/>
      </c>
      <c r="AA30">
        <f>HYPERLINK("https://klasma.github.io/Logging_2409/klagomål/A 19724-2023 FSC-klagomål.docx", "A 19724-2023")</f>
        <v/>
      </c>
      <c r="AB30">
        <f>HYPERLINK("https://klasma.github.io/Logging_2409/klagomålsmail/A 19724-2023 FSC-klagomål mail.docx", "A 19724-2023")</f>
        <v/>
      </c>
      <c r="AC30">
        <f>HYPERLINK("https://klasma.github.io/Logging_2409/tillsyn/A 19724-2023 tillsynsbegäran.docx", "A 19724-2023")</f>
        <v/>
      </c>
      <c r="AD30">
        <f>HYPERLINK("https://klasma.github.io/Logging_2409/tillsynsmail/A 19724-2023 tillsynsbegäran mail.docx", "A 19724-2023")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46252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46252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46252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46252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46252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46252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t="n">
        <v>0</v>
      </c>
      <c r="V36" s="2" t="inlineStr">
        <is>
          <t>Garnlav
Tretåig hackspett</t>
        </is>
      </c>
      <c r="W36">
        <f>HYPERLINK("https://klasma.github.io/Logging_2409/artfynd/A 26807-2026 artfynd.xlsx", "A 26807-2026")</f>
        <v/>
      </c>
      <c r="X36">
        <f>HYPERLINK("https://klasma.github.io/Logging_2409/kartor/A 26807-2026 karta.png", "A 26807-2026")</f>
        <v/>
      </c>
      <c r="Y36">
        <f>HYPERLINK("https://klasma.github.io/Logging_2409/kartor_geotiff/A 26807-2026 georefererad karta.tif", "A 26807-2026")</f>
        <v/>
      </c>
      <c r="AA36">
        <f>HYPERLINK("https://klasma.github.io/Logging_2409/klagomål/A 26807-2026 FSC-klagomål.docx", "A 26807-2026")</f>
        <v/>
      </c>
      <c r="AB36">
        <f>HYPERLINK("https://klasma.github.io/Logging_2409/klagomålsmail/A 26807-2026 FSC-klagomål mail.docx", "A 26807-2026")</f>
        <v/>
      </c>
      <c r="AC36">
        <f>HYPERLINK("https://klasma.github.io/Logging_2409/tillsyn/A 26807-2026 tillsynsbegäran.docx", "A 26807-2026")</f>
        <v/>
      </c>
      <c r="AD36">
        <f>HYPERLINK("https://klasma.github.io/Logging_2409/tillsynsmail/A 26807-2026 tillsynsbegäran mail.docx", "A 26807-2026")</f>
        <v/>
      </c>
      <c r="AE36">
        <f>HYPERLINK("https://klasma.github.io/Logging_2409/fåglar/A 26807-2026 prioriterade fågelarter.docx", "A 26807-2026")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46252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40600-2022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44823</v>
      </c>
      <c r="E42" s="1" t="n">
        <v>46252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Fiskgjuse</t>
        </is>
      </c>
      <c r="W42">
        <f>HYPERLINK("https://klasma.github.io/Logging_2409/artfynd/A 40600-2022 artfynd.xlsx", "A 40600-2022")</f>
        <v/>
      </c>
      <c r="X42">
        <f>HYPERLINK("https://klasma.github.io/Logging_2409/kartor/A 40600-2022 karta.png", "A 40600-2022")</f>
        <v/>
      </c>
      <c r="Y42">
        <f>HYPERLINK("https://klasma.github.io/Logging_2409/kartor_geotiff/A 40600-2022 georefererad karta.tif", "A 40600-2022")</f>
        <v/>
      </c>
      <c r="AA42">
        <f>HYPERLINK("https://klasma.github.io/Logging_2409/klagomål/A 40600-2022 FSC-klagomål.docx", "A 40600-2022")</f>
        <v/>
      </c>
      <c r="AB42">
        <f>HYPERLINK("https://klasma.github.io/Logging_2409/klagomålsmail/A 40600-2022 FSC-klagomål mail.docx", "A 40600-2022")</f>
        <v/>
      </c>
      <c r="AC42">
        <f>HYPERLINK("https://klasma.github.io/Logging_2409/tillsyn/A 40600-2022 tillsynsbegäran.docx", "A 40600-2022")</f>
        <v/>
      </c>
      <c r="AD42">
        <f>HYPERLINK("https://klasma.github.io/Logging_2409/tillsynsmail/A 40600-2022 tillsynsbegäran mail.docx", "A 40600-2022")</f>
        <v/>
      </c>
      <c r="AE42">
        <f>HYPERLINK("https://klasma.github.io/Logging_2409/fåglar/A 40600-2022 prioriterade fågelarter.docx", "A 40600-2022")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46252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46252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46252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46252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32876-2023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45124</v>
      </c>
      <c r="E47" s="1" t="n">
        <v>46252</v>
      </c>
      <c r="F47" t="inlineStr">
        <is>
          <t>VÄSTERBOTTENS LÄN</t>
        </is>
      </c>
      <c r="G47" t="inlineStr">
        <is>
          <t>ROBERTSFORS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HYPERLINK("https://klasma.github.io/Logging_2409/artfynd/A 32876-2023 artfynd.xlsx", "A 32876-2023")</f>
        <v/>
      </c>
      <c r="X47">
        <f>HYPERLINK("https://klasma.github.io/Logging_2409/kartor/A 32876-2023 karta.png", "A 32876-2023")</f>
        <v/>
      </c>
      <c r="Y47">
        <f>HYPERLINK("https://klasma.github.io/Logging_2409/kartor_geotiff/A 32876-2023 georefererad karta.tif", "A 32876-2023")</f>
        <v/>
      </c>
      <c r="AA47">
        <f>HYPERLINK("https://klasma.github.io/Logging_2409/klagomål/A 32876-2023 FSC-klagomål.docx", "A 32876-2023")</f>
        <v/>
      </c>
      <c r="AB47">
        <f>HYPERLINK("https://klasma.github.io/Logging_2409/klagomålsmail/A 32876-2023 FSC-klagomål mail.docx", "A 32876-2023")</f>
        <v/>
      </c>
      <c r="AC47">
        <f>HYPERLINK("https://klasma.github.io/Logging_2409/tillsyn/A 32876-2023 tillsynsbegäran.docx", "A 32876-2023")</f>
        <v/>
      </c>
      <c r="AD47">
        <f>HYPERLINK("https://klasma.github.io/Logging_2409/tillsynsmail/A 32876-2023 tillsynsbegäran mail.docx", "A 32876-2023")</f>
        <v/>
      </c>
    </row>
    <row r="48" ht="15" customHeight="1">
      <c r="A48" t="inlineStr">
        <is>
          <t>A 49086-2023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46252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8.300000000000001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HYPERLINK("https://klasma.github.io/Logging_2409/artfynd/A 49086-2023 artfynd.xlsx", "A 49086-2023")</f>
        <v/>
      </c>
      <c r="X48">
        <f>HYPERLINK("https://klasma.github.io/Logging_2409/kartor/A 49086-2023 karta.png", "A 49086-2023")</f>
        <v/>
      </c>
      <c r="Y48">
        <f>HYPERLINK("https://klasma.github.io/Logging_2409/kartor_geotiff/A 49086-2023 georefererad karta.tif", "A 49086-2023")</f>
        <v/>
      </c>
      <c r="AA48">
        <f>HYPERLINK("https://klasma.github.io/Logging_2409/klagomål/A 49086-2023 FSC-klagomål.docx", "A 49086-2023")</f>
        <v/>
      </c>
      <c r="AB48">
        <f>HYPERLINK("https://klasma.github.io/Logging_2409/klagomålsmail/A 49086-2023 FSC-klagomål mail.docx", "A 49086-2023")</f>
        <v/>
      </c>
      <c r="AC48">
        <f>HYPERLINK("https://klasma.github.io/Logging_2409/tillsyn/A 49086-2023 tillsynsbegäran.docx", "A 49086-2023")</f>
        <v/>
      </c>
      <c r="AD48">
        <f>HYPERLINK("https://klasma.github.io/Logging_2409/tillsynsmail/A 49086-2023 tillsynsbegäran mail.docx", "A 49086-2023")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46252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57653-2024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45630</v>
      </c>
      <c r="E50" s="1" t="n">
        <v>46252</v>
      </c>
      <c r="F50" t="inlineStr">
        <is>
          <t>VÄSTERBOTTENS LÄN</t>
        </is>
      </c>
      <c r="G50" t="inlineStr">
        <is>
          <t>ROBERTSFORS</t>
        </is>
      </c>
      <c r="I50" t="n">
        <v>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Blå kärrhök</t>
        </is>
      </c>
      <c r="W50">
        <f>HYPERLINK("https://klasma.github.io/Logging_2409/artfynd/A 57653-2024 artfynd.xlsx", "A 57653-2024")</f>
        <v/>
      </c>
      <c r="X50">
        <f>HYPERLINK("https://klasma.github.io/Logging_2409/kartor/A 57653-2024 karta.png", "A 57653-2024")</f>
        <v/>
      </c>
      <c r="Y50">
        <f>HYPERLINK("https://klasma.github.io/Logging_2409/kartor_geotiff/A 57653-2024 georefererad karta.tif", "A 57653-2024")</f>
        <v/>
      </c>
      <c r="AA50">
        <f>HYPERLINK("https://klasma.github.io/Logging_2409/klagomål/A 57653-2024 FSC-klagomål.docx", "A 57653-2024")</f>
        <v/>
      </c>
      <c r="AB50">
        <f>HYPERLINK("https://klasma.github.io/Logging_2409/klagomålsmail/A 57653-2024 FSC-klagomål mail.docx", "A 57653-2024")</f>
        <v/>
      </c>
      <c r="AC50">
        <f>HYPERLINK("https://klasma.github.io/Logging_2409/tillsyn/A 57653-2024 tillsynsbegäran.docx", "A 57653-2024")</f>
        <v/>
      </c>
      <c r="AD50">
        <f>HYPERLINK("https://klasma.github.io/Logging_2409/tillsynsmail/A 57653-2024 tillsynsbegäran mail.docx", "A 57653-2024")</f>
        <v/>
      </c>
      <c r="AE50">
        <f>HYPERLINK("https://klasma.github.io/Logging_2409/fåglar/A 57653-2024 prioriterade fågelarter.docx", "A 57653-2024")</f>
        <v/>
      </c>
    </row>
    <row r="51" ht="15" customHeight="1">
      <c r="A51" t="inlineStr">
        <is>
          <t>A 52723-2025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46252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Orre</t>
        </is>
      </c>
      <c r="W51">
        <f>HYPERLINK("https://klasma.github.io/Logging_2409/artfynd/A 52723-2025 artfynd.xlsx", "A 52723-2025")</f>
        <v/>
      </c>
      <c r="X51">
        <f>HYPERLINK("https://klasma.github.io/Logging_2409/kartor/A 52723-2025 karta.png", "A 52723-2025")</f>
        <v/>
      </c>
      <c r="Y51">
        <f>HYPERLINK("https://klasma.github.io/Logging_2409/kartor_geotiff/A 52723-2025 georefererad karta.tif", "A 52723-2025")</f>
        <v/>
      </c>
      <c r="AA51">
        <f>HYPERLINK("https://klasma.github.io/Logging_2409/klagomål/A 52723-2025 FSC-klagomål.docx", "A 52723-2025")</f>
        <v/>
      </c>
      <c r="AB51">
        <f>HYPERLINK("https://klasma.github.io/Logging_2409/klagomålsmail/A 52723-2025 FSC-klagomål mail.docx", "A 52723-2025")</f>
        <v/>
      </c>
      <c r="AC51">
        <f>HYPERLINK("https://klasma.github.io/Logging_2409/tillsyn/A 52723-2025 tillsynsbegäran.docx", "A 52723-2025")</f>
        <v/>
      </c>
      <c r="AD51">
        <f>HYPERLINK("https://klasma.github.io/Logging_2409/tillsynsmail/A 52723-2025 tillsynsbegäran mail.docx", "A 52723-2025")</f>
        <v/>
      </c>
      <c r="AE51">
        <f>HYPERLINK("https://klasma.github.io/Logging_2409/fåglar/A 52723-2025 prioriterade fågelarter.docx", "A 52723-2025")</f>
        <v/>
      </c>
    </row>
    <row r="52" ht="15" customHeight="1">
      <c r="A52" t="inlineStr">
        <is>
          <t>A 36703-2023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45153</v>
      </c>
      <c r="E52" s="1" t="n">
        <v>46252</v>
      </c>
      <c r="F52" t="inlineStr">
        <is>
          <t>VÄSTERBOTTENS LÄN</t>
        </is>
      </c>
      <c r="G52" t="inlineStr">
        <is>
          <t>ROBERTSFORS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Tallkötticka</t>
        </is>
      </c>
      <c r="W52">
        <f>HYPERLINK("https://klasma.github.io/Logging_2409/artfynd/A 36703-2023 artfynd.xlsx", "A 36703-2023")</f>
        <v/>
      </c>
      <c r="X52">
        <f>HYPERLINK("https://klasma.github.io/Logging_2409/kartor/A 36703-2023 karta.png", "A 36703-2023")</f>
        <v/>
      </c>
      <c r="Y52">
        <f>HYPERLINK("https://klasma.github.io/Logging_2409/kartor_geotiff/A 36703-2023 georefererad karta.tif", "A 36703-2023")</f>
        <v/>
      </c>
      <c r="AA52">
        <f>HYPERLINK("https://klasma.github.io/Logging_2409/klagomål/A 36703-2023 FSC-klagomål.docx", "A 36703-2023")</f>
        <v/>
      </c>
      <c r="AB52">
        <f>HYPERLINK("https://klasma.github.io/Logging_2409/klagomålsmail/A 36703-2023 FSC-klagomål mail.docx", "A 36703-2023")</f>
        <v/>
      </c>
      <c r="AC52">
        <f>HYPERLINK("https://klasma.github.io/Logging_2409/tillsyn/A 36703-2023 tillsynsbegäran.docx", "A 36703-2023")</f>
        <v/>
      </c>
      <c r="AD52">
        <f>HYPERLINK("https://klasma.github.io/Logging_2409/tillsynsmail/A 36703-2023 tillsynsbegäran mail.docx", "A 36703-2023")</f>
        <v/>
      </c>
    </row>
    <row r="53" ht="15" customHeight="1">
      <c r="A53" t="inlineStr">
        <is>
          <t>A 57270-2023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46252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57270-2023 artfynd.xlsx", "A 57270-2023")</f>
        <v/>
      </c>
      <c r="X53">
        <f>HYPERLINK("https://klasma.github.io/Logging_2409/kartor/A 57270-2023 karta.png", "A 57270-2023")</f>
        <v/>
      </c>
      <c r="Y53">
        <f>HYPERLINK("https://klasma.github.io/Logging_2409/kartor_geotiff/A 57270-2023 georefererad karta.tif", "A 57270-2023")</f>
        <v/>
      </c>
      <c r="AA53">
        <f>HYPERLINK("https://klasma.github.io/Logging_2409/klagomål/A 57270-2023 FSC-klagomål.docx", "A 57270-2023")</f>
        <v/>
      </c>
      <c r="AB53">
        <f>HYPERLINK("https://klasma.github.io/Logging_2409/klagomålsmail/A 57270-2023 FSC-klagomål mail.docx", "A 57270-2023")</f>
        <v/>
      </c>
      <c r="AC53">
        <f>HYPERLINK("https://klasma.github.io/Logging_2409/tillsyn/A 57270-2023 tillsynsbegäran.docx", "A 57270-2023")</f>
        <v/>
      </c>
      <c r="AD53">
        <f>HYPERLINK("https://klasma.github.io/Logging_2409/tillsynsmail/A 57270-2023 tillsynsbegäran mail.docx", "A 57270-2023")</f>
        <v/>
      </c>
    </row>
    <row r="54" ht="15" customHeight="1">
      <c r="A54" t="inlineStr">
        <is>
          <t>A 54484-2023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46252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Sveaskog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1</v>
      </c>
      <c r="V54" s="2" t="inlineStr">
        <is>
          <t>Dropptaggsvamp</t>
        </is>
      </c>
      <c r="W54">
        <f>HYPERLINK("https://klasma.github.io/Logging_2409/artfynd/A 54484-2023 artfynd.xlsx", "A 54484-2023")</f>
        <v/>
      </c>
      <c r="X54">
        <f>HYPERLINK("https://klasma.github.io/Logging_2409/kartor/A 54484-2023 karta.png", "A 54484-2023")</f>
        <v/>
      </c>
      <c r="Y54">
        <f>HYPERLINK("https://klasma.github.io/Logging_2409/kartor_geotiff/A 54484-2023 georefererad karta.tif", "A 54484-2023")</f>
        <v/>
      </c>
      <c r="AA54">
        <f>HYPERLINK("https://klasma.github.io/Logging_2409/klagomål/A 54484-2023 FSC-klagomål.docx", "A 54484-2023")</f>
        <v/>
      </c>
      <c r="AB54">
        <f>HYPERLINK("https://klasma.github.io/Logging_2409/klagomålsmail/A 54484-2023 FSC-klagomål mail.docx", "A 54484-2023")</f>
        <v/>
      </c>
      <c r="AC54">
        <f>HYPERLINK("https://klasma.github.io/Logging_2409/tillsyn/A 54484-2023 tillsynsbegäran.docx", "A 54484-2023")</f>
        <v/>
      </c>
      <c r="AD54">
        <f>HYPERLINK("https://klasma.github.io/Logging_2409/tillsynsmail/A 54484-2023 tillsynsbegäran mail.docx", "A 54484-2023")</f>
        <v/>
      </c>
    </row>
    <row r="55" ht="15" customHeight="1">
      <c r="A55" t="inlineStr">
        <is>
          <t>A 57284-2023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46252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6.8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57284-2023 artfynd.xlsx", "A 57284-2023")</f>
        <v/>
      </c>
      <c r="X55">
        <f>HYPERLINK("https://klasma.github.io/Logging_2409/kartor/A 57284-2023 karta.png", "A 57284-2023")</f>
        <v/>
      </c>
      <c r="Y55">
        <f>HYPERLINK("https://klasma.github.io/Logging_2409/kartor_geotiff/A 57284-2023 georefererad karta.tif", "A 57284-2023")</f>
        <v/>
      </c>
      <c r="AA55">
        <f>HYPERLINK("https://klasma.github.io/Logging_2409/klagomål/A 57284-2023 FSC-klagomål.docx", "A 57284-2023")</f>
        <v/>
      </c>
      <c r="AB55">
        <f>HYPERLINK("https://klasma.github.io/Logging_2409/klagomålsmail/A 57284-2023 FSC-klagomål mail.docx", "A 57284-2023")</f>
        <v/>
      </c>
      <c r="AC55">
        <f>HYPERLINK("https://klasma.github.io/Logging_2409/tillsyn/A 57284-2023 tillsynsbegäran.docx", "A 57284-2023")</f>
        <v/>
      </c>
      <c r="AD55">
        <f>HYPERLINK("https://klasma.github.io/Logging_2409/tillsynsmail/A 57284-2023 tillsynsbegäran mail.docx", "A 57284-2023")</f>
        <v/>
      </c>
    </row>
    <row r="56" ht="15" customHeight="1">
      <c r="A56" t="inlineStr">
        <is>
          <t>A 5285-2026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46252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HYPERLINK("https://klasma.github.io/Logging_2409/artfynd/A 5285-2026 artfynd.xlsx", "A 5285-2026")</f>
        <v/>
      </c>
      <c r="X56">
        <f>HYPERLINK("https://klasma.github.io/Logging_2409/kartor/A 5285-2026 karta.png", "A 5285-2026")</f>
        <v/>
      </c>
      <c r="Y56">
        <f>HYPERLINK("https://klasma.github.io/Logging_2409/kartor_geotiff/A 5285-2026 georefererad karta.tif", "A 5285-2026")</f>
        <v/>
      </c>
      <c r="AA56">
        <f>HYPERLINK("https://klasma.github.io/Logging_2409/klagomål/A 5285-2026 FSC-klagomål.docx", "A 5285-2026")</f>
        <v/>
      </c>
      <c r="AB56">
        <f>HYPERLINK("https://klasma.github.io/Logging_2409/klagomålsmail/A 5285-2026 FSC-klagomål mail.docx", "A 5285-2026")</f>
        <v/>
      </c>
      <c r="AC56">
        <f>HYPERLINK("https://klasma.github.io/Logging_2409/tillsyn/A 5285-2026 tillsynsbegäran.docx", "A 5285-2026")</f>
        <v/>
      </c>
      <c r="AD56">
        <f>HYPERLINK("https://klasma.github.io/Logging_2409/tillsynsmail/A 5285-2026 tillsynsbegäran mail.docx", "A 5285-2026")</f>
        <v/>
      </c>
      <c r="AE56">
        <f>HYPERLINK("https://klasma.github.io/Logging_2409/fåglar/A 5285-2026 prioriterade fågelarter.docx", "A 5285-2026")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46252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46252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32023-2024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46252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HYPERLINK("https://klasma.github.io/Logging_2409/artfynd/A 32023-2024 artfynd.xlsx", "A 32023-2024")</f>
        <v/>
      </c>
      <c r="X59">
        <f>HYPERLINK("https://klasma.github.io/Logging_2409/kartor/A 32023-2024 karta.png", "A 32023-2024")</f>
        <v/>
      </c>
      <c r="Y59">
        <f>HYPERLINK("https://klasma.github.io/Logging_2409/kartor_geotiff/A 32023-2024 georefererad karta.tif", "A 32023-2024")</f>
        <v/>
      </c>
      <c r="AA59">
        <f>HYPERLINK("https://klasma.github.io/Logging_2409/klagomål/A 32023-2024 FSC-klagomål.docx", "A 32023-2024")</f>
        <v/>
      </c>
      <c r="AB59">
        <f>HYPERLINK("https://klasma.github.io/Logging_2409/klagomålsmail/A 32023-2024 FSC-klagomål mail.docx", "A 32023-2024")</f>
        <v/>
      </c>
      <c r="AC59">
        <f>HYPERLINK("https://klasma.github.io/Logging_2409/tillsyn/A 32023-2024 tillsynsbegäran.docx", "A 32023-2024")</f>
        <v/>
      </c>
      <c r="AD59">
        <f>HYPERLINK("https://klasma.github.io/Logging_2409/tillsynsmail/A 32023-2024 tillsynsbegäran mail.docx", "A 32023-2024")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46252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46252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46252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8753-2025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45712</v>
      </c>
      <c r="E63" s="1" t="n">
        <v>46252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Kommuner</t>
        </is>
      </c>
      <c r="I63" t="n">
        <v>8.1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Nattviol</t>
        </is>
      </c>
      <c r="W63">
        <f>HYPERLINK("https://klasma.github.io/Logging_2409/artfynd/A 8753-2025 artfynd.xlsx", "A 8753-2025")</f>
        <v/>
      </c>
      <c r="X63">
        <f>HYPERLINK("https://klasma.github.io/Logging_2409/kartor/A 8753-2025 karta.png", "A 8753-2025")</f>
        <v/>
      </c>
      <c r="Y63">
        <f>HYPERLINK("https://klasma.github.io/Logging_2409/kartor_geotiff/A 8753-2025 georefererad karta.tif", "A 8753-2025")</f>
        <v/>
      </c>
      <c r="AA63">
        <f>HYPERLINK("https://klasma.github.io/Logging_2409/klagomål/A 8753-2025 FSC-klagomål.docx", "A 8753-2025")</f>
        <v/>
      </c>
      <c r="AB63">
        <f>HYPERLINK("https://klasma.github.io/Logging_2409/klagomålsmail/A 8753-2025 FSC-klagomål mail.docx", "A 8753-2025")</f>
        <v/>
      </c>
      <c r="AC63">
        <f>HYPERLINK("https://klasma.github.io/Logging_2409/tillsyn/A 8753-2025 tillsynsbegäran.docx", "A 8753-2025")</f>
        <v/>
      </c>
      <c r="AD63">
        <f>HYPERLINK("https://klasma.github.io/Logging_2409/tillsynsmail/A 8753-2025 tillsynsbegäran mail.docx", "A 8753-2025")</f>
        <v/>
      </c>
    </row>
    <row r="64" ht="15" customHeight="1">
      <c r="A64" t="inlineStr">
        <is>
          <t>A 35551-2025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45856</v>
      </c>
      <c r="E64" s="1" t="n">
        <v>46252</v>
      </c>
      <c r="F64" t="inlineStr">
        <is>
          <t>VÄSTERBOTTENS LÄN</t>
        </is>
      </c>
      <c r="G64" t="inlineStr">
        <is>
          <t>ROBERTSFORS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HYPERLINK("https://klasma.github.io/Logging_2409/artfynd/A 35551-2025 artfynd.xlsx", "A 35551-2025")</f>
        <v/>
      </c>
      <c r="X64">
        <f>HYPERLINK("https://klasma.github.io/Logging_2409/kartor/A 35551-2025 karta.png", "A 35551-2025")</f>
        <v/>
      </c>
      <c r="Y64">
        <f>HYPERLINK("https://klasma.github.io/Logging_2409/kartor_geotiff/A 35551-2025 georefererad karta.tif", "A 35551-2025")</f>
        <v/>
      </c>
      <c r="AA64">
        <f>HYPERLINK("https://klasma.github.io/Logging_2409/klagomål/A 35551-2025 FSC-klagomål.docx", "A 35551-2025")</f>
        <v/>
      </c>
      <c r="AB64">
        <f>HYPERLINK("https://klasma.github.io/Logging_2409/klagomålsmail/A 35551-2025 FSC-klagomål mail.docx", "A 35551-2025")</f>
        <v/>
      </c>
      <c r="AC64">
        <f>HYPERLINK("https://klasma.github.io/Logging_2409/tillsyn/A 35551-2025 tillsynsbegäran.docx", "A 35551-2025")</f>
        <v/>
      </c>
      <c r="AD64">
        <f>HYPERLINK("https://klasma.github.io/Logging_2409/tillsynsmail/A 35551-2025 tillsynsbegäran mail.docx", "A 35551-2025")</f>
        <v/>
      </c>
      <c r="AE64">
        <f>HYPERLINK("https://klasma.github.io/Logging_2409/fåglar/A 35551-2025 prioriterade fågelarter.docx", "A 35551-2025")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46252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29583-2026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46252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SCA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Björksplintborre</t>
        </is>
      </c>
      <c r="W66">
        <f>HYPERLINK("https://klasma.github.io/Logging_2409/artfynd/A 29583-2026 artfynd.xlsx", "A 29583-2026")</f>
        <v/>
      </c>
      <c r="X66">
        <f>HYPERLINK("https://klasma.github.io/Logging_2409/kartor/A 29583-2026 karta.png", "A 29583-2026")</f>
        <v/>
      </c>
      <c r="Y66">
        <f>HYPERLINK("https://klasma.github.io/Logging_2409/kartor_geotiff/A 29583-2026 georefererad karta.tif", "A 29583-2026")</f>
        <v/>
      </c>
      <c r="AA66">
        <f>HYPERLINK("https://klasma.github.io/Logging_2409/klagomål/A 29583-2026 FSC-klagomål.docx", "A 29583-2026")</f>
        <v/>
      </c>
      <c r="AB66">
        <f>HYPERLINK("https://klasma.github.io/Logging_2409/klagomålsmail/A 29583-2026 FSC-klagomål mail.docx", "A 29583-2026")</f>
        <v/>
      </c>
      <c r="AC66">
        <f>HYPERLINK("https://klasma.github.io/Logging_2409/tillsyn/A 29583-2026 tillsynsbegäran.docx", "A 29583-2026")</f>
        <v/>
      </c>
      <c r="AD66">
        <f>HYPERLINK("https://klasma.github.io/Logging_2409/tillsynsmail/A 29583-2026 tillsynsbegäran mail.docx", "A 29583-2026")</f>
        <v/>
      </c>
    </row>
    <row r="67" ht="15" customHeight="1">
      <c r="A67" t="inlineStr">
        <is>
          <t>A 42891-2023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46252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3.8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HYPERLINK("https://klasma.github.io/Logging_2409/artfynd/A 42891-2023 artfynd.xlsx", "A 42891-2023")</f>
        <v/>
      </c>
      <c r="X67">
        <f>HYPERLINK("https://klasma.github.io/Logging_2409/kartor/A 42891-2023 karta.png", "A 42891-2023")</f>
        <v/>
      </c>
      <c r="Y67">
        <f>HYPERLINK("https://klasma.github.io/Logging_2409/kartor_geotiff/A 42891-2023 georefererad karta.tif", "A 42891-2023")</f>
        <v/>
      </c>
      <c r="AA67">
        <f>HYPERLINK("https://klasma.github.io/Logging_2409/klagomål/A 42891-2023 FSC-klagomål.docx", "A 42891-2023")</f>
        <v/>
      </c>
      <c r="AB67">
        <f>HYPERLINK("https://klasma.github.io/Logging_2409/klagomålsmail/A 42891-2023 FSC-klagomål mail.docx", "A 42891-2023")</f>
        <v/>
      </c>
      <c r="AC67">
        <f>HYPERLINK("https://klasma.github.io/Logging_2409/tillsyn/A 42891-2023 tillsynsbegäran.docx", "A 42891-2023")</f>
        <v/>
      </c>
      <c r="AD67">
        <f>HYPERLINK("https://klasma.github.io/Logging_2409/tillsynsmail/A 42891-2023 tillsynsbegäran mail.docx", "A 42891-2023")</f>
        <v/>
      </c>
    </row>
    <row r="68" ht="15" customHeight="1">
      <c r="A68" t="inlineStr">
        <is>
          <t>A 10145-2025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46252</v>
      </c>
      <c r="F68" t="inlineStr">
        <is>
          <t>VÄSTERBOTTENS LÄN</t>
        </is>
      </c>
      <c r="G68" t="inlineStr">
        <is>
          <t>ROBERTSFORS</t>
        </is>
      </c>
      <c r="I68" t="n">
        <v>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HYPERLINK("https://klasma.github.io/Logging_2409/artfynd/A 10145-2025 artfynd.xlsx", "A 10145-2025")</f>
        <v/>
      </c>
      <c r="X68">
        <f>HYPERLINK("https://klasma.github.io/Logging_2409/kartor/A 10145-2025 karta.png", "A 10145-2025")</f>
        <v/>
      </c>
      <c r="Y68">
        <f>HYPERLINK("https://klasma.github.io/Logging_2409/kartor_geotiff/A 10145-2025 georefererad karta.tif", "A 10145-2025")</f>
        <v/>
      </c>
      <c r="AA68">
        <f>HYPERLINK("https://klasma.github.io/Logging_2409/klagomål/A 10145-2025 FSC-klagomål.docx", "A 10145-2025")</f>
        <v/>
      </c>
      <c r="AB68">
        <f>HYPERLINK("https://klasma.github.io/Logging_2409/klagomålsmail/A 10145-2025 FSC-klagomål mail.docx", "A 10145-2025")</f>
        <v/>
      </c>
      <c r="AC68">
        <f>HYPERLINK("https://klasma.github.io/Logging_2409/tillsyn/A 10145-2025 tillsynsbegäran.docx", "A 10145-2025")</f>
        <v/>
      </c>
      <c r="AD68">
        <f>HYPERLINK("https://klasma.github.io/Logging_2409/tillsynsmail/A 10145-2025 tillsynsbegäran mail.docx", "A 10145-2025")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46252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46252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46252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46252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46252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46252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46252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46252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46252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46252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46252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46252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46252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46252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46252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46252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46252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46252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46252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46252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46252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46252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46252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46252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44447</v>
      </c>
      <c r="E94" s="1" t="n">
        <v>46252</v>
      </c>
      <c r="F94" t="inlineStr">
        <is>
          <t>VÄSTERBOTTENS LÄN</t>
        </is>
      </c>
      <c r="G94" t="inlineStr">
        <is>
          <t>ROBERTSFORS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46252</v>
      </c>
      <c r="F95" t="inlineStr">
        <is>
          <t>VÄSTERBOTTENS LÄN</t>
        </is>
      </c>
      <c r="G95" t="inlineStr">
        <is>
          <t>ROBERTSFORS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46252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Sveaskog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46252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46252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46252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46252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46252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46252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46252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46252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46252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46252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46252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46252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46252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46252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46252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46252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46252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46252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46252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46252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46252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59028-2024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45636</v>
      </c>
      <c r="E119" s="1" t="n">
        <v>46252</v>
      </c>
      <c r="F119" t="inlineStr">
        <is>
          <t>VÄSTERBOTTENS LÄN</t>
        </is>
      </c>
      <c r="G119" t="inlineStr">
        <is>
          <t>ROBERTSFORS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46252</v>
      </c>
      <c r="F120" t="inlineStr">
        <is>
          <t>VÄSTERBOTTENS LÄN</t>
        </is>
      </c>
      <c r="G120" t="inlineStr">
        <is>
          <t>ROBERTSFORS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46252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28330-2025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45818</v>
      </c>
      <c r="E122" s="1" t="n">
        <v>46252</v>
      </c>
      <c r="F122" t="inlineStr">
        <is>
          <t>VÄSTERBOTTENS LÄN</t>
        </is>
      </c>
      <c r="G122" t="inlineStr">
        <is>
          <t>ROBERTSFORS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46252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46252</v>
      </c>
      <c r="F124" t="inlineStr">
        <is>
          <t>VÄSTERBOTTENS LÄN</t>
        </is>
      </c>
      <c r="G124" t="inlineStr">
        <is>
          <t>ROBERTSFORS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46252</v>
      </c>
      <c r="F125" t="inlineStr">
        <is>
          <t>VÄSTERBOTTENS LÄN</t>
        </is>
      </c>
      <c r="G125" t="inlineStr">
        <is>
          <t>ROBERTSFORS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46252</v>
      </c>
      <c r="F126" t="inlineStr">
        <is>
          <t>VÄSTERBOTTENS LÄN</t>
        </is>
      </c>
      <c r="G126" t="inlineStr">
        <is>
          <t>ROBERTSFORS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45005</v>
      </c>
      <c r="E127" s="1" t="n">
        <v>46252</v>
      </c>
      <c r="F127" t="inlineStr">
        <is>
          <t>VÄSTERBOTTENS LÄN</t>
        </is>
      </c>
      <c r="G127" t="inlineStr">
        <is>
          <t>ROBERTSFORS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44580</v>
      </c>
      <c r="E128" s="1" t="n">
        <v>46252</v>
      </c>
      <c r="F128" t="inlineStr">
        <is>
          <t>VÄSTERBOTTENS LÄN</t>
        </is>
      </c>
      <c r="G128" t="inlineStr">
        <is>
          <t>ROBERTSFORS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46252</v>
      </c>
      <c r="F129" t="inlineStr">
        <is>
          <t>VÄSTERBOTTENS LÄN</t>
        </is>
      </c>
      <c r="G129" t="inlineStr">
        <is>
          <t>ROBERTSFORS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46252</v>
      </c>
      <c r="F130" t="inlineStr">
        <is>
          <t>VÄSTERBOTTENS LÄN</t>
        </is>
      </c>
      <c r="G130" t="inlineStr">
        <is>
          <t>ROBERTSFORS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44627</v>
      </c>
      <c r="E131" s="1" t="n">
        <v>46252</v>
      </c>
      <c r="F131" t="inlineStr">
        <is>
          <t>VÄSTERBOTTENS LÄN</t>
        </is>
      </c>
      <c r="G131" t="inlineStr">
        <is>
          <t>ROBERTSFORS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46252</v>
      </c>
      <c r="F132" t="inlineStr">
        <is>
          <t>VÄSTERBOTTENS LÄN</t>
        </is>
      </c>
      <c r="G132" t="inlineStr">
        <is>
          <t>ROBERTSFORS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46252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46252</v>
      </c>
      <c r="F134" t="inlineStr">
        <is>
          <t>VÄSTERBOTTENS LÄN</t>
        </is>
      </c>
      <c r="G134" t="inlineStr">
        <is>
          <t>ROBERTSFORS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46252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46252</v>
      </c>
      <c r="F136" t="inlineStr">
        <is>
          <t>VÄSTERBOTTENS LÄN</t>
        </is>
      </c>
      <c r="G136" t="inlineStr">
        <is>
          <t>ROBERTSFORS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46252</v>
      </c>
      <c r="F137" t="inlineStr">
        <is>
          <t>VÄSTERBOTTENS LÄN</t>
        </is>
      </c>
      <c r="G137" t="inlineStr">
        <is>
          <t>ROBERTSFORS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46252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62187-2021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46252</v>
      </c>
      <c r="F139" t="inlineStr">
        <is>
          <t>VÄSTERBOTTENS LÄN</t>
        </is>
      </c>
      <c r="G139" t="inlineStr">
        <is>
          <t>ROBERTSFORS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46252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46252</v>
      </c>
      <c r="F141" t="inlineStr">
        <is>
          <t>VÄSTERBOTTENS LÄN</t>
        </is>
      </c>
      <c r="G141" t="inlineStr">
        <is>
          <t>ROBERTSFORS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46252</v>
      </c>
      <c r="F142" t="inlineStr">
        <is>
          <t>VÄSTERBOTTENS LÄN</t>
        </is>
      </c>
      <c r="G142" t="inlineStr">
        <is>
          <t>ROBERTSFORS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39982-2025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45893</v>
      </c>
      <c r="E143" s="1" t="n">
        <v>46252</v>
      </c>
      <c r="F143" t="inlineStr">
        <is>
          <t>VÄSTERBOTTENS LÄN</t>
        </is>
      </c>
      <c r="G143" t="inlineStr">
        <is>
          <t>ROBERTSFORS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46252</v>
      </c>
      <c r="F144" t="inlineStr">
        <is>
          <t>VÄSTERBOTTENS LÄN</t>
        </is>
      </c>
      <c r="G144" t="inlineStr">
        <is>
          <t>ROBERTSFORS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46252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45033</v>
      </c>
      <c r="E146" s="1" t="n">
        <v>46252</v>
      </c>
      <c r="F146" t="inlineStr">
        <is>
          <t>VÄSTERBOTTENS LÄN</t>
        </is>
      </c>
      <c r="G146" t="inlineStr">
        <is>
          <t>ROBERTSFORS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46252</v>
      </c>
      <c r="F147" t="inlineStr">
        <is>
          <t>VÄSTERBOTTENS LÄN</t>
        </is>
      </c>
      <c r="G147" t="inlineStr">
        <is>
          <t>ROBERTSFORS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45839</v>
      </c>
      <c r="E148" s="1" t="n">
        <v>46252</v>
      </c>
      <c r="F148" t="inlineStr">
        <is>
          <t>VÄSTERBOTTENS LÄN</t>
        </is>
      </c>
      <c r="G148" t="inlineStr">
        <is>
          <t>ROBERTSFORS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46252</v>
      </c>
      <c r="F149" t="inlineStr">
        <is>
          <t>VÄSTERBOTTENS LÄN</t>
        </is>
      </c>
      <c r="G149" t="inlineStr">
        <is>
          <t>ROBERTSFORS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45474</v>
      </c>
      <c r="E150" s="1" t="n">
        <v>46252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46252</v>
      </c>
      <c r="F151" t="inlineStr">
        <is>
          <t>VÄSTERBOTTENS LÄN</t>
        </is>
      </c>
      <c r="G151" t="inlineStr">
        <is>
          <t>ROBERTSFORS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46252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46252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46252</v>
      </c>
      <c r="F154" t="inlineStr">
        <is>
          <t>VÄSTERBOTTENS LÄN</t>
        </is>
      </c>
      <c r="G154" t="inlineStr">
        <is>
          <t>ROBERTSFORS</t>
        </is>
      </c>
      <c r="I154" t="n">
        <v>12.7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37357-2024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46252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46252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45510</v>
      </c>
      <c r="E157" s="1" t="n">
        <v>46252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46252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46252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46252</v>
      </c>
      <c r="F160" t="inlineStr">
        <is>
          <t>VÄSTERBOTTENS LÄN</t>
        </is>
      </c>
      <c r="G160" t="inlineStr">
        <is>
          <t>ROBERTSFORS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46252</v>
      </c>
      <c r="F161" t="inlineStr">
        <is>
          <t>VÄSTERBOTTENS LÄN</t>
        </is>
      </c>
      <c r="G161" t="inlineStr">
        <is>
          <t>ROBERTSFORS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44130-2025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45915</v>
      </c>
      <c r="E162" s="1" t="n">
        <v>46252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46252</v>
      </c>
      <c r="F163" t="inlineStr">
        <is>
          <t>VÄSTERBOTTENS LÄN</t>
        </is>
      </c>
      <c r="G163" t="inlineStr">
        <is>
          <t>ROBERTSFORS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46252</v>
      </c>
      <c r="F164" t="inlineStr">
        <is>
          <t>VÄSTERBOTTENS LÄN</t>
        </is>
      </c>
      <c r="G164" t="inlineStr">
        <is>
          <t>ROBERTSFORS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46252</v>
      </c>
      <c r="F165" t="inlineStr">
        <is>
          <t>VÄSTERBOTTENS LÄN</t>
        </is>
      </c>
      <c r="G165" t="inlineStr">
        <is>
          <t>ROBERTSFORS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45048</v>
      </c>
      <c r="E166" s="1" t="n">
        <v>46252</v>
      </c>
      <c r="F166" t="inlineStr">
        <is>
          <t>VÄSTERBOTTENS LÄN</t>
        </is>
      </c>
      <c r="G166" t="inlineStr">
        <is>
          <t>ROBERTSFORS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46252</v>
      </c>
      <c r="F167" t="inlineStr">
        <is>
          <t>VÄSTERBOTTENS LÄN</t>
        </is>
      </c>
      <c r="G167" t="inlineStr">
        <is>
          <t>ROBERTSFORS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46252</v>
      </c>
      <c r="F168" t="inlineStr">
        <is>
          <t>VÄSTERBOTTENS LÄN</t>
        </is>
      </c>
      <c r="G168" t="inlineStr">
        <is>
          <t>ROBERTSFORS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46252</v>
      </c>
      <c r="F169" t="inlineStr">
        <is>
          <t>VÄSTERBOTTENS LÄN</t>
        </is>
      </c>
      <c r="G169" t="inlineStr">
        <is>
          <t>ROBERTSFORS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46252</v>
      </c>
      <c r="F170" t="inlineStr">
        <is>
          <t>VÄSTERBOTTENS LÄN</t>
        </is>
      </c>
      <c r="G170" t="inlineStr">
        <is>
          <t>ROBERTSFORS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45197</v>
      </c>
      <c r="E171" s="1" t="n">
        <v>46252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45841</v>
      </c>
      <c r="E172" s="1" t="n">
        <v>46252</v>
      </c>
      <c r="F172" t="inlineStr">
        <is>
          <t>VÄSTERBOTTENS LÄN</t>
        </is>
      </c>
      <c r="G172" t="inlineStr">
        <is>
          <t>ROBERTSFORS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33375-2025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45841</v>
      </c>
      <c r="E173" s="1" t="n">
        <v>46252</v>
      </c>
      <c r="F173" t="inlineStr">
        <is>
          <t>VÄSTERBOTTENS LÄN</t>
        </is>
      </c>
      <c r="G173" t="inlineStr">
        <is>
          <t>ROBERTSFORS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9135-2024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45357</v>
      </c>
      <c r="E174" s="1" t="n">
        <v>46252</v>
      </c>
      <c r="F174" t="inlineStr">
        <is>
          <t>VÄSTERBOTTENS LÄN</t>
        </is>
      </c>
      <c r="G174" t="inlineStr">
        <is>
          <t>ROBERTSFORS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46252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46252</v>
      </c>
      <c r="F176" t="inlineStr">
        <is>
          <t>VÄSTERBOTTENS LÄN</t>
        </is>
      </c>
      <c r="G176" t="inlineStr">
        <is>
          <t>ROBERTSFORS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46252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46252</v>
      </c>
      <c r="F178" t="inlineStr">
        <is>
          <t>VÄSTERBOTTENS LÄN</t>
        </is>
      </c>
      <c r="G178" t="inlineStr">
        <is>
          <t>ROBERTSFORS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46252</v>
      </c>
      <c r="F179" t="inlineStr">
        <is>
          <t>VÄSTERBOTTENS LÄN</t>
        </is>
      </c>
      <c r="G179" t="inlineStr">
        <is>
          <t>ROBERTSFORS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46252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SCA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46252</v>
      </c>
      <c r="F181" t="inlineStr">
        <is>
          <t>VÄSTERBOTTENS LÄN</t>
        </is>
      </c>
      <c r="G181" t="inlineStr">
        <is>
          <t>ROBERTSFORS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46168-2025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45924</v>
      </c>
      <c r="E182" s="1" t="n">
        <v>46252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45013</v>
      </c>
      <c r="E183" s="1" t="n">
        <v>46252</v>
      </c>
      <c r="F183" t="inlineStr">
        <is>
          <t>VÄSTERBOTTENS LÄN</t>
        </is>
      </c>
      <c r="G183" t="inlineStr">
        <is>
          <t>ROBERTSFORS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46252</v>
      </c>
      <c r="F184" t="inlineStr">
        <is>
          <t>VÄSTERBOTTENS LÄN</t>
        </is>
      </c>
      <c r="G184" t="inlineStr">
        <is>
          <t>ROBERTSFORS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46252</v>
      </c>
      <c r="F185" t="inlineStr">
        <is>
          <t>VÄSTERBOTTENS LÄN</t>
        </is>
      </c>
      <c r="G185" t="inlineStr">
        <is>
          <t>ROBERTSFORS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46252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45019</v>
      </c>
      <c r="E187" s="1" t="n">
        <v>46252</v>
      </c>
      <c r="F187" t="inlineStr">
        <is>
          <t>VÄSTERBOTTENS LÄN</t>
        </is>
      </c>
      <c r="G187" t="inlineStr">
        <is>
          <t>ROBERTSFORS</t>
        </is>
      </c>
      <c r="I187" t="n">
        <v>9.9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45856</v>
      </c>
      <c r="E188" s="1" t="n">
        <v>46252</v>
      </c>
      <c r="F188" t="inlineStr">
        <is>
          <t>VÄSTERBOTTENS LÄN</t>
        </is>
      </c>
      <c r="G188" t="inlineStr">
        <is>
          <t>ROBERTSFORS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45856</v>
      </c>
      <c r="E189" s="1" t="n">
        <v>46252</v>
      </c>
      <c r="F189" t="inlineStr">
        <is>
          <t>VÄSTERBOTTENS LÄN</t>
        </is>
      </c>
      <c r="G189" t="inlineStr">
        <is>
          <t>ROBERTSFORS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45856</v>
      </c>
      <c r="E190" s="1" t="n">
        <v>46252</v>
      </c>
      <c r="F190" t="inlineStr">
        <is>
          <t>VÄSTERBOTTENS LÄN</t>
        </is>
      </c>
      <c r="G190" t="inlineStr">
        <is>
          <t>ROBERTSFORS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45789</v>
      </c>
      <c r="E191" s="1" t="n">
        <v>46252</v>
      </c>
      <c r="F191" t="inlineStr">
        <is>
          <t>VÄSTERBOTTENS LÄN</t>
        </is>
      </c>
      <c r="G191" t="inlineStr">
        <is>
          <t>ROBERTSFORS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45924-2024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46252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46252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54366-2024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45617</v>
      </c>
      <c r="E194" s="1" t="n">
        <v>46252</v>
      </c>
      <c r="F194" t="inlineStr">
        <is>
          <t>VÄSTERBOTTENS LÄN</t>
        </is>
      </c>
      <c r="G194" t="inlineStr">
        <is>
          <t>ROBERTSFORS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45405</v>
      </c>
      <c r="E195" s="1" t="n">
        <v>46252</v>
      </c>
      <c r="F195" t="inlineStr">
        <is>
          <t>VÄSTERBOTTENS LÄN</t>
        </is>
      </c>
      <c r="G195" t="inlineStr">
        <is>
          <t>ROBERTSFORS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45042</v>
      </c>
      <c r="E196" s="1" t="n">
        <v>46252</v>
      </c>
      <c r="F196" t="inlineStr">
        <is>
          <t>VÄSTERBOTTENS LÄN</t>
        </is>
      </c>
      <c r="G196" t="inlineStr">
        <is>
          <t>ROBERTSFORS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45184</v>
      </c>
      <c r="E197" s="1" t="n">
        <v>46252</v>
      </c>
      <c r="F197" t="inlineStr">
        <is>
          <t>VÄSTERBOTTENS LÄN</t>
        </is>
      </c>
      <c r="G197" t="inlineStr">
        <is>
          <t>ROBERTSFORS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45679</v>
      </c>
      <c r="E198" s="1" t="n">
        <v>46252</v>
      </c>
      <c r="F198" t="inlineStr">
        <is>
          <t>VÄSTERBOTTENS LÄN</t>
        </is>
      </c>
      <c r="G198" t="inlineStr">
        <is>
          <t>ROBERTSFORS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44467</v>
      </c>
      <c r="E199" s="1" t="n">
        <v>46252</v>
      </c>
      <c r="F199" t="inlineStr">
        <is>
          <t>VÄSTERBOTTENS LÄN</t>
        </is>
      </c>
      <c r="G199" t="inlineStr">
        <is>
          <t>ROBERTSFORS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46252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46252</v>
      </c>
      <c r="F201" t="inlineStr">
        <is>
          <t>VÄSTERBOTTENS LÄN</t>
        </is>
      </c>
      <c r="G201" t="inlineStr">
        <is>
          <t>ROBERTSFORS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30722-2024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45496</v>
      </c>
      <c r="E202" s="1" t="n">
        <v>46252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46252</v>
      </c>
      <c r="F203" t="inlineStr">
        <is>
          <t>VÄSTERBOTTENS LÄN</t>
        </is>
      </c>
      <c r="G203" t="inlineStr">
        <is>
          <t>ROBERTSFORS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46252</v>
      </c>
      <c r="F204" t="inlineStr">
        <is>
          <t>VÄSTERBOTTENS LÄN</t>
        </is>
      </c>
      <c r="G204" t="inlineStr">
        <is>
          <t>ROBERTSFORS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45484</v>
      </c>
      <c r="E205" s="1" t="n">
        <v>46252</v>
      </c>
      <c r="F205" t="inlineStr">
        <is>
          <t>VÄSTERBOTTENS LÄN</t>
        </is>
      </c>
      <c r="G205" t="inlineStr">
        <is>
          <t>ROBERTSFORS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26038-2022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46252</v>
      </c>
      <c r="F206" t="inlineStr">
        <is>
          <t>VÄSTERBOTTENS LÄN</t>
        </is>
      </c>
      <c r="G206" t="inlineStr">
        <is>
          <t>ROBERTSFORS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45572</v>
      </c>
      <c r="E207" s="1" t="n">
        <v>46252</v>
      </c>
      <c r="F207" t="inlineStr">
        <is>
          <t>VÄSTERBOTTENS LÄN</t>
        </is>
      </c>
      <c r="G207" t="inlineStr">
        <is>
          <t>ROBERTSFORS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45870</v>
      </c>
      <c r="E208" s="1" t="n">
        <v>46252</v>
      </c>
      <c r="F208" t="inlineStr">
        <is>
          <t>VÄSTERBOTTENS LÄN</t>
        </is>
      </c>
      <c r="G208" t="inlineStr">
        <is>
          <t>ROBERTSFORS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49148-2025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46252</v>
      </c>
      <c r="F209" t="inlineStr">
        <is>
          <t>VÄSTERBOTTENS LÄN</t>
        </is>
      </c>
      <c r="G209" t="inlineStr">
        <is>
          <t>ROBERTSFORS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46252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45559</v>
      </c>
      <c r="E211" s="1" t="n">
        <v>46252</v>
      </c>
      <c r="F211" t="inlineStr">
        <is>
          <t>VÄSTERBOTTENS LÄN</t>
        </is>
      </c>
      <c r="G211" t="inlineStr">
        <is>
          <t>ROBERTSFORS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48259-2023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45205</v>
      </c>
      <c r="E212" s="1" t="n">
        <v>46252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45076</v>
      </c>
      <c r="E213" s="1" t="n">
        <v>46252</v>
      </c>
      <c r="F213" t="inlineStr">
        <is>
          <t>VÄSTERBOTTENS LÄN</t>
        </is>
      </c>
      <c r="G213" t="inlineStr">
        <is>
          <t>ROBERTSFORS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46252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Sveaskog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46252</v>
      </c>
      <c r="F215" t="inlineStr">
        <is>
          <t>VÄSTERBOTTENS LÄN</t>
        </is>
      </c>
      <c r="G215" t="inlineStr">
        <is>
          <t>ROBERTSFORS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44894</v>
      </c>
      <c r="E216" s="1" t="n">
        <v>46252</v>
      </c>
      <c r="F216" t="inlineStr">
        <is>
          <t>VÄSTERBOTTENS LÄN</t>
        </is>
      </c>
      <c r="G216" t="inlineStr">
        <is>
          <t>ROBERTSFORS</t>
        </is>
      </c>
      <c r="I216" t="n">
        <v>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46252</v>
      </c>
      <c r="F217" t="inlineStr">
        <is>
          <t>VÄSTERBOTTENS LÄN</t>
        </is>
      </c>
      <c r="G217" t="inlineStr">
        <is>
          <t>ROBERTSFORS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45947</v>
      </c>
      <c r="E218" s="1" t="n">
        <v>46252</v>
      </c>
      <c r="F218" t="inlineStr">
        <is>
          <t>VÄSTERBOTTENS LÄN</t>
        </is>
      </c>
      <c r="G218" t="inlineStr">
        <is>
          <t>ROBERTSFORS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45873</v>
      </c>
      <c r="E219" s="1" t="n">
        <v>46252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45659</v>
      </c>
      <c r="E220" s="1" t="n">
        <v>46252</v>
      </c>
      <c r="F220" t="inlineStr">
        <is>
          <t>VÄSTERBOTTENS LÄN</t>
        </is>
      </c>
      <c r="G220" t="inlineStr">
        <is>
          <t>ROBERTSFORS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46252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46252</v>
      </c>
      <c r="F222" t="inlineStr">
        <is>
          <t>VÄSTERBOTTENS LÄN</t>
        </is>
      </c>
      <c r="G222" t="inlineStr">
        <is>
          <t>ROBERTSFORS</t>
        </is>
      </c>
      <c r="I222" t="n">
        <v>14.3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46252</v>
      </c>
      <c r="F223" t="inlineStr">
        <is>
          <t>VÄSTERBOTTENS LÄN</t>
        </is>
      </c>
      <c r="G223" t="inlineStr">
        <is>
          <t>ROBERTSFORS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46252</v>
      </c>
      <c r="F224" t="inlineStr">
        <is>
          <t>VÄSTERBOTTENS LÄN</t>
        </is>
      </c>
      <c r="G224" t="inlineStr">
        <is>
          <t>ROBERTSFORS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46252</v>
      </c>
      <c r="F225" t="inlineStr">
        <is>
          <t>VÄSTERBOTTENS LÄN</t>
        </is>
      </c>
      <c r="G225" t="inlineStr">
        <is>
          <t>ROBERTSFORS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46252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53320-2025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45959</v>
      </c>
      <c r="E227" s="1" t="n">
        <v>46252</v>
      </c>
      <c r="F227" t="inlineStr">
        <is>
          <t>VÄSTERBOTTENS LÄN</t>
        </is>
      </c>
      <c r="G227" t="inlineStr">
        <is>
          <t>ROBERTSFORS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46252</v>
      </c>
      <c r="F228" t="inlineStr">
        <is>
          <t>VÄSTERBOTTENS LÄN</t>
        </is>
      </c>
      <c r="G228" t="inlineStr">
        <is>
          <t>ROBERTSFORS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45959</v>
      </c>
      <c r="E229" s="1" t="n">
        <v>46252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45129</v>
      </c>
      <c r="E230" s="1" t="n">
        <v>46252</v>
      </c>
      <c r="F230" t="inlineStr">
        <is>
          <t>VÄSTERBOTTENS LÄN</t>
        </is>
      </c>
      <c r="G230" t="inlineStr">
        <is>
          <t>ROBERTSFORS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45182</v>
      </c>
      <c r="E231" s="1" t="n">
        <v>46252</v>
      </c>
      <c r="F231" t="inlineStr">
        <is>
          <t>VÄSTERBOTTENS LÄN</t>
        </is>
      </c>
      <c r="G231" t="inlineStr">
        <is>
          <t>ROBERTSFORS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44904</v>
      </c>
      <c r="E232" s="1" t="n">
        <v>46252</v>
      </c>
      <c r="F232" t="inlineStr">
        <is>
          <t>VÄSTERBOTTENS LÄN</t>
        </is>
      </c>
      <c r="G232" t="inlineStr">
        <is>
          <t>ROBERTSFORS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46252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45961</v>
      </c>
      <c r="E234" s="1" t="n">
        <v>46252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46252</v>
      </c>
      <c r="F235" t="inlineStr">
        <is>
          <t>VÄSTERBOTTENS LÄN</t>
        </is>
      </c>
      <c r="G235" t="inlineStr">
        <is>
          <t>ROBERTSFORS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46252</v>
      </c>
      <c r="F236" t="inlineStr">
        <is>
          <t>VÄSTERBOTTENS LÄN</t>
        </is>
      </c>
      <c r="G236" t="inlineStr">
        <is>
          <t>ROBERTSFORS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46252</v>
      </c>
      <c r="F237" t="inlineStr">
        <is>
          <t>VÄSTERBOTTENS LÄN</t>
        </is>
      </c>
      <c r="G237" t="inlineStr">
        <is>
          <t>ROBERTSFORS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46252</v>
      </c>
      <c r="F238" t="inlineStr">
        <is>
          <t>VÄSTERBOTTENS LÄN</t>
        </is>
      </c>
      <c r="G238" t="inlineStr">
        <is>
          <t>ROBERTSFORS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46252</v>
      </c>
      <c r="F239" t="inlineStr">
        <is>
          <t>VÄSTERBOTTENS LÄN</t>
        </is>
      </c>
      <c r="G239" t="inlineStr">
        <is>
          <t>ROBERTSFORS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22339-2024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45446</v>
      </c>
      <c r="E240" s="1" t="n">
        <v>46252</v>
      </c>
      <c r="F240" t="inlineStr">
        <is>
          <t>VÄSTERBOTTENS LÄN</t>
        </is>
      </c>
      <c r="G240" t="inlineStr">
        <is>
          <t>ROBERTSFORS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46252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46252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46252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46252</v>
      </c>
      <c r="F244" t="inlineStr">
        <is>
          <t>VÄSTERBOTTENS LÄN</t>
        </is>
      </c>
      <c r="G244" t="inlineStr">
        <is>
          <t>ROBERTSFORS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46252</v>
      </c>
      <c r="F245" t="inlineStr">
        <is>
          <t>VÄSTERBOTTENS LÄN</t>
        </is>
      </c>
      <c r="G245" t="inlineStr">
        <is>
          <t>ROBERTSFORS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46252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SCA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45302</v>
      </c>
      <c r="E247" s="1" t="n">
        <v>46252</v>
      </c>
      <c r="F247" t="inlineStr">
        <is>
          <t>VÄSTERBOTTENS LÄN</t>
        </is>
      </c>
      <c r="G247" t="inlineStr">
        <is>
          <t>ROBERTSFORS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44913</v>
      </c>
      <c r="E248" s="1" t="n">
        <v>46252</v>
      </c>
      <c r="F248" t="inlineStr">
        <is>
          <t>VÄSTERBOTTENS LÄN</t>
        </is>
      </c>
      <c r="G248" t="inlineStr">
        <is>
          <t>ROBERTSFORS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53564-2024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46252</v>
      </c>
      <c r="F249" t="inlineStr">
        <is>
          <t>VÄSTERBOTTENS LÄN</t>
        </is>
      </c>
      <c r="G249" t="inlineStr">
        <is>
          <t>ROBERTSFORS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45070</v>
      </c>
      <c r="E250" s="1" t="n">
        <v>46252</v>
      </c>
      <c r="F250" t="inlineStr">
        <is>
          <t>VÄSTERBOTTENS LÄN</t>
        </is>
      </c>
      <c r="G250" t="inlineStr">
        <is>
          <t>ROBERTSFORS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46252</v>
      </c>
      <c r="F251" t="inlineStr">
        <is>
          <t>VÄSTERBOTTENS LÄN</t>
        </is>
      </c>
      <c r="G251" t="inlineStr">
        <is>
          <t>ROBERTSFORS</t>
        </is>
      </c>
      <c r="I251" t="n">
        <v>10.5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46252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46252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45251</v>
      </c>
      <c r="E254" s="1" t="n">
        <v>46252</v>
      </c>
      <c r="F254" t="inlineStr">
        <is>
          <t>VÄSTERBOTTENS LÄN</t>
        </is>
      </c>
      <c r="G254" t="inlineStr">
        <is>
          <t>ROBERTSFORS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46252</v>
      </c>
      <c r="F255" t="inlineStr">
        <is>
          <t>VÄSTERBOTTENS LÄN</t>
        </is>
      </c>
      <c r="G255" t="inlineStr">
        <is>
          <t>ROBERTSFORS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45458</v>
      </c>
      <c r="E256" s="1" t="n">
        <v>46252</v>
      </c>
      <c r="F256" t="inlineStr">
        <is>
          <t>VÄSTERBOTTENS LÄN</t>
        </is>
      </c>
      <c r="G256" t="inlineStr">
        <is>
          <t>ROBERTSFORS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58715-2022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44902</v>
      </c>
      <c r="E257" s="1" t="n">
        <v>46252</v>
      </c>
      <c r="F257" t="inlineStr">
        <is>
          <t>VÄSTERBOTTENS LÄN</t>
        </is>
      </c>
      <c r="G257" t="inlineStr">
        <is>
          <t>ROBERTSFORS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45197</v>
      </c>
      <c r="E258" s="1" t="n">
        <v>46252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45030</v>
      </c>
      <c r="E259" s="1" t="n">
        <v>46252</v>
      </c>
      <c r="F259" t="inlineStr">
        <is>
          <t>VÄSTERBOTTENS LÄN</t>
        </is>
      </c>
      <c r="G259" t="inlineStr">
        <is>
          <t>ROBERTSFORS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45041</v>
      </c>
      <c r="E260" s="1" t="n">
        <v>46252</v>
      </c>
      <c r="F260" t="inlineStr">
        <is>
          <t>VÄSTERBOTTENS LÄN</t>
        </is>
      </c>
      <c r="G260" t="inlineStr">
        <is>
          <t>ROBERTSFORS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44860</v>
      </c>
      <c r="E261" s="1" t="n">
        <v>46252</v>
      </c>
      <c r="F261" t="inlineStr">
        <is>
          <t>VÄSTERBOTTENS LÄN</t>
        </is>
      </c>
      <c r="G261" t="inlineStr">
        <is>
          <t>ROBERTSFORS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46252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46252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46252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46252</v>
      </c>
      <c r="F265" t="inlineStr">
        <is>
          <t>VÄSTERBOTTENS LÄN</t>
        </is>
      </c>
      <c r="G265" t="inlineStr">
        <is>
          <t>ROBERTSFORS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45133</v>
      </c>
      <c r="E266" s="1" t="n">
        <v>46252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45695</v>
      </c>
      <c r="E267" s="1" t="n">
        <v>46252</v>
      </c>
      <c r="F267" t="inlineStr">
        <is>
          <t>VÄSTERBOTTENS LÄN</t>
        </is>
      </c>
      <c r="G267" t="inlineStr">
        <is>
          <t>ROBERTSFORS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46252</v>
      </c>
      <c r="F268" t="inlineStr">
        <is>
          <t>VÄSTERBOTTENS LÄN</t>
        </is>
      </c>
      <c r="G268" t="inlineStr">
        <is>
          <t>ROBERTSFORS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45033</v>
      </c>
      <c r="E269" s="1" t="n">
        <v>46252</v>
      </c>
      <c r="F269" t="inlineStr">
        <is>
          <t>VÄSTERBOTTENS LÄN</t>
        </is>
      </c>
      <c r="G269" t="inlineStr">
        <is>
          <t>ROBERTSFORS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46252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9.4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44805</v>
      </c>
      <c r="E271" s="1" t="n">
        <v>46252</v>
      </c>
      <c r="F271" t="inlineStr">
        <is>
          <t>VÄSTERBOTTENS LÄN</t>
        </is>
      </c>
      <c r="G271" t="inlineStr">
        <is>
          <t>ROBERTSFORS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46252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46252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39437-2024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45551</v>
      </c>
      <c r="E274" s="1" t="n">
        <v>46252</v>
      </c>
      <c r="F274" t="inlineStr">
        <is>
          <t>VÄSTERBOTTENS LÄN</t>
        </is>
      </c>
      <c r="G274" t="inlineStr">
        <is>
          <t>ROBERTSFORS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45687</v>
      </c>
      <c r="E275" s="1" t="n">
        <v>46252</v>
      </c>
      <c r="F275" t="inlineStr">
        <is>
          <t>VÄSTERBOTTENS LÄN</t>
        </is>
      </c>
      <c r="G275" t="inlineStr">
        <is>
          <t>ROBERTSFORS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46252</v>
      </c>
      <c r="F276" t="inlineStr">
        <is>
          <t>VÄSTERBOTTENS LÄN</t>
        </is>
      </c>
      <c r="G276" t="inlineStr">
        <is>
          <t>ROBERTSFORS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46252</v>
      </c>
      <c r="F277" t="inlineStr">
        <is>
          <t>VÄSTERBOTTENS LÄN</t>
        </is>
      </c>
      <c r="G277" t="inlineStr">
        <is>
          <t>ROBERTSFORS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45454</v>
      </c>
      <c r="E278" s="1" t="n">
        <v>46252</v>
      </c>
      <c r="F278" t="inlineStr">
        <is>
          <t>VÄSTERBOTTENS LÄN</t>
        </is>
      </c>
      <c r="G278" t="inlineStr">
        <is>
          <t>ROBERTSFORS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45307</v>
      </c>
      <c r="E279" s="1" t="n">
        <v>46252</v>
      </c>
      <c r="F279" t="inlineStr">
        <is>
          <t>VÄSTERBOTTENS LÄN</t>
        </is>
      </c>
      <c r="G279" t="inlineStr">
        <is>
          <t>ROBERTSFORS</t>
        </is>
      </c>
      <c r="I279" t="n">
        <v>12.1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46252</v>
      </c>
      <c r="F280" t="inlineStr">
        <is>
          <t>VÄSTERBOTTENS LÄN</t>
        </is>
      </c>
      <c r="G280" t="inlineStr">
        <is>
          <t>ROBERTSFORS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46252</v>
      </c>
      <c r="F281" t="inlineStr">
        <is>
          <t>VÄSTERBOTTENS LÄN</t>
        </is>
      </c>
      <c r="G281" t="inlineStr">
        <is>
          <t>ROBERTSFORS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46252</v>
      </c>
      <c r="F282" t="inlineStr">
        <is>
          <t>VÄSTERBOTTENS LÄN</t>
        </is>
      </c>
      <c r="G282" t="inlineStr">
        <is>
          <t>ROBERTSFORS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45202</v>
      </c>
      <c r="E283" s="1" t="n">
        <v>46252</v>
      </c>
      <c r="F283" t="inlineStr">
        <is>
          <t>VÄSTERBOTTENS LÄN</t>
        </is>
      </c>
      <c r="G283" t="inlineStr">
        <is>
          <t>ROBERTSFORS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46252</v>
      </c>
      <c r="F284" t="inlineStr">
        <is>
          <t>VÄSTERBOTTENS LÄN</t>
        </is>
      </c>
      <c r="G284" t="inlineStr">
        <is>
          <t>ROBERTSFORS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26894-2024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45470</v>
      </c>
      <c r="E285" s="1" t="n">
        <v>46252</v>
      </c>
      <c r="F285" t="inlineStr">
        <is>
          <t>VÄSTERBOTTENS LÄN</t>
        </is>
      </c>
      <c r="G285" t="inlineStr">
        <is>
          <t>ROBERTSFORS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46252</v>
      </c>
      <c r="F286" t="inlineStr">
        <is>
          <t>VÄSTERBOTTENS LÄN</t>
        </is>
      </c>
      <c r="G286" t="inlineStr">
        <is>
          <t>ROBERTSFORS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45149</v>
      </c>
      <c r="E287" s="1" t="n">
        <v>46252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45712</v>
      </c>
      <c r="E288" s="1" t="n">
        <v>46252</v>
      </c>
      <c r="F288" t="inlineStr">
        <is>
          <t>VÄSTERBOTTENS LÄN</t>
        </is>
      </c>
      <c r="G288" t="inlineStr">
        <is>
          <t>ROBERTSFORS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45996</v>
      </c>
      <c r="E289" s="1" t="n">
        <v>46252</v>
      </c>
      <c r="F289" t="inlineStr">
        <is>
          <t>VÄSTERBOTTENS LÄN</t>
        </is>
      </c>
      <c r="G289" t="inlineStr">
        <is>
          <t>ROBERTSFORS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45458</v>
      </c>
      <c r="E290" s="1" t="n">
        <v>46252</v>
      </c>
      <c r="F290" t="inlineStr">
        <is>
          <t>VÄSTERBOTTENS LÄN</t>
        </is>
      </c>
      <c r="G290" t="inlineStr">
        <is>
          <t>ROBERTSFORS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45261</v>
      </c>
      <c r="E291" s="1" t="n">
        <v>46252</v>
      </c>
      <c r="F291" t="inlineStr">
        <is>
          <t>VÄSTERBOTTENS LÄN</t>
        </is>
      </c>
      <c r="G291" t="inlineStr">
        <is>
          <t>ROBERTSFORS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46252</v>
      </c>
      <c r="F292" t="inlineStr">
        <is>
          <t>VÄSTERBOTTENS LÄN</t>
        </is>
      </c>
      <c r="G292" t="inlineStr">
        <is>
          <t>ROBERTSFORS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46252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Sveaskog</t>
        </is>
      </c>
      <c r="I293" t="n">
        <v>9.199999999999999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45617</v>
      </c>
      <c r="E294" s="1" t="n">
        <v>46252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46252</v>
      </c>
      <c r="F295" t="inlineStr">
        <is>
          <t>VÄSTERBOTTENS LÄN</t>
        </is>
      </c>
      <c r="G295" t="inlineStr">
        <is>
          <t>ROBERTSFORS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46252</v>
      </c>
      <c r="F296" t="inlineStr">
        <is>
          <t>VÄSTERBOTTENS LÄN</t>
        </is>
      </c>
      <c r="G296" t="inlineStr">
        <is>
          <t>ROBERTSFORS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46252</v>
      </c>
      <c r="F297" t="inlineStr">
        <is>
          <t>VÄSTERBOTTENS LÄN</t>
        </is>
      </c>
      <c r="G297" t="inlineStr">
        <is>
          <t>ROBERTSFORS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46252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45715</v>
      </c>
      <c r="E299" s="1" t="n">
        <v>46252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46252</v>
      </c>
      <c r="F300" t="inlineStr">
        <is>
          <t>VÄSTERBOTTENS LÄN</t>
        </is>
      </c>
      <c r="G300" t="inlineStr">
        <is>
          <t>ROBERTSFORS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45458</v>
      </c>
      <c r="E301" s="1" t="n">
        <v>46252</v>
      </c>
      <c r="F301" t="inlineStr">
        <is>
          <t>VÄSTERBOTTENS LÄN</t>
        </is>
      </c>
      <c r="G301" t="inlineStr">
        <is>
          <t>ROBERTSFORS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45365</v>
      </c>
      <c r="E302" s="1" t="n">
        <v>46252</v>
      </c>
      <c r="F302" t="inlineStr">
        <is>
          <t>VÄSTERBOTTENS LÄN</t>
        </is>
      </c>
      <c r="G302" t="inlineStr">
        <is>
          <t>ROBERTSFORS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45635</v>
      </c>
      <c r="E303" s="1" t="n">
        <v>46252</v>
      </c>
      <c r="F303" t="inlineStr">
        <is>
          <t>VÄSTERBOTTENS LÄN</t>
        </is>
      </c>
      <c r="G303" t="inlineStr">
        <is>
          <t>ROBERTSFORS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45548</v>
      </c>
      <c r="E304" s="1" t="n">
        <v>46252</v>
      </c>
      <c r="F304" t="inlineStr">
        <is>
          <t>VÄSTERBOTTENS LÄN</t>
        </is>
      </c>
      <c r="G304" t="inlineStr">
        <is>
          <t>ROBERTSFORS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45568</v>
      </c>
      <c r="E305" s="1" t="n">
        <v>46252</v>
      </c>
      <c r="F305" t="inlineStr">
        <is>
          <t>VÄSTERBOTTENS LÄN</t>
        </is>
      </c>
      <c r="G305" t="inlineStr">
        <is>
          <t>ROBERTSFORS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46252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45610</v>
      </c>
      <c r="E307" s="1" t="n">
        <v>46252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SCA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44580</v>
      </c>
      <c r="E308" s="1" t="n">
        <v>46252</v>
      </c>
      <c r="F308" t="inlineStr">
        <is>
          <t>VÄSTERBOTTENS LÄN</t>
        </is>
      </c>
      <c r="G308" t="inlineStr">
        <is>
          <t>ROBERTSFORS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16921-2023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46252</v>
      </c>
      <c r="F309" t="inlineStr">
        <is>
          <t>VÄSTERBOTTENS LÄN</t>
        </is>
      </c>
      <c r="G309" t="inlineStr">
        <is>
          <t>ROBERTSFORS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46252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46252</v>
      </c>
      <c r="F311" t="inlineStr">
        <is>
          <t>VÄSTERBOTTENS LÄN</t>
        </is>
      </c>
      <c r="G311" t="inlineStr">
        <is>
          <t>ROBERTSFORS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65771-2021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44516</v>
      </c>
      <c r="E312" s="1" t="n">
        <v>46252</v>
      </c>
      <c r="F312" t="inlineStr">
        <is>
          <t>VÄSTERBOTTENS LÄN</t>
        </is>
      </c>
      <c r="G312" t="inlineStr">
        <is>
          <t>ROBERTSFORS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45480</v>
      </c>
      <c r="E313" s="1" t="n">
        <v>46252</v>
      </c>
      <c r="F313" t="inlineStr">
        <is>
          <t>VÄSTERBOTTENS LÄN</t>
        </is>
      </c>
      <c r="G313" t="inlineStr">
        <is>
          <t>ROBERTSFORS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45661</v>
      </c>
      <c r="E314" s="1" t="n">
        <v>46252</v>
      </c>
      <c r="F314" t="inlineStr">
        <is>
          <t>VÄSTERBOTTENS LÄN</t>
        </is>
      </c>
      <c r="G314" t="inlineStr">
        <is>
          <t>ROBERTSFORS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46252</v>
      </c>
      <c r="F315" t="inlineStr">
        <is>
          <t>VÄSTERBOTTENS LÄN</t>
        </is>
      </c>
      <c r="G315" t="inlineStr">
        <is>
          <t>ROBERTSFORS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65772-2021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44516</v>
      </c>
      <c r="E316" s="1" t="n">
        <v>46252</v>
      </c>
      <c r="F316" t="inlineStr">
        <is>
          <t>VÄSTERBOTTENS LÄN</t>
        </is>
      </c>
      <c r="G316" t="inlineStr">
        <is>
          <t>ROBERTSFORS</t>
        </is>
      </c>
      <c r="I316" t="n">
        <v>18.2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46252</v>
      </c>
      <c r="F317" t="inlineStr">
        <is>
          <t>VÄSTERBOTTENS LÄN</t>
        </is>
      </c>
      <c r="G317" t="inlineStr">
        <is>
          <t>ROBERTSFORS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45644</v>
      </c>
      <c r="E318" s="1" t="n">
        <v>46252</v>
      </c>
      <c r="F318" t="inlineStr">
        <is>
          <t>VÄSTERBOTTENS LÄN</t>
        </is>
      </c>
      <c r="G318" t="inlineStr">
        <is>
          <t>ROBERTSFORS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46252</v>
      </c>
      <c r="F319" t="inlineStr">
        <is>
          <t>VÄSTERBOTTENS LÄN</t>
        </is>
      </c>
      <c r="G319" t="inlineStr">
        <is>
          <t>ROBERTSFORS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64625-2023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46252</v>
      </c>
      <c r="F320" t="inlineStr">
        <is>
          <t>VÄSTERBOTTENS LÄN</t>
        </is>
      </c>
      <c r="G320" t="inlineStr">
        <is>
          <t>ROBERTSFORS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46252</v>
      </c>
      <c r="F321" t="inlineStr">
        <is>
          <t>VÄSTERBOTTENS LÄN</t>
        </is>
      </c>
      <c r="G321" t="inlineStr">
        <is>
          <t>ROBERTSFORS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45512</v>
      </c>
      <c r="E322" s="1" t="n">
        <v>46252</v>
      </c>
      <c r="F322" t="inlineStr">
        <is>
          <t>VÄSTERBOTTENS LÄN</t>
        </is>
      </c>
      <c r="G322" t="inlineStr">
        <is>
          <t>ROBERTSFORS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45601</v>
      </c>
      <c r="E323" s="1" t="n">
        <v>46252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32581-2022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44783</v>
      </c>
      <c r="E324" s="1" t="n">
        <v>46252</v>
      </c>
      <c r="F324" t="inlineStr">
        <is>
          <t>VÄSTERBOTTENS LÄN</t>
        </is>
      </c>
      <c r="G324" t="inlineStr">
        <is>
          <t>ROBERTSFORS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44838</v>
      </c>
      <c r="E325" s="1" t="n">
        <v>46252</v>
      </c>
      <c r="F325" t="inlineStr">
        <is>
          <t>VÄSTERBOTTENS LÄN</t>
        </is>
      </c>
      <c r="G325" t="inlineStr">
        <is>
          <t>ROBERTSFORS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46252</v>
      </c>
      <c r="F326" t="inlineStr">
        <is>
          <t>VÄSTERBOTTENS LÄN</t>
        </is>
      </c>
      <c r="G326" t="inlineStr">
        <is>
          <t>ROBERTSFORS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45653</v>
      </c>
      <c r="E327" s="1" t="n">
        <v>46252</v>
      </c>
      <c r="F327" t="inlineStr">
        <is>
          <t>VÄSTERBOTTENS LÄN</t>
        </is>
      </c>
      <c r="G327" t="inlineStr">
        <is>
          <t>ROBERTSFORS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44876</v>
      </c>
      <c r="E328" s="1" t="n">
        <v>46252</v>
      </c>
      <c r="F328" t="inlineStr">
        <is>
          <t>VÄSTERBOTTENS LÄN</t>
        </is>
      </c>
      <c r="G328" t="inlineStr">
        <is>
          <t>ROBERTSFORS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46252</v>
      </c>
      <c r="F329" t="inlineStr">
        <is>
          <t>VÄSTERBOTTENS LÄN</t>
        </is>
      </c>
      <c r="G329" t="inlineStr">
        <is>
          <t>ROBERTSFORS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46252</v>
      </c>
      <c r="F330" t="inlineStr">
        <is>
          <t>VÄSTERBOTTENS LÄN</t>
        </is>
      </c>
      <c r="G330" t="inlineStr">
        <is>
          <t>ROBERTSFORS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44945</v>
      </c>
      <c r="E331" s="1" t="n">
        <v>46252</v>
      </c>
      <c r="F331" t="inlineStr">
        <is>
          <t>VÄSTERBOTTENS LÄN</t>
        </is>
      </c>
      <c r="G331" t="inlineStr">
        <is>
          <t>ROBERTSFORS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57979-2021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44487</v>
      </c>
      <c r="E332" s="1" t="n">
        <v>46252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45463</v>
      </c>
      <c r="E333" s="1" t="n">
        <v>46252</v>
      </c>
      <c r="F333" t="inlineStr">
        <is>
          <t>VÄSTERBOTTENS LÄN</t>
        </is>
      </c>
      <c r="G333" t="inlineStr">
        <is>
          <t>ROBERTSFORS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46252</v>
      </c>
      <c r="F334" t="inlineStr">
        <is>
          <t>VÄSTERBOTTENS LÄN</t>
        </is>
      </c>
      <c r="G334" t="inlineStr">
        <is>
          <t>ROBERTSFORS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45029</v>
      </c>
      <c r="E335" s="1" t="n">
        <v>46252</v>
      </c>
      <c r="F335" t="inlineStr">
        <is>
          <t>VÄSTERBOTTENS LÄN</t>
        </is>
      </c>
      <c r="G335" t="inlineStr">
        <is>
          <t>ROBERTSFORS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46252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SCA</t>
        </is>
      </c>
      <c r="I336" t="n">
        <v>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46252</v>
      </c>
      <c r="F337" t="inlineStr">
        <is>
          <t>VÄSTERBOTTENS LÄN</t>
        </is>
      </c>
      <c r="G337" t="inlineStr">
        <is>
          <t>ROBERTSFORS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46252</v>
      </c>
      <c r="F338" t="inlineStr">
        <is>
          <t>VÄSTERBOTTENS LÄN</t>
        </is>
      </c>
      <c r="G338" t="inlineStr">
        <is>
          <t>ROBERTSFORS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46252</v>
      </c>
      <c r="F339" t="inlineStr">
        <is>
          <t>VÄSTERBOTTENS LÄN</t>
        </is>
      </c>
      <c r="G339" t="inlineStr">
        <is>
          <t>ROBERTSFORS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59877-2022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44901</v>
      </c>
      <c r="E340" s="1" t="n">
        <v>46252</v>
      </c>
      <c r="F340" t="inlineStr">
        <is>
          <t>VÄSTERBOTTENS LÄN</t>
        </is>
      </c>
      <c r="G340" t="inlineStr">
        <is>
          <t>ROBERTSFORS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46252</v>
      </c>
      <c r="F341" t="inlineStr">
        <is>
          <t>VÄSTERBOTTENS LÄN</t>
        </is>
      </c>
      <c r="G341" t="inlineStr">
        <is>
          <t>ROBERTSFORS</t>
        </is>
      </c>
      <c r="I341" t="n">
        <v>9.9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45335</v>
      </c>
      <c r="E342" s="1" t="n">
        <v>46252</v>
      </c>
      <c r="F342" t="inlineStr">
        <is>
          <t>VÄSTERBOTTENS LÄN</t>
        </is>
      </c>
      <c r="G342" t="inlineStr">
        <is>
          <t>ROBERTSFORS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45565</v>
      </c>
      <c r="E343" s="1" t="n">
        <v>46252</v>
      </c>
      <c r="F343" t="inlineStr">
        <is>
          <t>VÄSTERBOTTENS LÄN</t>
        </is>
      </c>
      <c r="G343" t="inlineStr">
        <is>
          <t>ROBERTSFORS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46252</v>
      </c>
      <c r="F344" t="inlineStr">
        <is>
          <t>VÄSTERBOTTENS LÄN</t>
        </is>
      </c>
      <c r="G344" t="inlineStr">
        <is>
          <t>ROBERTSFORS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45627</v>
      </c>
      <c r="E345" s="1" t="n">
        <v>46252</v>
      </c>
      <c r="F345" t="inlineStr">
        <is>
          <t>VÄSTERBOTTENS LÄN</t>
        </is>
      </c>
      <c r="G345" t="inlineStr">
        <is>
          <t>ROBERTSFORS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45671</v>
      </c>
      <c r="E346" s="1" t="n">
        <v>46252</v>
      </c>
      <c r="F346" t="inlineStr">
        <is>
          <t>VÄSTERBOTTENS LÄN</t>
        </is>
      </c>
      <c r="G346" t="inlineStr">
        <is>
          <t>ROBERTSFORS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46252</v>
      </c>
      <c r="F347" t="inlineStr">
        <is>
          <t>VÄSTERBOTTENS LÄN</t>
        </is>
      </c>
      <c r="G347" t="inlineStr">
        <is>
          <t>ROBERTSFORS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46252</v>
      </c>
      <c r="F348" t="inlineStr">
        <is>
          <t>VÄSTERBOTTENS LÄN</t>
        </is>
      </c>
      <c r="G348" t="inlineStr">
        <is>
          <t>ROBERTSFORS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45215</v>
      </c>
      <c r="E349" s="1" t="n">
        <v>46252</v>
      </c>
      <c r="F349" t="inlineStr">
        <is>
          <t>VÄSTERBOTTENS LÄN</t>
        </is>
      </c>
      <c r="G349" t="inlineStr">
        <is>
          <t>ROBERTSFORS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46252</v>
      </c>
      <c r="F350" t="inlineStr">
        <is>
          <t>VÄSTERBOTTENS LÄN</t>
        </is>
      </c>
      <c r="G350" t="inlineStr">
        <is>
          <t>ROBERTSFORS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46225</v>
      </c>
      <c r="E351" s="1" t="n">
        <v>46252</v>
      </c>
      <c r="F351" t="inlineStr">
        <is>
          <t>VÄSTERBOTTENS LÄN</t>
        </is>
      </c>
      <c r="G351" t="inlineStr">
        <is>
          <t>ROBERTSFORS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46225</v>
      </c>
      <c r="E352" s="1" t="n">
        <v>46252</v>
      </c>
      <c r="F352" t="inlineStr">
        <is>
          <t>VÄSTERBOTTENS LÄN</t>
        </is>
      </c>
      <c r="G352" t="inlineStr">
        <is>
          <t>ROBERTSFORS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46252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46252</v>
      </c>
      <c r="F354" t="inlineStr">
        <is>
          <t>VÄSTERBOTTENS LÄN</t>
        </is>
      </c>
      <c r="G354" t="inlineStr">
        <is>
          <t>ROBERTSFORS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46252</v>
      </c>
      <c r="F355" t="inlineStr">
        <is>
          <t>VÄSTERBOTTENS LÄN</t>
        </is>
      </c>
      <c r="G355" t="inlineStr">
        <is>
          <t>ROBERTSFORS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46183</v>
      </c>
      <c r="E356" s="1" t="n">
        <v>46252</v>
      </c>
      <c r="F356" t="inlineStr">
        <is>
          <t>VÄSTERBOTTENS LÄN</t>
        </is>
      </c>
      <c r="G356" t="inlineStr">
        <is>
          <t>ROBERTSFORS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46225</v>
      </c>
      <c r="E357" s="1" t="n">
        <v>46252</v>
      </c>
      <c r="F357" t="inlineStr">
        <is>
          <t>VÄSTERBOTTENS LÄN</t>
        </is>
      </c>
      <c r="G357" t="inlineStr">
        <is>
          <t>ROBERTSFORS</t>
        </is>
      </c>
      <c r="I357" t="n">
        <v>10.4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46252</v>
      </c>
      <c r="F358" t="inlineStr">
        <is>
          <t>VÄSTERBOTTENS LÄN</t>
        </is>
      </c>
      <c r="G358" t="inlineStr">
        <is>
          <t>ROBERTSFORS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58426-2022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44901</v>
      </c>
      <c r="E359" s="1" t="n">
        <v>46252</v>
      </c>
      <c r="F359" t="inlineStr">
        <is>
          <t>VÄSTERBOTTENS LÄN</t>
        </is>
      </c>
      <c r="G359" t="inlineStr">
        <is>
          <t>ROBERTSFORS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46252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34821-2023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45140</v>
      </c>
      <c r="E361" s="1" t="n">
        <v>46252</v>
      </c>
      <c r="F361" t="inlineStr">
        <is>
          <t>VÄSTERBOTTENS LÄN</t>
        </is>
      </c>
      <c r="G361" t="inlineStr">
        <is>
          <t>ROBERTSFORS</t>
        </is>
      </c>
      <c r="I361" t="n">
        <v>15.3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46252</v>
      </c>
      <c r="F362" t="inlineStr">
        <is>
          <t>VÄSTERBOTTENS LÄN</t>
        </is>
      </c>
      <c r="G362" t="inlineStr">
        <is>
          <t>ROBERTSFORS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8472-2026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46252</v>
      </c>
      <c r="F363" t="inlineStr">
        <is>
          <t>VÄSTERBOTTENS LÄN</t>
        </is>
      </c>
      <c r="G363" t="inlineStr">
        <is>
          <t>ROBERTSFORS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31806-2026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46230</v>
      </c>
      <c r="E364" s="1" t="n">
        <v>46252</v>
      </c>
      <c r="F364" t="inlineStr">
        <is>
          <t>VÄSTERBOTTENS LÄN</t>
        </is>
      </c>
      <c r="G364" t="inlineStr">
        <is>
          <t>ROBERTSFORS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46185</v>
      </c>
      <c r="E365" s="1" t="n">
        <v>46252</v>
      </c>
      <c r="F365" t="inlineStr">
        <is>
          <t>VÄSTERBOTTENS LÄN</t>
        </is>
      </c>
      <c r="G365" t="inlineStr">
        <is>
          <t>ROBERTSFORS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46252</v>
      </c>
      <c r="F366" t="inlineStr">
        <is>
          <t>VÄSTERBOTTENS LÄN</t>
        </is>
      </c>
      <c r="G366" t="inlineStr">
        <is>
          <t>ROBERTSFORS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46252</v>
      </c>
      <c r="F367" t="inlineStr">
        <is>
          <t>VÄSTERBOTTENS LÄN</t>
        </is>
      </c>
      <c r="G367" t="inlineStr">
        <is>
          <t>ROBERTSFORS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46252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SCA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46252</v>
      </c>
      <c r="F369" t="inlineStr">
        <is>
          <t>VÄSTERBOTTENS LÄN</t>
        </is>
      </c>
      <c r="G369" t="inlineStr">
        <is>
          <t>ROBERTSFORS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45583</v>
      </c>
      <c r="E370" s="1" t="n">
        <v>46252</v>
      </c>
      <c r="F370" t="inlineStr">
        <is>
          <t>VÄSTERBOTTENS LÄN</t>
        </is>
      </c>
      <c r="G370" t="inlineStr">
        <is>
          <t>ROBERTSFORS</t>
        </is>
      </c>
      <c r="I370" t="n">
        <v>9.6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45678</v>
      </c>
      <c r="E371" s="1" t="n">
        <v>46252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8.9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46185</v>
      </c>
      <c r="E372" s="1" t="n">
        <v>46252</v>
      </c>
      <c r="F372" t="inlineStr">
        <is>
          <t>VÄSTERBOTTENS LÄN</t>
        </is>
      </c>
      <c r="G372" t="inlineStr">
        <is>
          <t>ROBERTSFORS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46252</v>
      </c>
      <c r="F373" t="inlineStr">
        <is>
          <t>VÄSTERBOTTENS LÄN</t>
        </is>
      </c>
      <c r="G373" t="inlineStr">
        <is>
          <t>ROBERTSFORS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46252</v>
      </c>
      <c r="F374" t="inlineStr">
        <is>
          <t>VÄSTERBOTTENS LÄN</t>
        </is>
      </c>
      <c r="G374" t="inlineStr">
        <is>
          <t>ROBERTSFORS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44571</v>
      </c>
      <c r="E375" s="1" t="n">
        <v>46252</v>
      </c>
      <c r="F375" t="inlineStr">
        <is>
          <t>VÄSTERBOTTENS LÄN</t>
        </is>
      </c>
      <c r="G375" t="inlineStr">
        <is>
          <t>ROBERTSFORS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58790-2022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44895</v>
      </c>
      <c r="E376" s="1" t="n">
        <v>46252</v>
      </c>
      <c r="F376" t="inlineStr">
        <is>
          <t>VÄSTERBOTTENS LÄN</t>
        </is>
      </c>
      <c r="G376" t="inlineStr">
        <is>
          <t>ROBERTSFORS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46252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46076</v>
      </c>
      <c r="E378" s="1" t="n">
        <v>46252</v>
      </c>
      <c r="F378" t="inlineStr">
        <is>
          <t>VÄSTERBOTTENS LÄN</t>
        </is>
      </c>
      <c r="G378" t="inlineStr">
        <is>
          <t>ROBERTSFORS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26368-2024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45468</v>
      </c>
      <c r="E379" s="1" t="n">
        <v>46252</v>
      </c>
      <c r="F379" t="inlineStr">
        <is>
          <t>VÄSTERBOTTENS LÄN</t>
        </is>
      </c>
      <c r="G379" t="inlineStr">
        <is>
          <t>ROBERTSFORS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38120-2024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45545</v>
      </c>
      <c r="E380" s="1" t="n">
        <v>46252</v>
      </c>
      <c r="F380" t="inlineStr">
        <is>
          <t>VÄSTERBOTTENS LÄN</t>
        </is>
      </c>
      <c r="G380" t="inlineStr">
        <is>
          <t>ROBERTSFORS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45664</v>
      </c>
      <c r="E381" s="1" t="n">
        <v>46252</v>
      </c>
      <c r="F381" t="inlineStr">
        <is>
          <t>VÄSTERBOTTENS LÄN</t>
        </is>
      </c>
      <c r="G381" t="inlineStr">
        <is>
          <t>ROBERTSFORS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27294-2026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46252</v>
      </c>
      <c r="F382" t="inlineStr">
        <is>
          <t>VÄSTERBOTTENS LÄN</t>
        </is>
      </c>
      <c r="G382" t="inlineStr">
        <is>
          <t>ROBERTSFORS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46083</v>
      </c>
      <c r="E383" s="1" t="n">
        <v>46252</v>
      </c>
      <c r="F383" t="inlineStr">
        <is>
          <t>VÄSTERBOTTENS LÄN</t>
        </is>
      </c>
      <c r="G383" t="inlineStr">
        <is>
          <t>ROBERTSFORS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45708</v>
      </c>
      <c r="E384" s="1" t="n">
        <v>46252</v>
      </c>
      <c r="F384" t="inlineStr">
        <is>
          <t>VÄSTERBOTTENS LÄN</t>
        </is>
      </c>
      <c r="G384" t="inlineStr">
        <is>
          <t>ROBERTSFORS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30733-2024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45496</v>
      </c>
      <c r="E385" s="1" t="n">
        <v>46252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10173-2022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44622</v>
      </c>
      <c r="E386" s="1" t="n">
        <v>46252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25572-2023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45082</v>
      </c>
      <c r="E387" s="1" t="n">
        <v>46252</v>
      </c>
      <c r="F387" t="inlineStr">
        <is>
          <t>VÄSTERBOTTENS LÄN</t>
        </is>
      </c>
      <c r="G387" t="inlineStr">
        <is>
          <t>ROBERTSFORS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46252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45644</v>
      </c>
      <c r="E389" s="1" t="n">
        <v>46252</v>
      </c>
      <c r="F389" t="inlineStr">
        <is>
          <t>VÄSTERBOTTENS LÄN</t>
        </is>
      </c>
      <c r="G389" t="inlineStr">
        <is>
          <t>ROBERTSFORS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44952</v>
      </c>
      <c r="E390" s="1" t="n">
        <v>46252</v>
      </c>
      <c r="F390" t="inlineStr">
        <is>
          <t>VÄSTERBOTTENS LÄN</t>
        </is>
      </c>
      <c r="G390" t="inlineStr">
        <is>
          <t>ROBERTSFORS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44980</v>
      </c>
      <c r="E391" s="1" t="n">
        <v>46252</v>
      </c>
      <c r="F391" t="inlineStr">
        <is>
          <t>VÄSTERBOTTENS LÄN</t>
        </is>
      </c>
      <c r="G391" t="inlineStr">
        <is>
          <t>ROBERTSFORS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46252</v>
      </c>
      <c r="F392" t="inlineStr">
        <is>
          <t>VÄSTERBOTTENS LÄN</t>
        </is>
      </c>
      <c r="G392" t="inlineStr">
        <is>
          <t>ROBERTSFORS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14098-2026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46252</v>
      </c>
      <c r="F393" t="inlineStr">
        <is>
          <t>VÄSTERBOTTENS LÄN</t>
        </is>
      </c>
      <c r="G393" t="inlineStr">
        <is>
          <t>ROBERTSFORS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45708</v>
      </c>
      <c r="E394" s="1" t="n">
        <v>46252</v>
      </c>
      <c r="F394" t="inlineStr">
        <is>
          <t>VÄSTERBOTTENS LÄN</t>
        </is>
      </c>
      <c r="G394" t="inlineStr">
        <is>
          <t>ROBERTSFORS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15015-2026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46104</v>
      </c>
      <c r="E395" s="1" t="n">
        <v>46252</v>
      </c>
      <c r="F395" t="inlineStr">
        <is>
          <t>VÄSTERBOTTENS LÄN</t>
        </is>
      </c>
      <c r="G395" t="inlineStr">
        <is>
          <t>ROBERTSFORS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45184</v>
      </c>
      <c r="E396" s="1" t="n">
        <v>46252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15302-2026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46252</v>
      </c>
      <c r="F397" t="inlineStr">
        <is>
          <t>VÄSTERBOTTENS LÄN</t>
        </is>
      </c>
      <c r="G397" t="inlineStr">
        <is>
          <t>ROBERTSFORS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46252</v>
      </c>
      <c r="F398" t="inlineStr">
        <is>
          <t>VÄSTERBOTTENS LÄN</t>
        </is>
      </c>
      <c r="G398" t="inlineStr">
        <is>
          <t>ROBERTSFORS</t>
        </is>
      </c>
      <c r="I398" t="n">
        <v>16.1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46252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46252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46252</v>
      </c>
      <c r="F401" t="inlineStr">
        <is>
          <t>VÄSTERBOTTENS LÄN</t>
        </is>
      </c>
      <c r="G401" t="inlineStr">
        <is>
          <t>ROBERTSFORS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45659</v>
      </c>
      <c r="E402" s="1" t="n">
        <v>46252</v>
      </c>
      <c r="F402" t="inlineStr">
        <is>
          <t>VÄSTERBOTTENS LÄN</t>
        </is>
      </c>
      <c r="G402" t="inlineStr">
        <is>
          <t>ROBERTSFORS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46252</v>
      </c>
      <c r="F403" t="inlineStr">
        <is>
          <t>VÄSTERBOTTENS LÄN</t>
        </is>
      </c>
      <c r="G403" t="inlineStr">
        <is>
          <t>ROBERTSFORS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43095-2023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45182</v>
      </c>
      <c r="E404" s="1" t="n">
        <v>46252</v>
      </c>
      <c r="F404" t="inlineStr">
        <is>
          <t>VÄSTERBOTTENS LÄN</t>
        </is>
      </c>
      <c r="G404" t="inlineStr">
        <is>
          <t>ROBERTSFORS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45620</v>
      </c>
      <c r="E405" s="1" t="n">
        <v>46252</v>
      </c>
      <c r="F405" t="inlineStr">
        <is>
          <t>VÄSTERBOTTENS LÄN</t>
        </is>
      </c>
      <c r="G405" t="inlineStr">
        <is>
          <t>ROBERTSFORS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45631</v>
      </c>
      <c r="E406" s="1" t="n">
        <v>46252</v>
      </c>
      <c r="F406" t="inlineStr">
        <is>
          <t>VÄSTERBOTTENS LÄN</t>
        </is>
      </c>
      <c r="G406" t="inlineStr">
        <is>
          <t>ROBERTSFORS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46252</v>
      </c>
      <c r="F407" t="inlineStr">
        <is>
          <t>VÄSTERBOTTENS LÄN</t>
        </is>
      </c>
      <c r="G407" t="inlineStr">
        <is>
          <t>ROBERTSFORS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32512-2026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46239</v>
      </c>
      <c r="E408" s="1" t="n">
        <v>46252</v>
      </c>
      <c r="F408" t="inlineStr">
        <is>
          <t>VÄSTERBOTTENS LÄN</t>
        </is>
      </c>
      <c r="G408" t="inlineStr">
        <is>
          <t>ROBERTSFORS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46239</v>
      </c>
      <c r="E409" s="1" t="n">
        <v>46252</v>
      </c>
      <c r="F409" t="inlineStr">
        <is>
          <t>VÄSTERBOTTENS LÄN</t>
        </is>
      </c>
      <c r="G409" t="inlineStr">
        <is>
          <t>ROBERTSFORS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46239</v>
      </c>
      <c r="E410" s="1" t="n">
        <v>46252</v>
      </c>
      <c r="F410" t="inlineStr">
        <is>
          <t>VÄSTERBOTTENS LÄN</t>
        </is>
      </c>
      <c r="G410" t="inlineStr">
        <is>
          <t>ROBERTSFORS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46252</v>
      </c>
      <c r="F411" t="inlineStr">
        <is>
          <t>VÄSTERBOTTENS LÄN</t>
        </is>
      </c>
      <c r="G411" t="inlineStr">
        <is>
          <t>ROBERTSFORS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46252</v>
      </c>
      <c r="F412" t="inlineStr">
        <is>
          <t>VÄSTERBOTTENS LÄN</t>
        </is>
      </c>
      <c r="G412" t="inlineStr">
        <is>
          <t>ROBERTSFORS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46252</v>
      </c>
      <c r="F413" t="inlineStr">
        <is>
          <t>VÄSTERBOTTENS LÄN</t>
        </is>
      </c>
      <c r="G413" t="inlineStr">
        <is>
          <t>ROBERTSFORS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46126</v>
      </c>
      <c r="E414" s="1" t="n">
        <v>46252</v>
      </c>
      <c r="F414" t="inlineStr">
        <is>
          <t>VÄSTERBOTTENS LÄN</t>
        </is>
      </c>
      <c r="G414" t="inlineStr">
        <is>
          <t>ROBERTSFORS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18294-2026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46252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46239</v>
      </c>
      <c r="E416" s="1" t="n">
        <v>46252</v>
      </c>
      <c r="F416" t="inlineStr">
        <is>
          <t>VÄSTERBOTTENS LÄN</t>
        </is>
      </c>
      <c r="G416" t="inlineStr">
        <is>
          <t>ROBERTSFORS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28142-2026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46252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46252</v>
      </c>
      <c r="F418" t="inlineStr">
        <is>
          <t>VÄSTERBOTTENS LÄN</t>
        </is>
      </c>
      <c r="G418" t="inlineStr">
        <is>
          <t>ROBERTSFORS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46240</v>
      </c>
      <c r="E419" s="1" t="n">
        <v>46252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46252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46252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45135</v>
      </c>
      <c r="E422" s="1" t="n">
        <v>46252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46252</v>
      </c>
      <c r="F423" t="inlineStr">
        <is>
          <t>VÄSTERBOTTENS LÄN</t>
        </is>
      </c>
      <c r="G423" t="inlineStr">
        <is>
          <t>ROBERTSFORS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46252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46252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46252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19732-2026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46135</v>
      </c>
      <c r="E427" s="1" t="n">
        <v>46252</v>
      </c>
      <c r="F427" t="inlineStr">
        <is>
          <t>VÄSTERBOTTENS LÄN</t>
        </is>
      </c>
      <c r="G427" t="inlineStr">
        <is>
          <t>ROBERTSFORS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46252</v>
      </c>
      <c r="F428" t="inlineStr">
        <is>
          <t>VÄSTERBOTTENS LÄN</t>
        </is>
      </c>
      <c r="G428" t="inlineStr">
        <is>
          <t>ROBERTSFORS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46252</v>
      </c>
      <c r="F429" t="inlineStr">
        <is>
          <t>VÄSTERBOTTENS LÄN</t>
        </is>
      </c>
      <c r="G429" t="inlineStr">
        <is>
          <t>ROBERTSFORS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46240</v>
      </c>
      <c r="E430" s="1" t="n">
        <v>46252</v>
      </c>
      <c r="F430" t="inlineStr">
        <is>
          <t>VÄSTERBOTTENS LÄN</t>
        </is>
      </c>
      <c r="G430" t="inlineStr">
        <is>
          <t>ROBERTSFORS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46252</v>
      </c>
      <c r="F431" t="inlineStr">
        <is>
          <t>VÄSTERBOTTENS LÄN</t>
        </is>
      </c>
      <c r="G431" t="inlineStr">
        <is>
          <t>ROBERTSFORS</t>
        </is>
      </c>
      <c r="I431" t="n">
        <v>11.3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45636</v>
      </c>
      <c r="E432" s="1" t="n">
        <v>46252</v>
      </c>
      <c r="F432" t="inlineStr">
        <is>
          <t>VÄSTERBOTTENS LÄN</t>
        </is>
      </c>
      <c r="G432" t="inlineStr">
        <is>
          <t>ROBERTSFORS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46252</v>
      </c>
      <c r="F433" t="inlineStr">
        <is>
          <t>VÄSTERBOTTENS LÄN</t>
        </is>
      </c>
      <c r="G433" t="inlineStr">
        <is>
          <t>ROBERTSFORS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46252</v>
      </c>
      <c r="F434" t="inlineStr">
        <is>
          <t>VÄSTERBOTTENS LÄN</t>
        </is>
      </c>
      <c r="G434" t="inlineStr">
        <is>
          <t>ROBERTSFORS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46252</v>
      </c>
      <c r="F435" t="inlineStr">
        <is>
          <t>VÄSTERBOTTENS LÄN</t>
        </is>
      </c>
      <c r="G435" t="inlineStr">
        <is>
          <t>ROBERTSFORS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46252</v>
      </c>
      <c r="F436" t="inlineStr">
        <is>
          <t>VÄSTERBOTTENS LÄN</t>
        </is>
      </c>
      <c r="G436" t="inlineStr">
        <is>
          <t>ROBERTSFORS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46252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45040</v>
      </c>
      <c r="E438" s="1" t="n">
        <v>46252</v>
      </c>
      <c r="F438" t="inlineStr">
        <is>
          <t>VÄSTERBOTTENS LÄN</t>
        </is>
      </c>
      <c r="G438" t="inlineStr">
        <is>
          <t>ROBERTSFORS</t>
        </is>
      </c>
      <c r="I438" t="n">
        <v>11.5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46240</v>
      </c>
      <c r="E439" s="1" t="n">
        <v>46252</v>
      </c>
      <c r="F439" t="inlineStr">
        <is>
          <t>VÄSTERBOTTENS LÄN</t>
        </is>
      </c>
      <c r="G439" t="inlineStr">
        <is>
          <t>ROBERTSFORS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45145</v>
      </c>
      <c r="E440" s="1" t="n">
        <v>46252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46252</v>
      </c>
      <c r="F441" t="inlineStr">
        <is>
          <t>VÄSTERBOTTENS LÄN</t>
        </is>
      </c>
      <c r="G441" t="inlineStr">
        <is>
          <t>ROBERTSFORS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17848-2022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44683</v>
      </c>
      <c r="E442" s="1" t="n">
        <v>46252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45530</v>
      </c>
      <c r="E443" s="1" t="n">
        <v>46252</v>
      </c>
      <c r="F443" t="inlineStr">
        <is>
          <t>VÄSTERBOTTENS LÄN</t>
        </is>
      </c>
      <c r="G443" t="inlineStr">
        <is>
          <t>ROBERTSFORS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44960</v>
      </c>
      <c r="E444" s="1" t="n">
        <v>46252</v>
      </c>
      <c r="F444" t="inlineStr">
        <is>
          <t>VÄSTERBOTTENS LÄN</t>
        </is>
      </c>
      <c r="G444" t="inlineStr">
        <is>
          <t>ROBERTSFORS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4376-2022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44588</v>
      </c>
      <c r="E445" s="1" t="n">
        <v>46252</v>
      </c>
      <c r="F445" t="inlineStr">
        <is>
          <t>VÄSTERBOTTENS LÄN</t>
        </is>
      </c>
      <c r="G445" t="inlineStr">
        <is>
          <t>ROBERTSFORS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45826</v>
      </c>
      <c r="E446" s="1" t="n">
        <v>46252</v>
      </c>
      <c r="F446" t="inlineStr">
        <is>
          <t>VÄSTERBOTTENS LÄN</t>
        </is>
      </c>
      <c r="G446" t="inlineStr">
        <is>
          <t>ROBERTSFORS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46244</v>
      </c>
      <c r="E447" s="1" t="n">
        <v>46252</v>
      </c>
      <c r="F447" t="inlineStr">
        <is>
          <t>VÄSTERBOTTENS LÄN</t>
        </is>
      </c>
      <c r="G447" t="inlineStr">
        <is>
          <t>ROBERTSFORS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45659</v>
      </c>
      <c r="E448" s="1" t="n">
        <v>46252</v>
      </c>
      <c r="F448" t="inlineStr">
        <is>
          <t>VÄSTERBOTTENS LÄN</t>
        </is>
      </c>
      <c r="G448" t="inlineStr">
        <is>
          <t>ROBERTSFORS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45930</v>
      </c>
      <c r="E449" s="1" t="n">
        <v>46252</v>
      </c>
      <c r="F449" t="inlineStr">
        <is>
          <t>VÄSTERBOTTENS LÄN</t>
        </is>
      </c>
      <c r="G449" t="inlineStr">
        <is>
          <t>ROBERTSFORS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46252</v>
      </c>
      <c r="F450" t="inlineStr">
        <is>
          <t>VÄSTERBOTTENS LÄN</t>
        </is>
      </c>
      <c r="G450" t="inlineStr">
        <is>
          <t>ROBERTSFORS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29600-2026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46252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SCA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46252</v>
      </c>
      <c r="F452" t="inlineStr">
        <is>
          <t>VÄSTERBOTTENS LÄN</t>
        </is>
      </c>
      <c r="G452" t="inlineStr">
        <is>
          <t>ROBERTSFORS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45901</v>
      </c>
      <c r="E453" s="1" t="n">
        <v>46252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45525</v>
      </c>
      <c r="E454" s="1" t="n">
        <v>46252</v>
      </c>
      <c r="F454" t="inlineStr">
        <is>
          <t>VÄSTERBOTTENS LÄN</t>
        </is>
      </c>
      <c r="G454" t="inlineStr">
        <is>
          <t>ROBERTSFORS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46252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45692</v>
      </c>
      <c r="E456" s="1" t="n">
        <v>46252</v>
      </c>
      <c r="F456" t="inlineStr">
        <is>
          <t>VÄSTERBOTTENS LÄN</t>
        </is>
      </c>
      <c r="G456" t="inlineStr">
        <is>
          <t>ROBERTSFORS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45734</v>
      </c>
      <c r="E457" s="1" t="n">
        <v>46252</v>
      </c>
      <c r="F457" t="inlineStr">
        <is>
          <t>VÄSTERBOTTENS LÄN</t>
        </is>
      </c>
      <c r="G457" t="inlineStr">
        <is>
          <t>ROBERTSFORS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46252</v>
      </c>
      <c r="F458" t="inlineStr">
        <is>
          <t>VÄSTERBOTTENS LÄN</t>
        </is>
      </c>
      <c r="G458" t="inlineStr">
        <is>
          <t>ROBERTSFORS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45561</v>
      </c>
      <c r="E459" s="1" t="n">
        <v>46252</v>
      </c>
      <c r="F459" t="inlineStr">
        <is>
          <t>VÄSTERBOTTENS LÄN</t>
        </is>
      </c>
      <c r="G459" t="inlineStr">
        <is>
          <t>ROBERTSFORS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45671</v>
      </c>
      <c r="E460" s="1" t="n">
        <v>46252</v>
      </c>
      <c r="F460" t="inlineStr">
        <is>
          <t>VÄSTERBOTTENS LÄN</t>
        </is>
      </c>
      <c r="G460" t="inlineStr">
        <is>
          <t>ROBERTSFORS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19925-2026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46136</v>
      </c>
      <c r="E461" s="1" t="n">
        <v>46252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73557-2021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44551</v>
      </c>
      <c r="E462" s="1" t="n">
        <v>46252</v>
      </c>
      <c r="F462" t="inlineStr">
        <is>
          <t>VÄSTERBOTTENS LÄN</t>
        </is>
      </c>
      <c r="G462" t="inlineStr">
        <is>
          <t>ROBERTSFORS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46252</v>
      </c>
      <c r="F463" t="inlineStr">
        <is>
          <t>VÄSTERBOTTENS LÄN</t>
        </is>
      </c>
      <c r="G463" t="inlineStr">
        <is>
          <t>ROBERTSFORS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46252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46252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25575-2022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44732</v>
      </c>
      <c r="E466" s="1" t="n">
        <v>46252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38092-2022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44811</v>
      </c>
      <c r="E467" s="1" t="n">
        <v>46252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46252</v>
      </c>
      <c r="F468" t="inlineStr">
        <is>
          <t>VÄSTERBOTTENS LÄN</t>
        </is>
      </c>
      <c r="G468" t="inlineStr">
        <is>
          <t>ROBERTSFORS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46252</v>
      </c>
      <c r="F469" t="inlineStr">
        <is>
          <t>VÄSTERBOTTENS LÄN</t>
        </is>
      </c>
      <c r="G469" t="inlineStr">
        <is>
          <t>ROBERTSFORS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46252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46252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30081-2026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46252</v>
      </c>
      <c r="F472" t="inlineStr">
        <is>
          <t>VÄSTERBOTTENS LÄN</t>
        </is>
      </c>
      <c r="G472" t="inlineStr">
        <is>
          <t>ROBERTSFORS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55417-2023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45238</v>
      </c>
      <c r="E473" s="1" t="n">
        <v>46252</v>
      </c>
      <c r="F473" t="inlineStr">
        <is>
          <t>VÄSTERBOTTENS LÄN</t>
        </is>
      </c>
      <c r="G473" t="inlineStr">
        <is>
          <t>ROBERTSFORS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45670</v>
      </c>
      <c r="E474" s="1" t="n">
        <v>46252</v>
      </c>
      <c r="F474" t="inlineStr">
        <is>
          <t>VÄSTERBOTTENS LÄN</t>
        </is>
      </c>
      <c r="G474" t="inlineStr">
        <is>
          <t>ROBERTSFORS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45146</v>
      </c>
      <c r="E475" s="1" t="n">
        <v>46252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45687</v>
      </c>
      <c r="E476" s="1" t="n">
        <v>46252</v>
      </c>
      <c r="F476" t="inlineStr">
        <is>
          <t>VÄSTERBOTTENS LÄN</t>
        </is>
      </c>
      <c r="G476" t="inlineStr">
        <is>
          <t>ROBERTSFORS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46252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45701</v>
      </c>
      <c r="E478" s="1" t="n">
        <v>46252</v>
      </c>
      <c r="F478" t="inlineStr">
        <is>
          <t>VÄSTERBOTTENS LÄN</t>
        </is>
      </c>
      <c r="G478" t="inlineStr">
        <is>
          <t>ROBERTSFORS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29958-2026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46252</v>
      </c>
      <c r="F479" t="inlineStr">
        <is>
          <t>VÄSTERBOTTENS LÄN</t>
        </is>
      </c>
      <c r="G479" t="inlineStr">
        <is>
          <t>ROBERTSFORS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46252</v>
      </c>
      <c r="F480" t="inlineStr">
        <is>
          <t>VÄSTERBOTTENS LÄN</t>
        </is>
      </c>
      <c r="G480" t="inlineStr">
        <is>
          <t>ROBERTSFORS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21512-2026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46148</v>
      </c>
      <c r="E481" s="1" t="n">
        <v>46252</v>
      </c>
      <c r="F481" t="inlineStr">
        <is>
          <t>VÄSTERBOTTENS LÄN</t>
        </is>
      </c>
      <c r="G481" t="inlineStr">
        <is>
          <t>ROBERTSFORS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46252</v>
      </c>
      <c r="F482" t="inlineStr">
        <is>
          <t>VÄSTERBOTTENS LÄN</t>
        </is>
      </c>
      <c r="G482" t="inlineStr">
        <is>
          <t>ROBERTSFORS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45161</v>
      </c>
      <c r="E483" s="1" t="n">
        <v>46252</v>
      </c>
      <c r="F483" t="inlineStr">
        <is>
          <t>VÄSTERBOTTENS LÄN</t>
        </is>
      </c>
      <c r="G483" t="inlineStr">
        <is>
          <t>ROBERTSFORS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58582-2023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46252</v>
      </c>
      <c r="F484" t="inlineStr">
        <is>
          <t>VÄSTERBOTTENS LÄN</t>
        </is>
      </c>
      <c r="G484" t="inlineStr">
        <is>
          <t>ROBERTSFORS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46252</v>
      </c>
      <c r="F485" t="inlineStr">
        <is>
          <t>VÄSTERBOTTENS LÄN</t>
        </is>
      </c>
      <c r="G485" t="inlineStr">
        <is>
          <t>ROBERTSFORS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45160</v>
      </c>
      <c r="E486" s="1" t="n">
        <v>46252</v>
      </c>
      <c r="F486" t="inlineStr">
        <is>
          <t>VÄSTERBOTTENS LÄN</t>
        </is>
      </c>
      <c r="G486" t="inlineStr">
        <is>
          <t>ROBERTSFORS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46252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46252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45628</v>
      </c>
      <c r="E489" s="1" t="n">
        <v>46252</v>
      </c>
      <c r="F489" t="inlineStr">
        <is>
          <t>VÄSTERBOTTENS LÄN</t>
        </is>
      </c>
      <c r="G489" t="inlineStr">
        <is>
          <t>ROBERTSFORS</t>
        </is>
      </c>
      <c r="I489" t="n">
        <v>12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46150</v>
      </c>
      <c r="E490" s="1" t="n">
        <v>46252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46252</v>
      </c>
      <c r="F491" t="inlineStr">
        <is>
          <t>VÄSTERBOTTENS LÄN</t>
        </is>
      </c>
      <c r="G491" t="inlineStr">
        <is>
          <t>ROBERTSFORS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22076-2026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46252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46252</v>
      </c>
      <c r="F493" t="inlineStr">
        <is>
          <t>VÄSTERBOTTENS LÄN</t>
        </is>
      </c>
      <c r="G493" t="inlineStr">
        <is>
          <t>ROBERTSFORS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46252</v>
      </c>
      <c r="F494" t="inlineStr">
        <is>
          <t>VÄSTERBOTTENS LÄN</t>
        </is>
      </c>
      <c r="G494" t="inlineStr">
        <is>
          <t>ROBERTSFORS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46252</v>
      </c>
      <c r="F495" t="inlineStr">
        <is>
          <t>VÄSTERBOTTENS LÄN</t>
        </is>
      </c>
      <c r="G495" t="inlineStr">
        <is>
          <t>ROBERTSFORS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45495</v>
      </c>
      <c r="E496" s="1" t="n">
        <v>46252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45642</v>
      </c>
      <c r="E497" s="1" t="n">
        <v>46252</v>
      </c>
      <c r="F497" t="inlineStr">
        <is>
          <t>VÄSTERBOTTENS LÄN</t>
        </is>
      </c>
      <c r="G497" t="inlineStr">
        <is>
          <t>ROBERTSFORS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45502</v>
      </c>
      <c r="E498" s="1" t="n">
        <v>46252</v>
      </c>
      <c r="F498" t="inlineStr">
        <is>
          <t>VÄSTERBOTTENS LÄN</t>
        </is>
      </c>
      <c r="G498" t="inlineStr">
        <is>
          <t>ROBERTSFORS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44372-2023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45188</v>
      </c>
      <c r="E499" s="1" t="n">
        <v>46252</v>
      </c>
      <c r="F499" t="inlineStr">
        <is>
          <t>VÄSTERBOTTENS LÄN</t>
        </is>
      </c>
      <c r="G499" t="inlineStr">
        <is>
          <t>ROBERTSFORS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46252</v>
      </c>
      <c r="F500" t="inlineStr">
        <is>
          <t>VÄSTERBOTTENS LÄN</t>
        </is>
      </c>
      <c r="G500" t="inlineStr">
        <is>
          <t>ROBERTSFORS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46252</v>
      </c>
      <c r="F501" t="inlineStr">
        <is>
          <t>VÄSTERBOTTENS LÄN</t>
        </is>
      </c>
      <c r="G501" t="inlineStr">
        <is>
          <t>ROBERTSFORS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22934-2026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46252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45846-2024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46252</v>
      </c>
      <c r="F503" t="inlineStr">
        <is>
          <t>VÄSTERBOTTENS LÄN</t>
        </is>
      </c>
      <c r="G503" t="inlineStr">
        <is>
          <t>ROBERTSFORS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46252</v>
      </c>
      <c r="F504" t="inlineStr">
        <is>
          <t>VÄSTERBOTTENS LÄN</t>
        </is>
      </c>
      <c r="G504" t="inlineStr">
        <is>
          <t>ROBERTSFORS</t>
        </is>
      </c>
      <c r="I504" t="n">
        <v>11.3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45792</v>
      </c>
      <c r="E505" s="1" t="n">
        <v>46252</v>
      </c>
      <c r="F505" t="inlineStr">
        <is>
          <t>VÄSTERBOTTENS LÄN</t>
        </is>
      </c>
      <c r="G505" t="inlineStr">
        <is>
          <t>ROBERTSFORS</t>
        </is>
      </c>
      <c r="I505" t="n">
        <v>10.1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23961-2025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45794</v>
      </c>
      <c r="E506" s="1" t="n">
        <v>46252</v>
      </c>
      <c r="F506" t="inlineStr">
        <is>
          <t>VÄSTERBOTTENS LÄN</t>
        </is>
      </c>
      <c r="G506" t="inlineStr">
        <is>
          <t>ROBERTSFORS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45761</v>
      </c>
      <c r="E507" s="1" t="n">
        <v>46252</v>
      </c>
      <c r="F507" t="inlineStr">
        <is>
          <t>VÄSTERBOTTENS LÄN</t>
        </is>
      </c>
      <c r="G507" t="inlineStr">
        <is>
          <t>ROBERTSFORS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46252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24647-2026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46171</v>
      </c>
      <c r="E509" s="1" t="n">
        <v>46252</v>
      </c>
      <c r="F509" t="inlineStr">
        <is>
          <t>VÄSTERBOTTENS LÄN</t>
        </is>
      </c>
      <c r="G509" t="inlineStr">
        <is>
          <t>ROBERTSFORS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46252</v>
      </c>
      <c r="F510" t="inlineStr">
        <is>
          <t>VÄSTERBOTTENS LÄN</t>
        </is>
      </c>
      <c r="G510" t="inlineStr">
        <is>
          <t>ROBERTSFORS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46252</v>
      </c>
      <c r="F511" t="inlineStr">
        <is>
          <t>VÄSTERBOTTENS LÄN</t>
        </is>
      </c>
      <c r="G511" t="inlineStr">
        <is>
          <t>ROBERTSFORS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45800</v>
      </c>
      <c r="E512" s="1" t="n">
        <v>46252</v>
      </c>
      <c r="F512" t="inlineStr">
        <is>
          <t>VÄSTERBOTTENS LÄN</t>
        </is>
      </c>
      <c r="G512" t="inlineStr">
        <is>
          <t>ROBERTSFORS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45803</v>
      </c>
      <c r="E513" s="1" t="n">
        <v>46252</v>
      </c>
      <c r="F513" t="inlineStr">
        <is>
          <t>VÄSTERBOTTENS LÄN</t>
        </is>
      </c>
      <c r="G513" t="inlineStr">
        <is>
          <t>ROBERTSFORS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46252</v>
      </c>
      <c r="F514" t="inlineStr">
        <is>
          <t>VÄSTERBOTTENS LÄN</t>
        </is>
      </c>
      <c r="G514" t="inlineStr">
        <is>
          <t>ROBERTSFORS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13164-2024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45386</v>
      </c>
      <c r="E515" s="1" t="n">
        <v>46252</v>
      </c>
      <c r="F515" t="inlineStr">
        <is>
          <t>VÄSTERBOTTENS LÄN</t>
        </is>
      </c>
      <c r="G515" t="inlineStr">
        <is>
          <t>ROBERTSFORS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25577-2025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45803</v>
      </c>
      <c r="E516" s="1" t="n">
        <v>46252</v>
      </c>
      <c r="F516" t="inlineStr">
        <is>
          <t>VÄSTERBOTTENS LÄN</t>
        </is>
      </c>
      <c r="G516" t="inlineStr">
        <is>
          <t>ROBERTSFORS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46252</v>
      </c>
      <c r="F517" t="inlineStr">
        <is>
          <t>VÄSTERBOTTENS LÄN</t>
        </is>
      </c>
      <c r="G517" t="inlineStr">
        <is>
          <t>ROBERTSFORS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45687</v>
      </c>
      <c r="E518" s="1" t="n">
        <v>46252</v>
      </c>
      <c r="F518" t="inlineStr">
        <is>
          <t>VÄSTERBOTTENS LÄN</t>
        </is>
      </c>
      <c r="G518" t="inlineStr">
        <is>
          <t>ROBERTSFORS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26984-2025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45811</v>
      </c>
      <c r="E519" s="1" t="n">
        <v>46252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12.7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46252</v>
      </c>
      <c r="F520" t="inlineStr">
        <is>
          <t>VÄSTERBOTTENS LÄN</t>
        </is>
      </c>
      <c r="G520" t="inlineStr">
        <is>
          <t>ROBERTSFORS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46176</v>
      </c>
      <c r="E521" s="1" t="n">
        <v>46252</v>
      </c>
      <c r="F521" t="inlineStr">
        <is>
          <t>VÄSTERBOTTENS LÄN</t>
        </is>
      </c>
      <c r="G521" t="inlineStr">
        <is>
          <t>ROBERTSFORS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46252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46252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46252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46252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46252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46252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46252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46252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2026-08-18T01:48:34Z</dcterms:created>
  <dcterms:modified xmlns:dcterms="http://purl.org/dc/terms/" xmlns:xsi="http://www.w3.org/2001/XMLSchema-instance" xsi:type="dcterms:W3CDTF">2026-08-18T01:48:35Z</dcterms:modified>
</cp:coreProperties>
</file>