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46266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46266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46266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46266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46266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46266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46266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46266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46266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46266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46266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46266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46266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46266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46266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46266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46266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46266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46266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31320-2024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46266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4.9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Kolflarnlav
Vedflamlav</t>
        </is>
      </c>
      <c r="W27">
        <f>HYPERLINK("https://klasma.github.io/Logging_2409/artfynd/A 31320-2024 artfynd.xlsx", "A 31320-2024")</f>
        <v/>
      </c>
      <c r="X27">
        <f>HYPERLINK("https://klasma.github.io/Logging_2409/kartor/A 31320-2024 karta.png", "A 31320-2024")</f>
        <v/>
      </c>
      <c r="Y27">
        <f>HYPERLINK("https://klasma.github.io/Logging_2409/kartor_geotiff/A 31320-2024 georefererad karta.tif", "A 31320-2024")</f>
        <v/>
      </c>
      <c r="AA27">
        <f>HYPERLINK("https://klasma.github.io/Logging_2409/klagomål/A 31320-2024 FSC-klagomål.docx", "A 31320-2024")</f>
        <v/>
      </c>
      <c r="AB27">
        <f>HYPERLINK("https://klasma.github.io/Logging_2409/klagomålsmail/A 31320-2024 FSC-klagomål mail.docx", "A 31320-2024")</f>
        <v/>
      </c>
      <c r="AC27">
        <f>HYPERLINK("https://klasma.github.io/Logging_2409/tillsyn/A 31320-2024 tillsynsbegäran.docx", "A 31320-2024")</f>
        <v/>
      </c>
      <c r="AD27">
        <f>HYPERLINK("https://klasma.github.io/Logging_2409/tillsynsmail/A 31320-2024 tillsynsbegäran mail.docx", "A 31320-2024")</f>
        <v/>
      </c>
    </row>
    <row r="28" ht="15" customHeight="1">
      <c r="A28" t="inlineStr">
        <is>
          <t>A 19724-2023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45051</v>
      </c>
      <c r="E28" s="1" t="n">
        <v>46266</v>
      </c>
      <c r="F28" t="inlineStr">
        <is>
          <t>VÄSTERBOTTENS LÄN</t>
        </is>
      </c>
      <c r="G28" t="inlineStr">
        <is>
          <t>ROBERTSFORS</t>
        </is>
      </c>
      <c r="I28" t="n">
        <v>6.1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Motaggsvamp
Skarp dropptaggsvamp</t>
        </is>
      </c>
      <c r="W28">
        <f>HYPERLINK("https://klasma.github.io/Logging_2409/artfynd/A 19724-2023 artfynd.xlsx", "A 19724-2023")</f>
        <v/>
      </c>
      <c r="X28">
        <f>HYPERLINK("https://klasma.github.io/Logging_2409/kartor/A 19724-2023 karta.png", "A 19724-2023")</f>
        <v/>
      </c>
      <c r="Y28">
        <f>HYPERLINK("https://klasma.github.io/Logging_2409/kartor_geotiff/A 19724-2023 georefererad karta.tif", "A 19724-2023")</f>
        <v/>
      </c>
      <c r="AA28">
        <f>HYPERLINK("https://klasma.github.io/Logging_2409/klagomål/A 19724-2023 FSC-klagomål.docx", "A 19724-2023")</f>
        <v/>
      </c>
      <c r="AB28">
        <f>HYPERLINK("https://klasma.github.io/Logging_2409/klagomålsmail/A 19724-2023 FSC-klagomål mail.docx", "A 19724-2023")</f>
        <v/>
      </c>
      <c r="AC28">
        <f>HYPERLINK("https://klasma.github.io/Logging_2409/tillsyn/A 19724-2023 tillsynsbegäran.docx", "A 19724-2023")</f>
        <v/>
      </c>
      <c r="AD28">
        <f>HYPERLINK("https://klasma.github.io/Logging_2409/tillsynsmail/A 19724-2023 tillsynsbegäran mail.docx", "A 19724-2023")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46266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41962-2023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45177</v>
      </c>
      <c r="E30" s="1" t="n">
        <v>46266</v>
      </c>
      <c r="F30" t="inlineStr">
        <is>
          <t>VÄSTERBOTTENS LÄN</t>
        </is>
      </c>
      <c r="G30" t="inlineStr">
        <is>
          <t>ROBERTSFORS</t>
        </is>
      </c>
      <c r="I30" t="n">
        <v>0.3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Vedticka</t>
        </is>
      </c>
      <c r="W30">
        <f>HYPERLINK("https://klasma.github.io/Logging_2409/artfynd/A 41962-2023 artfynd.xlsx", "A 41962-2023")</f>
        <v/>
      </c>
      <c r="X30">
        <f>HYPERLINK("https://klasma.github.io/Logging_2409/kartor/A 41962-2023 karta.png", "A 41962-2023")</f>
        <v/>
      </c>
      <c r="Y30">
        <f>HYPERLINK("https://klasma.github.io/Logging_2409/kartor_geotiff/A 41962-2023 georefererad karta.tif", "A 41962-2023")</f>
        <v/>
      </c>
      <c r="AA30">
        <f>HYPERLINK("https://klasma.github.io/Logging_2409/klagomål/A 41962-2023 FSC-klagomål.docx", "A 41962-2023")</f>
        <v/>
      </c>
      <c r="AB30">
        <f>HYPERLINK("https://klasma.github.io/Logging_2409/klagomålsmail/A 41962-2023 FSC-klagomål mail.docx", "A 41962-2023")</f>
        <v/>
      </c>
      <c r="AC30">
        <f>HYPERLINK("https://klasma.github.io/Logging_2409/tillsyn/A 41962-2023 tillsynsbegäran.docx", "A 41962-2023")</f>
        <v/>
      </c>
      <c r="AD30">
        <f>HYPERLINK("https://klasma.github.io/Logging_2409/tillsynsmail/A 41962-2023 tillsynsbegäran mail.docx", "A 41962-2023")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46266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46266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46266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46266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46266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46266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46266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46266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46266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46266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46266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46266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46266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46266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46266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46266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HYPERLINK("https://klasma.github.io/Logging_2409/artfynd/A 32023-2024 artfynd.xlsx", "A 32023-2024")</f>
        <v/>
      </c>
      <c r="X49">
        <f>HYPERLINK("https://klasma.github.io/Logging_2409/kartor/A 32023-2024 karta.png", "A 32023-2024")</f>
        <v/>
      </c>
      <c r="Y49">
        <f>HYPERLINK("https://klasma.github.io/Logging_2409/kartor_geotiff/A 32023-2024 georefererad karta.tif", "A 32023-2024")</f>
        <v/>
      </c>
      <c r="AA49">
        <f>HYPERLINK("https://klasma.github.io/Logging_2409/klagomål/A 32023-2024 FSC-klagomål.docx", "A 32023-2024")</f>
        <v/>
      </c>
      <c r="AB49">
        <f>HYPERLINK("https://klasma.github.io/Logging_2409/klagomålsmail/A 32023-2024 FSC-klagomål mail.docx", "A 32023-2024")</f>
        <v/>
      </c>
      <c r="AC49">
        <f>HYPERLINK("https://klasma.github.io/Logging_2409/tillsyn/A 32023-2024 tillsynsbegäran.docx", "A 32023-2024")</f>
        <v/>
      </c>
      <c r="AD49">
        <f>HYPERLINK("https://klasma.github.io/Logging_2409/tillsynsmail/A 32023-2024 tillsynsbegäran mail.docx", "A 32023-2024")</f>
        <v/>
      </c>
    </row>
    <row r="50" ht="15" customHeight="1">
      <c r="A50" t="inlineStr">
        <is>
          <t>A 40600-2022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44823</v>
      </c>
      <c r="E50" s="1" t="n">
        <v>46266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HYPERLINK("https://klasma.github.io/Logging_2409/artfynd/A 40600-2022 artfynd.xlsx", "A 40600-2022")</f>
        <v/>
      </c>
      <c r="X50">
        <f>HYPERLINK("https://klasma.github.io/Logging_2409/kartor/A 40600-2022 karta.png", "A 40600-2022")</f>
        <v/>
      </c>
      <c r="Y50">
        <f>HYPERLINK("https://klasma.github.io/Logging_2409/kartor_geotiff/A 40600-2022 georefererad karta.tif", "A 40600-2022")</f>
        <v/>
      </c>
      <c r="AA50">
        <f>HYPERLINK("https://klasma.github.io/Logging_2409/klagomål/A 40600-2022 FSC-klagomål.docx", "A 40600-2022")</f>
        <v/>
      </c>
      <c r="AB50">
        <f>HYPERLINK("https://klasma.github.io/Logging_2409/klagomålsmail/A 40600-2022 FSC-klagomål mail.docx", "A 40600-2022")</f>
        <v/>
      </c>
      <c r="AC50">
        <f>HYPERLINK("https://klasma.github.io/Logging_2409/tillsyn/A 40600-2022 tillsynsbegäran.docx", "A 40600-2022")</f>
        <v/>
      </c>
      <c r="AD50">
        <f>HYPERLINK("https://klasma.github.io/Logging_2409/tillsynsmail/A 40600-2022 tillsynsbegäran mail.docx", "A 40600-2022")</f>
        <v/>
      </c>
      <c r="AE50">
        <f>HYPERLINK("https://klasma.github.io/Logging_2409/fåglar/A 40600-2022 prioriterade fågelarter.docx", "A 40600-2022")</f>
        <v/>
      </c>
    </row>
    <row r="51" ht="15" customHeight="1">
      <c r="A51" t="inlineStr">
        <is>
          <t>A 35497-2023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46266</v>
      </c>
      <c r="F51" t="inlineStr">
        <is>
          <t>VÄSTERBOTTENS LÄN</t>
        </is>
      </c>
      <c r="G51" t="inlineStr">
        <is>
          <t>ROBERTSFORS</t>
        </is>
      </c>
      <c r="I51" t="n">
        <v>0.2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35497-2023 artfynd.xlsx", "A 35497-2023")</f>
        <v/>
      </c>
      <c r="X51">
        <f>HYPERLINK("https://klasma.github.io/Logging_2409/kartor/A 35497-2023 karta.png", "A 35497-2023")</f>
        <v/>
      </c>
      <c r="Y51">
        <f>HYPERLINK("https://klasma.github.io/Logging_2409/kartor_geotiff/A 35497-2023 georefererad karta.tif", "A 35497-2023")</f>
        <v/>
      </c>
      <c r="AA51">
        <f>HYPERLINK("https://klasma.github.io/Logging_2409/klagomål/A 35497-2023 FSC-klagomål.docx", "A 35497-2023")</f>
        <v/>
      </c>
      <c r="AB51">
        <f>HYPERLINK("https://klasma.github.io/Logging_2409/klagomålsmail/A 35497-2023 FSC-klagomål mail.docx", "A 35497-2023")</f>
        <v/>
      </c>
      <c r="AC51">
        <f>HYPERLINK("https://klasma.github.io/Logging_2409/tillsyn/A 35497-2023 tillsynsbegäran.docx", "A 35497-2023")</f>
        <v/>
      </c>
      <c r="AD51">
        <f>HYPERLINK("https://klasma.github.io/Logging_2409/tillsynsmail/A 35497-2023 tillsynsbegäran mail.docx", "A 35497-2023")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46266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46266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46266</v>
      </c>
      <c r="F54" t="inlineStr">
        <is>
          <t>VÄSTERBOTTENS LÄN</t>
        </is>
      </c>
      <c r="G54" t="inlineStr">
        <is>
          <t>ROBERTSFORS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Björktrast</t>
        </is>
      </c>
      <c r="W54">
        <f>HYPERLINK("https://klasma.github.io/Logging_2409/artfynd/A 5289-2026 artfynd.xlsx", "A 5289-2026")</f>
        <v/>
      </c>
      <c r="X54">
        <f>HYPERLINK("https://klasma.github.io/Logging_2409/kartor/A 5289-2026 karta.png", "A 5289-2026")</f>
        <v/>
      </c>
      <c r="Y54">
        <f>HYPERLINK("https://klasma.github.io/Logging_2409/kartor_geotiff/A 5289-2026 georefererad karta.tif", "A 5289-2026")</f>
        <v/>
      </c>
      <c r="AA54">
        <f>HYPERLINK("https://klasma.github.io/Logging_2409/klagomål/A 5289-2026 FSC-klagomål.docx", "A 5289-2026")</f>
        <v/>
      </c>
      <c r="AB54">
        <f>HYPERLINK("https://klasma.github.io/Logging_2409/klagomålsmail/A 5289-2026 FSC-klagomål mail.docx", "A 5289-2026")</f>
        <v/>
      </c>
      <c r="AC54">
        <f>HYPERLINK("https://klasma.github.io/Logging_2409/tillsyn/A 5289-2026 tillsynsbegäran.docx", "A 5289-2026")</f>
        <v/>
      </c>
      <c r="AD54">
        <f>HYPERLINK("https://klasma.github.io/Logging_2409/tillsynsmail/A 5289-2026 tillsynsbegäran mail.docx", "A 5289-2026")</f>
        <v/>
      </c>
      <c r="AE54">
        <f>HYPERLINK("https://klasma.github.io/Logging_2409/fåglar/A 5289-2026 prioriterade fågelarter.docx", "A 5289-2026")</f>
        <v/>
      </c>
    </row>
    <row r="55" ht="15" customHeight="1">
      <c r="A55" t="inlineStr">
        <is>
          <t>A 5284-2026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46266</v>
      </c>
      <c r="F55" t="inlineStr">
        <is>
          <t>VÄSTERBOTTENS LÄN</t>
        </is>
      </c>
      <c r="G55" t="inlineStr">
        <is>
          <t>ROBERTSFORS</t>
        </is>
      </c>
      <c r="I55" t="n">
        <v>3.1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Talltita</t>
        </is>
      </c>
      <c r="W55">
        <f>HYPERLINK("https://klasma.github.io/Logging_2409/artfynd/A 5284-2026 artfynd.xlsx", "A 5284-2026")</f>
        <v/>
      </c>
      <c r="X55">
        <f>HYPERLINK("https://klasma.github.io/Logging_2409/kartor/A 5284-2026 karta.png", "A 5284-2026")</f>
        <v/>
      </c>
      <c r="Y55">
        <f>HYPERLINK("https://klasma.github.io/Logging_2409/kartor_geotiff/A 5284-2026 georefererad karta.tif", "A 5284-2026")</f>
        <v/>
      </c>
      <c r="AA55">
        <f>HYPERLINK("https://klasma.github.io/Logging_2409/klagomål/A 5284-2026 FSC-klagomål.docx", "A 5284-2026")</f>
        <v/>
      </c>
      <c r="AB55">
        <f>HYPERLINK("https://klasma.github.io/Logging_2409/klagomålsmail/A 5284-2026 FSC-klagomål mail.docx", "A 5284-2026")</f>
        <v/>
      </c>
      <c r="AC55">
        <f>HYPERLINK("https://klasma.github.io/Logging_2409/tillsyn/A 5284-2026 tillsynsbegäran.docx", "A 5284-2026")</f>
        <v/>
      </c>
      <c r="AD55">
        <f>HYPERLINK("https://klasma.github.io/Logging_2409/tillsynsmail/A 5284-2026 tillsynsbegäran mail.docx", "A 5284-2026")</f>
        <v/>
      </c>
      <c r="AE55">
        <f>HYPERLINK("https://klasma.github.io/Logging_2409/fåglar/A 5284-2026 prioriterade fågelarter.docx", "A 5284-2026")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46266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46266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46266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35551-2025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45856</v>
      </c>
      <c r="E59" s="1" t="n">
        <v>46266</v>
      </c>
      <c r="F59" t="inlineStr">
        <is>
          <t>VÄSTERBOTTENS LÄN</t>
        </is>
      </c>
      <c r="G59" t="inlineStr">
        <is>
          <t>ROBERTSFORS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HYPERLINK("https://klasma.github.io/Logging_2409/artfynd/A 35551-2025 artfynd.xlsx", "A 35551-2025")</f>
        <v/>
      </c>
      <c r="X59">
        <f>HYPERLINK("https://klasma.github.io/Logging_2409/kartor/A 35551-2025 karta.png", "A 35551-2025")</f>
        <v/>
      </c>
      <c r="Y59">
        <f>HYPERLINK("https://klasma.github.io/Logging_2409/kartor_geotiff/A 35551-2025 georefererad karta.tif", "A 35551-2025")</f>
        <v/>
      </c>
      <c r="AA59">
        <f>HYPERLINK("https://klasma.github.io/Logging_2409/klagomål/A 35551-2025 FSC-klagomål.docx", "A 35551-2025")</f>
        <v/>
      </c>
      <c r="AB59">
        <f>HYPERLINK("https://klasma.github.io/Logging_2409/klagomålsmail/A 35551-2025 FSC-klagomål mail.docx", "A 35551-2025")</f>
        <v/>
      </c>
      <c r="AC59">
        <f>HYPERLINK("https://klasma.github.io/Logging_2409/tillsyn/A 35551-2025 tillsynsbegäran.docx", "A 35551-2025")</f>
        <v/>
      </c>
      <c r="AD59">
        <f>HYPERLINK("https://klasma.github.io/Logging_2409/tillsynsmail/A 35551-2025 tillsynsbegäran mail.docx", "A 35551-2025")</f>
        <v/>
      </c>
      <c r="AE59">
        <f>HYPERLINK("https://klasma.github.io/Logging_2409/fåglar/A 35551-2025 prioriterade fågelarter.docx", "A 35551-2025")</f>
        <v/>
      </c>
    </row>
    <row r="60" ht="15" customHeight="1">
      <c r="A60" t="inlineStr">
        <is>
          <t>A 42891-2023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46266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HYPERLINK("https://klasma.github.io/Logging_2409/artfynd/A 42891-2023 artfynd.xlsx", "A 42891-2023")</f>
        <v/>
      </c>
      <c r="X60">
        <f>HYPERLINK("https://klasma.github.io/Logging_2409/kartor/A 42891-2023 karta.png", "A 42891-2023")</f>
        <v/>
      </c>
      <c r="Y60">
        <f>HYPERLINK("https://klasma.github.io/Logging_2409/kartor_geotiff/A 42891-2023 georefererad karta.tif", "A 42891-2023")</f>
        <v/>
      </c>
      <c r="AA60">
        <f>HYPERLINK("https://klasma.github.io/Logging_2409/klagomål/A 42891-2023 FSC-klagomål.docx", "A 42891-2023")</f>
        <v/>
      </c>
      <c r="AB60">
        <f>HYPERLINK("https://klasma.github.io/Logging_2409/klagomålsmail/A 42891-2023 FSC-klagomål mail.docx", "A 42891-2023")</f>
        <v/>
      </c>
      <c r="AC60">
        <f>HYPERLINK("https://klasma.github.io/Logging_2409/tillsyn/A 42891-2023 tillsynsbegäran.docx", "A 42891-2023")</f>
        <v/>
      </c>
      <c r="AD60">
        <f>HYPERLINK("https://klasma.github.io/Logging_2409/tillsynsmail/A 42891-2023 tillsynsbegäran mail.docx", "A 42891-2023")</f>
        <v/>
      </c>
    </row>
    <row r="61" ht="15" customHeight="1">
      <c r="A61" t="inlineStr">
        <is>
          <t>A 10145-2025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46266</v>
      </c>
      <c r="F61" t="inlineStr">
        <is>
          <t>VÄSTERBOTTENS LÄN</t>
        </is>
      </c>
      <c r="G61" t="inlineStr">
        <is>
          <t>ROBERTSFORS</t>
        </is>
      </c>
      <c r="I61" t="n">
        <v>5.3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HYPERLINK("https://klasma.github.io/Logging_2409/artfynd/A 10145-2025 artfynd.xlsx", "A 10145-2025")</f>
        <v/>
      </c>
      <c r="X61">
        <f>HYPERLINK("https://klasma.github.io/Logging_2409/kartor/A 10145-2025 karta.png", "A 10145-2025")</f>
        <v/>
      </c>
      <c r="Y61">
        <f>HYPERLINK("https://klasma.github.io/Logging_2409/kartor_geotiff/A 10145-2025 georefererad karta.tif", "A 10145-2025")</f>
        <v/>
      </c>
      <c r="AA61">
        <f>HYPERLINK("https://klasma.github.io/Logging_2409/klagomål/A 10145-2025 FSC-klagomål.docx", "A 10145-2025")</f>
        <v/>
      </c>
      <c r="AB61">
        <f>HYPERLINK("https://klasma.github.io/Logging_2409/klagomålsmail/A 10145-2025 FSC-klagomål mail.docx", "A 10145-2025")</f>
        <v/>
      </c>
      <c r="AC61">
        <f>HYPERLINK("https://klasma.github.io/Logging_2409/tillsyn/A 10145-2025 tillsynsbegäran.docx", "A 10145-2025")</f>
        <v/>
      </c>
      <c r="AD61">
        <f>HYPERLINK("https://klasma.github.io/Logging_2409/tillsynsmail/A 10145-2025 tillsynsbegäran mail.docx", "A 10145-2025")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46266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46266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46266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41767-2023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45176</v>
      </c>
      <c r="E65" s="1" t="n">
        <v>46266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0.8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41767-2023 artfynd.xlsx", "A 41767-2023")</f>
        <v/>
      </c>
      <c r="X65">
        <f>HYPERLINK("https://klasma.github.io/Logging_2409/kartor/A 41767-2023 karta.png", "A 41767-2023")</f>
        <v/>
      </c>
      <c r="Y65">
        <f>HYPERLINK("https://klasma.github.io/Logging_2409/kartor_geotiff/A 41767-2023 georefererad karta.tif", "A 41767-2023")</f>
        <v/>
      </c>
      <c r="AA65">
        <f>HYPERLINK("https://klasma.github.io/Logging_2409/klagomål/A 41767-2023 FSC-klagomål.docx", "A 41767-2023")</f>
        <v/>
      </c>
      <c r="AB65">
        <f>HYPERLINK("https://klasma.github.io/Logging_2409/klagomålsmail/A 41767-2023 FSC-klagomål mail.docx", "A 41767-2023")</f>
        <v/>
      </c>
      <c r="AC65">
        <f>HYPERLINK("https://klasma.github.io/Logging_2409/tillsyn/A 41767-2023 tillsynsbegäran.docx", "A 41767-2023")</f>
        <v/>
      </c>
      <c r="AD65">
        <f>HYPERLINK("https://klasma.github.io/Logging_2409/tillsynsmail/A 41767-2023 tillsynsbegäran mail.docx", "A 41767-2023")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46266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t="n">
        <v>0</v>
      </c>
      <c r="V66" s="2" t="inlineStr">
        <is>
          <t>Garnlav</t>
        </is>
      </c>
      <c r="W66">
        <f>HYPERLINK("https://klasma.github.io/Logging_2409/artfynd/A 28224-2026 artfynd.xlsx", "A 28224-2026")</f>
        <v/>
      </c>
      <c r="X66">
        <f>HYPERLINK("https://klasma.github.io/Logging_2409/kartor/A 28224-2026 karta.png", "A 28224-2026")</f>
        <v/>
      </c>
      <c r="Y66">
        <f>HYPERLINK("https://klasma.github.io/Logging_2409/kartor_geotiff/A 28224-2026 georefererad karta.tif", "A 28224-2026")</f>
        <v/>
      </c>
      <c r="AA66">
        <f>HYPERLINK("https://klasma.github.io/Logging_2409/klagomål/A 28224-2026 FSC-klagomål.docx", "A 28224-2026")</f>
        <v/>
      </c>
      <c r="AB66">
        <f>HYPERLINK("https://klasma.github.io/Logging_2409/klagomålsmail/A 28224-2026 FSC-klagomål mail.docx", "A 28224-2026")</f>
        <v/>
      </c>
      <c r="AC66">
        <f>HYPERLINK("https://klasma.github.io/Logging_2409/tillsyn/A 28224-2026 tillsynsbegäran.docx", "A 28224-2026")</f>
        <v/>
      </c>
      <c r="AD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46266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46266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46266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46266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46266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46266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46266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46266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46266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46266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46266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46266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46266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46266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46266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46266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46266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46266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46266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46266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46266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46266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46266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46266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46266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46266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46266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46266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46266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46266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46266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46266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46266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46266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46266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46266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46266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46266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46266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46266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46266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46266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46266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46266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46266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46266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46266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46266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46266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46266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46266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46266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46266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46266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46266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46266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46266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46266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46266</v>
      </c>
      <c r="F126" t="inlineStr">
        <is>
          <t>VÄSTERBOTTENS LÄN</t>
        </is>
      </c>
      <c r="G126" t="inlineStr">
        <is>
          <t>ROBERTSFORS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46266</v>
      </c>
      <c r="F127" t="inlineStr">
        <is>
          <t>VÄSTERBOTTENS LÄN</t>
        </is>
      </c>
      <c r="G127" t="inlineStr">
        <is>
          <t>ROBERTSFORS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46266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46266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46266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46266</v>
      </c>
      <c r="F131" t="inlineStr">
        <is>
          <t>VÄSTERBOTTENS LÄN</t>
        </is>
      </c>
      <c r="G131" t="inlineStr">
        <is>
          <t>ROBERTSFORS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45687</v>
      </c>
      <c r="E132" s="1" t="n">
        <v>46266</v>
      </c>
      <c r="F132" t="inlineStr">
        <is>
          <t>VÄSTERBOTTENS LÄN</t>
        </is>
      </c>
      <c r="G132" t="inlineStr">
        <is>
          <t>ROBERTSFORS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36449-2024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46266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46266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46266</v>
      </c>
      <c r="F135" t="inlineStr">
        <is>
          <t>VÄSTERBOTTENS LÄN</t>
        </is>
      </c>
      <c r="G135" t="inlineStr">
        <is>
          <t>ROBERTSFORS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46266</v>
      </c>
      <c r="F136" t="inlineStr">
        <is>
          <t>VÄSTERBOTTENS LÄN</t>
        </is>
      </c>
      <c r="G136" t="inlineStr">
        <is>
          <t>ROBERTSFORS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46266</v>
      </c>
      <c r="F137" t="inlineStr">
        <is>
          <t>VÄSTERBOTTENS LÄN</t>
        </is>
      </c>
      <c r="G137" t="inlineStr">
        <is>
          <t>ROBERTSFORS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46266</v>
      </c>
      <c r="F138" t="inlineStr">
        <is>
          <t>VÄSTERBOTTENS LÄN</t>
        </is>
      </c>
      <c r="G138" t="inlineStr">
        <is>
          <t>ROBERTSFORS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45644</v>
      </c>
      <c r="E139" s="1" t="n">
        <v>46266</v>
      </c>
      <c r="F139" t="inlineStr">
        <is>
          <t>VÄSTERBOTTENS LÄN</t>
        </is>
      </c>
      <c r="G139" t="inlineStr">
        <is>
          <t>ROBERTSFORS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45048</v>
      </c>
      <c r="E140" s="1" t="n">
        <v>46266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45628</v>
      </c>
      <c r="E141" s="1" t="n">
        <v>46266</v>
      </c>
      <c r="F141" t="inlineStr">
        <is>
          <t>VÄSTERBOTTENS LÄN</t>
        </is>
      </c>
      <c r="G141" t="inlineStr">
        <is>
          <t>ROBERTSFORS</t>
        </is>
      </c>
      <c r="I141" t="n">
        <v>12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46266</v>
      </c>
      <c r="F142" t="inlineStr">
        <is>
          <t>VÄSTERBOTTENS LÄN</t>
        </is>
      </c>
      <c r="G142" t="inlineStr">
        <is>
          <t>ROBERTSFORS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46388-2023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45197</v>
      </c>
      <c r="E143" s="1" t="n">
        <v>46266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45622</v>
      </c>
      <c r="E144" s="1" t="n">
        <v>46266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46266</v>
      </c>
      <c r="F145" t="inlineStr">
        <is>
          <t>VÄSTERBOTTENS LÄN</t>
        </is>
      </c>
      <c r="G145" t="inlineStr">
        <is>
          <t>ROBERTSFORS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45253</v>
      </c>
      <c r="E146" s="1" t="n">
        <v>46266</v>
      </c>
      <c r="F146" t="inlineStr">
        <is>
          <t>VÄSTERBOTTENS LÄN</t>
        </is>
      </c>
      <c r="G146" t="inlineStr">
        <is>
          <t>ROBERTSFORS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15294-2023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45019</v>
      </c>
      <c r="E147" s="1" t="n">
        <v>46266</v>
      </c>
      <c r="F147" t="inlineStr">
        <is>
          <t>VÄSTERBOTTENS LÄN</t>
        </is>
      </c>
      <c r="G147" t="inlineStr">
        <is>
          <t>ROBERTSFORS</t>
        </is>
      </c>
      <c r="I147" t="n">
        <v>9.9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45580</v>
      </c>
      <c r="E148" s="1" t="n">
        <v>46266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45495</v>
      </c>
      <c r="E149" s="1" t="n">
        <v>46266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46266</v>
      </c>
      <c r="F150" t="inlineStr">
        <is>
          <t>VÄSTERBOTTENS LÄN</t>
        </is>
      </c>
      <c r="G150" t="inlineStr">
        <is>
          <t>ROBERTSFORS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54366-2024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45617</v>
      </c>
      <c r="E151" s="1" t="n">
        <v>46266</v>
      </c>
      <c r="F151" t="inlineStr">
        <is>
          <t>VÄSTERBOTTENS LÄN</t>
        </is>
      </c>
      <c r="G151" t="inlineStr">
        <is>
          <t>ROBERTSFORS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44372-2023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45188</v>
      </c>
      <c r="E152" s="1" t="n">
        <v>46266</v>
      </c>
      <c r="F152" t="inlineStr">
        <is>
          <t>VÄSTERBOTTENS LÄN</t>
        </is>
      </c>
      <c r="G152" t="inlineStr">
        <is>
          <t>ROBERTSFORS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46266</v>
      </c>
      <c r="F153" t="inlineStr">
        <is>
          <t>VÄSTERBOTTENS LÄN</t>
        </is>
      </c>
      <c r="G153" t="inlineStr">
        <is>
          <t>ROBERTSFORS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45184</v>
      </c>
      <c r="E154" s="1" t="n">
        <v>46266</v>
      </c>
      <c r="F154" t="inlineStr">
        <is>
          <t>VÄSTERBOTTENS LÄN</t>
        </is>
      </c>
      <c r="G154" t="inlineStr">
        <is>
          <t>ROBERTSFORS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46266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46266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46266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46266</v>
      </c>
      <c r="F158" t="inlineStr">
        <is>
          <t>VÄSTERBOTTENS LÄN</t>
        </is>
      </c>
      <c r="G158" t="inlineStr">
        <is>
          <t>ROBERTSFORS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46266</v>
      </c>
      <c r="F159" t="inlineStr">
        <is>
          <t>VÄSTERBOTTENS LÄN</t>
        </is>
      </c>
      <c r="G159" t="inlineStr">
        <is>
          <t>ROBERTSFORS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30722-2024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45496</v>
      </c>
      <c r="E160" s="1" t="n">
        <v>46266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39982-2025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45893</v>
      </c>
      <c r="E161" s="1" t="n">
        <v>46266</v>
      </c>
      <c r="F161" t="inlineStr">
        <is>
          <t>VÄSTERBOTTENS LÄN</t>
        </is>
      </c>
      <c r="G161" t="inlineStr">
        <is>
          <t>ROBERTSFORS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46266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46266</v>
      </c>
      <c r="F163" t="inlineStr">
        <is>
          <t>VÄSTERBOTTENS LÄN</t>
        </is>
      </c>
      <c r="G163" t="inlineStr">
        <is>
          <t>ROBERTSFORS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46266</v>
      </c>
      <c r="F164" t="inlineStr">
        <is>
          <t>VÄSTERBOTTENS LÄN</t>
        </is>
      </c>
      <c r="G164" t="inlineStr">
        <is>
          <t>ROBERTSFORS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23961-2025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45794</v>
      </c>
      <c r="E165" s="1" t="n">
        <v>46266</v>
      </c>
      <c r="F165" t="inlineStr">
        <is>
          <t>VÄSTERBOTTENS LÄN</t>
        </is>
      </c>
      <c r="G165" t="inlineStr">
        <is>
          <t>ROBERTSFORS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46266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46266</v>
      </c>
      <c r="F167" t="inlineStr">
        <is>
          <t>VÄSTERBOTTENS LÄN</t>
        </is>
      </c>
      <c r="G167" t="inlineStr">
        <is>
          <t>ROBERTSFORS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46266</v>
      </c>
      <c r="F168" t="inlineStr">
        <is>
          <t>VÄSTERBOTTENS LÄN</t>
        </is>
      </c>
      <c r="G168" t="inlineStr">
        <is>
          <t>ROBERTSFORS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45559</v>
      </c>
      <c r="E169" s="1" t="n">
        <v>46266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45559</v>
      </c>
      <c r="E170" s="1" t="n">
        <v>46266</v>
      </c>
      <c r="F170" t="inlineStr">
        <is>
          <t>VÄSTERBOTTENS LÄN</t>
        </is>
      </c>
      <c r="G170" t="inlineStr">
        <is>
          <t>ROBERTSFORS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46266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46266</v>
      </c>
      <c r="F172" t="inlineStr">
        <is>
          <t>VÄSTERBOTTENS LÄN</t>
        </is>
      </c>
      <c r="G172" t="inlineStr">
        <is>
          <t>ROBERTSFORS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46266</v>
      </c>
      <c r="F173" t="inlineStr">
        <is>
          <t>VÄSTERBOTTENS LÄN</t>
        </is>
      </c>
      <c r="G173" t="inlineStr">
        <is>
          <t>ROBERTSFORS</t>
        </is>
      </c>
      <c r="I173" t="n">
        <v>12.7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46266</v>
      </c>
      <c r="F174" t="inlineStr">
        <is>
          <t>VÄSTERBOTTENS LÄN</t>
        </is>
      </c>
      <c r="G174" t="inlineStr">
        <is>
          <t>ROBERTSFORS</t>
        </is>
      </c>
      <c r="I174" t="n">
        <v>6.4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37357-2024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45540</v>
      </c>
      <c r="E175" s="1" t="n">
        <v>46266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46266</v>
      </c>
      <c r="F176" t="inlineStr">
        <is>
          <t>VÄSTERBOTTENS LÄN</t>
        </is>
      </c>
      <c r="G176" t="inlineStr">
        <is>
          <t>ROBERTSFORS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46266</v>
      </c>
      <c r="F177" t="inlineStr">
        <is>
          <t>VÄSTERBOTTENS LÄN</t>
        </is>
      </c>
      <c r="G177" t="inlineStr">
        <is>
          <t>ROBERTSFORS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46266</v>
      </c>
      <c r="F178" t="inlineStr">
        <is>
          <t>VÄSTERBOTTENS LÄN</t>
        </is>
      </c>
      <c r="G178" t="inlineStr">
        <is>
          <t>ROBERTSFORS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44130-2025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45915</v>
      </c>
      <c r="E179" s="1" t="n">
        <v>46266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45687</v>
      </c>
      <c r="E180" s="1" t="n">
        <v>46266</v>
      </c>
      <c r="F180" t="inlineStr">
        <is>
          <t>VÄSTERBOTTENS LÄN</t>
        </is>
      </c>
      <c r="G180" t="inlineStr">
        <is>
          <t>ROBERTSFORS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46266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12.7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46266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46266</v>
      </c>
      <c r="F183" t="inlineStr">
        <is>
          <t>VÄSTERBOTTENS LÄN</t>
        </is>
      </c>
      <c r="G183" t="inlineStr">
        <is>
          <t>ROBERTSFORS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46266</v>
      </c>
      <c r="F184" t="inlineStr">
        <is>
          <t>VÄSTERBOTTENS LÄN</t>
        </is>
      </c>
      <c r="G184" t="inlineStr">
        <is>
          <t>ROBERTSFORS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45659</v>
      </c>
      <c r="E185" s="1" t="n">
        <v>46266</v>
      </c>
      <c r="F185" t="inlineStr">
        <is>
          <t>VÄSTERBOTTENS LÄN</t>
        </is>
      </c>
      <c r="G185" t="inlineStr">
        <is>
          <t>ROBERTSFORS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46266</v>
      </c>
      <c r="F186" t="inlineStr">
        <is>
          <t>VÄSTERBOTTENS LÄN</t>
        </is>
      </c>
      <c r="G186" t="inlineStr">
        <is>
          <t>ROBERTSFORS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46168-2025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45924</v>
      </c>
      <c r="E187" s="1" t="n">
        <v>46266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45461</v>
      </c>
      <c r="E188" s="1" t="n">
        <v>46266</v>
      </c>
      <c r="F188" t="inlineStr">
        <is>
          <t>VÄSTERBOTTENS LÄN</t>
        </is>
      </c>
      <c r="G188" t="inlineStr">
        <is>
          <t>ROBERTSFORS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46266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28330-2025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45818</v>
      </c>
      <c r="E190" s="1" t="n">
        <v>46266</v>
      </c>
      <c r="F190" t="inlineStr">
        <is>
          <t>VÄSTERBOTTENS LÄN</t>
        </is>
      </c>
      <c r="G190" t="inlineStr">
        <is>
          <t>ROBERTSFORS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46266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45468</v>
      </c>
      <c r="E192" s="1" t="n">
        <v>46266</v>
      </c>
      <c r="F192" t="inlineStr">
        <is>
          <t>VÄSTERBOTTENS LÄN</t>
        </is>
      </c>
      <c r="G192" t="inlineStr">
        <is>
          <t>ROBERTSFORS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46266</v>
      </c>
      <c r="F193" t="inlineStr">
        <is>
          <t>VÄSTERBOTTENS LÄN</t>
        </is>
      </c>
      <c r="G193" t="inlineStr">
        <is>
          <t>ROBERTSFORS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45715</v>
      </c>
      <c r="E194" s="1" t="n">
        <v>46266</v>
      </c>
      <c r="F194" t="inlineStr">
        <is>
          <t>VÄSTERBOTTENS LÄN</t>
        </is>
      </c>
      <c r="G194" t="inlineStr">
        <is>
          <t>ROBERTSFORS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45782</v>
      </c>
      <c r="E195" s="1" t="n">
        <v>46266</v>
      </c>
      <c r="F195" t="inlineStr">
        <is>
          <t>VÄSTERBOTTENS LÄN</t>
        </is>
      </c>
      <c r="G195" t="inlineStr">
        <is>
          <t>ROBERTSFORS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46266</v>
      </c>
      <c r="F196" t="inlineStr">
        <is>
          <t>VÄSTERBOTTENS LÄN</t>
        </is>
      </c>
      <c r="G196" t="inlineStr">
        <is>
          <t>ROBERTSFORS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45446</v>
      </c>
      <c r="E197" s="1" t="n">
        <v>46266</v>
      </c>
      <c r="F197" t="inlineStr">
        <is>
          <t>VÄSTERBOTTENS LÄN</t>
        </is>
      </c>
      <c r="G197" t="inlineStr">
        <is>
          <t>ROBERTSFORS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46266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46266</v>
      </c>
      <c r="F199" t="inlineStr">
        <is>
          <t>VÄSTERBOTTENS LÄN</t>
        </is>
      </c>
      <c r="G199" t="inlineStr">
        <is>
          <t>ROBERTSFORS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44960</v>
      </c>
      <c r="E200" s="1" t="n">
        <v>46266</v>
      </c>
      <c r="F200" t="inlineStr">
        <is>
          <t>VÄSTERBOTTENS LÄN</t>
        </is>
      </c>
      <c r="G200" t="inlineStr">
        <is>
          <t>ROBERTSFORS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46266</v>
      </c>
      <c r="F201" t="inlineStr">
        <is>
          <t>VÄSTERBOTTENS LÄN</t>
        </is>
      </c>
      <c r="G201" t="inlineStr">
        <is>
          <t>ROBERTSFORS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46266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44913</v>
      </c>
      <c r="E203" s="1" t="n">
        <v>46266</v>
      </c>
      <c r="F203" t="inlineStr">
        <is>
          <t>VÄSTERBOTTENS LÄN</t>
        </is>
      </c>
      <c r="G203" t="inlineStr">
        <is>
          <t>ROBERTSFORS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46266</v>
      </c>
      <c r="F204" t="inlineStr">
        <is>
          <t>VÄSTERBOTTENS LÄN</t>
        </is>
      </c>
      <c r="G204" t="inlineStr">
        <is>
          <t>ROBERTSFORS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46266</v>
      </c>
      <c r="F205" t="inlineStr">
        <is>
          <t>VÄSTERBOTTENS LÄN</t>
        </is>
      </c>
      <c r="G205" t="inlineStr">
        <is>
          <t>ROBERTSFORS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46266</v>
      </c>
      <c r="F206" t="inlineStr">
        <is>
          <t>VÄSTERBOTTENS LÄN</t>
        </is>
      </c>
      <c r="G206" t="inlineStr">
        <is>
          <t>ROBERTSFORS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46266</v>
      </c>
      <c r="F207" t="inlineStr">
        <is>
          <t>VÄSTERBOTTENS LÄN</t>
        </is>
      </c>
      <c r="G207" t="inlineStr">
        <is>
          <t>ROBERTSFORS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46266</v>
      </c>
      <c r="F208" t="inlineStr">
        <is>
          <t>VÄSTERBOTTENS LÄN</t>
        </is>
      </c>
      <c r="G208" t="inlineStr">
        <is>
          <t>ROBERTSFORS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46266</v>
      </c>
      <c r="F209" t="inlineStr">
        <is>
          <t>VÄSTERBOTTENS LÄN</t>
        </is>
      </c>
      <c r="G209" t="inlineStr">
        <is>
          <t>ROBERTSFORS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33368-2025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45841</v>
      </c>
      <c r="E210" s="1" t="n">
        <v>46266</v>
      </c>
      <c r="F210" t="inlineStr">
        <is>
          <t>VÄSTERBOTTENS LÄN</t>
        </is>
      </c>
      <c r="G210" t="inlineStr">
        <is>
          <t>ROBERTSFORS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33375-2025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45841</v>
      </c>
      <c r="E211" s="1" t="n">
        <v>46266</v>
      </c>
      <c r="F211" t="inlineStr">
        <is>
          <t>VÄSTERBOTTENS LÄN</t>
        </is>
      </c>
      <c r="G211" t="inlineStr">
        <is>
          <t>ROBERTSFORS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45251</v>
      </c>
      <c r="E212" s="1" t="n">
        <v>46266</v>
      </c>
      <c r="F212" t="inlineStr">
        <is>
          <t>VÄSTERBOTTENS LÄN</t>
        </is>
      </c>
      <c r="G212" t="inlineStr">
        <is>
          <t>ROBERTSFORS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46266</v>
      </c>
      <c r="F213" t="inlineStr">
        <is>
          <t>VÄSTERBOTTENS LÄN</t>
        </is>
      </c>
      <c r="G213" t="inlineStr">
        <is>
          <t>ROBERTSFORS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46266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45030</v>
      </c>
      <c r="E215" s="1" t="n">
        <v>46266</v>
      </c>
      <c r="F215" t="inlineStr">
        <is>
          <t>VÄSTERBOTTENS LÄN</t>
        </is>
      </c>
      <c r="G215" t="inlineStr">
        <is>
          <t>ROBERTSFORS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44860</v>
      </c>
      <c r="E216" s="1" t="n">
        <v>46266</v>
      </c>
      <c r="F216" t="inlineStr">
        <is>
          <t>VÄSTERBOTTENS LÄN</t>
        </is>
      </c>
      <c r="G216" t="inlineStr">
        <is>
          <t>ROBERTSFORS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45251</v>
      </c>
      <c r="E217" s="1" t="n">
        <v>46266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45856</v>
      </c>
      <c r="E218" s="1" t="n">
        <v>46266</v>
      </c>
      <c r="F218" t="inlineStr">
        <is>
          <t>VÄSTERBOTTENS LÄN</t>
        </is>
      </c>
      <c r="G218" t="inlineStr">
        <is>
          <t>ROBERTSFORS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45856</v>
      </c>
      <c r="E219" s="1" t="n">
        <v>46266</v>
      </c>
      <c r="F219" t="inlineStr">
        <is>
          <t>VÄSTERBOTTENS LÄN</t>
        </is>
      </c>
      <c r="G219" t="inlineStr">
        <is>
          <t>ROBERTSFORS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35562-2025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45856</v>
      </c>
      <c r="E220" s="1" t="n">
        <v>46266</v>
      </c>
      <c r="F220" t="inlineStr">
        <is>
          <t>VÄSTERBOTTENS LÄN</t>
        </is>
      </c>
      <c r="G220" t="inlineStr">
        <is>
          <t>ROBERTSFORS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46266</v>
      </c>
      <c r="F221" t="inlineStr">
        <is>
          <t>VÄSTERBOTTENS LÄN</t>
        </is>
      </c>
      <c r="G221" t="inlineStr">
        <is>
          <t>ROBERTSFORS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46266</v>
      </c>
      <c r="F222" t="inlineStr">
        <is>
          <t>VÄSTERBOTTENS LÄN</t>
        </is>
      </c>
      <c r="G222" t="inlineStr">
        <is>
          <t>ROBERTSFORS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16993-2023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45033</v>
      </c>
      <c r="E223" s="1" t="n">
        <v>46266</v>
      </c>
      <c r="F223" t="inlineStr">
        <is>
          <t>VÄSTERBOTTENS LÄN</t>
        </is>
      </c>
      <c r="G223" t="inlineStr">
        <is>
          <t>ROBERTSFORS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46266</v>
      </c>
      <c r="F224" t="inlineStr">
        <is>
          <t>VÄSTERBOTTENS LÄN</t>
        </is>
      </c>
      <c r="G224" t="inlineStr">
        <is>
          <t>ROBERTSFORS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46266</v>
      </c>
      <c r="F225" t="inlineStr">
        <is>
          <t>VÄSTERBOTTENS LÄN</t>
        </is>
      </c>
      <c r="G225" t="inlineStr">
        <is>
          <t>ROBERTSFORS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46266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SCA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46266</v>
      </c>
      <c r="F227" t="inlineStr">
        <is>
          <t>VÄSTERBOTTENS LÄN</t>
        </is>
      </c>
      <c r="G227" t="inlineStr">
        <is>
          <t>ROBERTSFORS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36594-2025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45870</v>
      </c>
      <c r="E228" s="1" t="n">
        <v>46266</v>
      </c>
      <c r="F228" t="inlineStr">
        <is>
          <t>VÄSTERBOTTENS LÄN</t>
        </is>
      </c>
      <c r="G228" t="inlineStr">
        <is>
          <t>ROBERTSFORS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46266</v>
      </c>
      <c r="F229" t="inlineStr">
        <is>
          <t>VÄSTERBOTTENS LÄN</t>
        </is>
      </c>
      <c r="G229" t="inlineStr">
        <is>
          <t>ROBERTSFORS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53218-2025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45958</v>
      </c>
      <c r="E230" s="1" t="n">
        <v>46266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53320-2025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45959</v>
      </c>
      <c r="E231" s="1" t="n">
        <v>46266</v>
      </c>
      <c r="F231" t="inlineStr">
        <is>
          <t>VÄSTERBOTTENS LÄN</t>
        </is>
      </c>
      <c r="G231" t="inlineStr">
        <is>
          <t>ROBERTSFORS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46266</v>
      </c>
      <c r="F232" t="inlineStr">
        <is>
          <t>VÄSTERBOTTENS LÄN</t>
        </is>
      </c>
      <c r="G232" t="inlineStr">
        <is>
          <t>ROBERTSFORS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46266</v>
      </c>
      <c r="F233" t="inlineStr">
        <is>
          <t>VÄSTERBOTTENS LÄN</t>
        </is>
      </c>
      <c r="G233" t="inlineStr">
        <is>
          <t>ROBERTSFORS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36818-2025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45873</v>
      </c>
      <c r="E234" s="1" t="n">
        <v>46266</v>
      </c>
      <c r="F234" t="inlineStr">
        <is>
          <t>VÄSTERBOTTENS LÄN</t>
        </is>
      </c>
      <c r="G234" t="inlineStr">
        <is>
          <t>ROBERTSFORS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46266</v>
      </c>
      <c r="F235" t="inlineStr">
        <is>
          <t>VÄSTERBOTTENS LÄN</t>
        </is>
      </c>
      <c r="G235" t="inlineStr">
        <is>
          <t>ROBERTSFORS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36139-2023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46266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46266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45458</v>
      </c>
      <c r="E238" s="1" t="n">
        <v>46266</v>
      </c>
      <c r="F238" t="inlineStr">
        <is>
          <t>VÄSTERBOTTENS LÄN</t>
        </is>
      </c>
      <c r="G238" t="inlineStr">
        <is>
          <t>ROBERTSFORS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48252-2023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45205</v>
      </c>
      <c r="E239" s="1" t="n">
        <v>46266</v>
      </c>
      <c r="F239" t="inlineStr">
        <is>
          <t>VÄSTERBOTTENS LÄN</t>
        </is>
      </c>
      <c r="G239" t="inlineStr">
        <is>
          <t>ROBERTSFORS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46266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45961</v>
      </c>
      <c r="E241" s="1" t="n">
        <v>46266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46266</v>
      </c>
      <c r="F242" t="inlineStr">
        <is>
          <t>VÄSTERBOTTENS LÄN</t>
        </is>
      </c>
      <c r="G242" t="inlineStr">
        <is>
          <t>ROBERTSFORS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46266</v>
      </c>
      <c r="F243" t="inlineStr">
        <is>
          <t>VÄSTERBOTTENS LÄN</t>
        </is>
      </c>
      <c r="G243" t="inlineStr">
        <is>
          <t>ROBERTSFORS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54395-2024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45617</v>
      </c>
      <c r="E244" s="1" t="n">
        <v>46266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46266</v>
      </c>
      <c r="F245" t="inlineStr">
        <is>
          <t>VÄSTERBOTTENS LÄN</t>
        </is>
      </c>
      <c r="G245" t="inlineStr">
        <is>
          <t>ROBERTSFORS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46266</v>
      </c>
      <c r="F246" t="inlineStr">
        <is>
          <t>VÄSTERBOTTENS LÄN</t>
        </is>
      </c>
      <c r="G246" t="inlineStr">
        <is>
          <t>ROBERTSFORS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46266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45966</v>
      </c>
      <c r="E248" s="1" t="n">
        <v>46266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46266</v>
      </c>
      <c r="F249" t="inlineStr">
        <is>
          <t>VÄSTERBOTTENS LÄN</t>
        </is>
      </c>
      <c r="G249" t="inlineStr">
        <is>
          <t>ROBERTSFORS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45458</v>
      </c>
      <c r="E250" s="1" t="n">
        <v>46266</v>
      </c>
      <c r="F250" t="inlineStr">
        <is>
          <t>VÄSTERBOTTENS LÄN</t>
        </is>
      </c>
      <c r="G250" t="inlineStr">
        <is>
          <t>ROBERTSFORS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45635</v>
      </c>
      <c r="E251" s="1" t="n">
        <v>46266</v>
      </c>
      <c r="F251" t="inlineStr">
        <is>
          <t>VÄSTERBOTTENS LÄN</t>
        </is>
      </c>
      <c r="G251" t="inlineStr">
        <is>
          <t>ROBERTSFORS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46266</v>
      </c>
      <c r="F252" t="inlineStr">
        <is>
          <t>VÄSTERBOTTENS LÄN</t>
        </is>
      </c>
      <c r="G252" t="inlineStr">
        <is>
          <t>ROBERTSFORS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46266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46266</v>
      </c>
      <c r="F254" t="inlineStr">
        <is>
          <t>VÄSTERBOTTENS LÄN</t>
        </is>
      </c>
      <c r="G254" t="inlineStr">
        <is>
          <t>ROBERTSFORS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45480</v>
      </c>
      <c r="E255" s="1" t="n">
        <v>46266</v>
      </c>
      <c r="F255" t="inlineStr">
        <is>
          <t>VÄSTERBOTTENS LÄN</t>
        </is>
      </c>
      <c r="G255" t="inlineStr">
        <is>
          <t>ROBERTSFORS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45661</v>
      </c>
      <c r="E256" s="1" t="n">
        <v>46266</v>
      </c>
      <c r="F256" t="inlineStr">
        <is>
          <t>VÄSTERBOTTENS LÄN</t>
        </is>
      </c>
      <c r="G256" t="inlineStr">
        <is>
          <t>ROBERTSFORS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45664</v>
      </c>
      <c r="E257" s="1" t="n">
        <v>46266</v>
      </c>
      <c r="F257" t="inlineStr">
        <is>
          <t>VÄSTERBOTTENS LÄN</t>
        </is>
      </c>
      <c r="G257" t="inlineStr">
        <is>
          <t>ROBERTSFORS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65772-2021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46266</v>
      </c>
      <c r="F258" t="inlineStr">
        <is>
          <t>VÄSTERBOTTENS LÄN</t>
        </is>
      </c>
      <c r="G258" t="inlineStr">
        <is>
          <t>ROBERTSFORS</t>
        </is>
      </c>
      <c r="I258" t="n">
        <v>18.2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46266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64625-2023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45281</v>
      </c>
      <c r="E260" s="1" t="n">
        <v>46266</v>
      </c>
      <c r="F260" t="inlineStr">
        <is>
          <t>VÄSTERBOTTENS LÄN</t>
        </is>
      </c>
      <c r="G260" t="inlineStr">
        <is>
          <t>ROBERTSFORS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46266</v>
      </c>
      <c r="F261" t="inlineStr">
        <is>
          <t>VÄSTERBOTTENS LÄN</t>
        </is>
      </c>
      <c r="G261" t="inlineStr">
        <is>
          <t>ROBERTSFORS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46266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46266</v>
      </c>
      <c r="F263" t="inlineStr">
        <is>
          <t>VÄSTERBOTTENS LÄN</t>
        </is>
      </c>
      <c r="G263" t="inlineStr">
        <is>
          <t>ROBERTSFORS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46266</v>
      </c>
      <c r="F264" t="inlineStr">
        <is>
          <t>VÄSTERBOTTENS LÄN</t>
        </is>
      </c>
      <c r="G264" t="inlineStr">
        <is>
          <t>ROBERTSFORS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32581-2022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44783</v>
      </c>
      <c r="E265" s="1" t="n">
        <v>46266</v>
      </c>
      <c r="F265" t="inlineStr">
        <is>
          <t>VÄSTERBOTTENS LÄN</t>
        </is>
      </c>
      <c r="G265" t="inlineStr">
        <is>
          <t>ROBERTSFORS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44026-2022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44838</v>
      </c>
      <c r="E266" s="1" t="n">
        <v>46266</v>
      </c>
      <c r="F266" t="inlineStr">
        <is>
          <t>VÄSTERBOTTENS LÄN</t>
        </is>
      </c>
      <c r="G266" t="inlineStr">
        <is>
          <t>ROBERTSFORS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46266</v>
      </c>
      <c r="F267" t="inlineStr">
        <is>
          <t>VÄSTERBOTTENS LÄN</t>
        </is>
      </c>
      <c r="G267" t="inlineStr">
        <is>
          <t>ROBERTSFORS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45653</v>
      </c>
      <c r="E268" s="1" t="n">
        <v>46266</v>
      </c>
      <c r="F268" t="inlineStr">
        <is>
          <t>VÄSTERBOTTENS LÄN</t>
        </is>
      </c>
      <c r="G268" t="inlineStr">
        <is>
          <t>ROBERTSFORS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44938</v>
      </c>
      <c r="E269" s="1" t="n">
        <v>46266</v>
      </c>
      <c r="F269" t="inlineStr">
        <is>
          <t>VÄSTERBOTTENS LÄN</t>
        </is>
      </c>
      <c r="G269" t="inlineStr">
        <is>
          <t>ROBERTSFORS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44945</v>
      </c>
      <c r="E270" s="1" t="n">
        <v>46266</v>
      </c>
      <c r="F270" t="inlineStr">
        <is>
          <t>VÄSTERBOTTENS LÄN</t>
        </is>
      </c>
      <c r="G270" t="inlineStr">
        <is>
          <t>ROBERTSFORS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45987</v>
      </c>
      <c r="E271" s="1" t="n">
        <v>46266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57979-2021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44487</v>
      </c>
      <c r="E272" s="1" t="n">
        <v>46266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45544</v>
      </c>
      <c r="E273" s="1" t="n">
        <v>46266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SCA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46266</v>
      </c>
      <c r="F274" t="inlineStr">
        <is>
          <t>VÄSTERBOTTENS LÄN</t>
        </is>
      </c>
      <c r="G274" t="inlineStr">
        <is>
          <t>ROBERTSFORS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46266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5902-2024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45335</v>
      </c>
      <c r="E276" s="1" t="n">
        <v>46266</v>
      </c>
      <c r="F276" t="inlineStr">
        <is>
          <t>VÄSTERBOTTENS LÄN</t>
        </is>
      </c>
      <c r="G276" t="inlineStr">
        <is>
          <t>ROBERTSFORS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45996</v>
      </c>
      <c r="E277" s="1" t="n">
        <v>46266</v>
      </c>
      <c r="F277" t="inlineStr">
        <is>
          <t>VÄSTERBOTTENS LÄN</t>
        </is>
      </c>
      <c r="G277" t="inlineStr">
        <is>
          <t>ROBERTSFORS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46266</v>
      </c>
      <c r="F278" t="inlineStr">
        <is>
          <t>VÄSTERBOTTENS LÄN</t>
        </is>
      </c>
      <c r="G278" t="inlineStr">
        <is>
          <t>ROBERTSFORS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46266</v>
      </c>
      <c r="F279" t="inlineStr">
        <is>
          <t>VÄSTERBOTTENS LÄN</t>
        </is>
      </c>
      <c r="G279" t="inlineStr">
        <is>
          <t>ROBERTSFORS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46266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45405</v>
      </c>
      <c r="E281" s="1" t="n">
        <v>46266</v>
      </c>
      <c r="F281" t="inlineStr">
        <is>
          <t>VÄSTERBOTTENS LÄN</t>
        </is>
      </c>
      <c r="G281" t="inlineStr">
        <is>
          <t>ROBERTSFORS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46266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46266</v>
      </c>
      <c r="F283" t="inlineStr">
        <is>
          <t>VÄSTERBOTTENS LÄN</t>
        </is>
      </c>
      <c r="G283" t="inlineStr">
        <is>
          <t>ROBERTSFORS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44580</v>
      </c>
      <c r="E284" s="1" t="n">
        <v>46266</v>
      </c>
      <c r="F284" t="inlineStr">
        <is>
          <t>VÄSTERBOTTENS LÄN</t>
        </is>
      </c>
      <c r="G284" t="inlineStr">
        <is>
          <t>ROBERTSFORS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45020</v>
      </c>
      <c r="E285" s="1" t="n">
        <v>46266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62187-2021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44502</v>
      </c>
      <c r="E286" s="1" t="n">
        <v>46266</v>
      </c>
      <c r="F286" t="inlineStr">
        <is>
          <t>VÄSTERBOTTENS LÄN</t>
        </is>
      </c>
      <c r="G286" t="inlineStr">
        <is>
          <t>ROBERTSFORS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58526-2023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46266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13.9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46037</v>
      </c>
      <c r="E288" s="1" t="n">
        <v>46266</v>
      </c>
      <c r="F288" t="inlineStr">
        <is>
          <t>VÄSTERBOTTENS LÄN</t>
        </is>
      </c>
      <c r="G288" t="inlineStr">
        <is>
          <t>ROBERTSFORS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45510</v>
      </c>
      <c r="E289" s="1" t="n">
        <v>46266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46266</v>
      </c>
      <c r="F290" t="inlineStr">
        <is>
          <t>VÄSTERBOTTENS LÄN</t>
        </is>
      </c>
      <c r="G290" t="inlineStr">
        <is>
          <t>ROBERTSFORS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46266</v>
      </c>
      <c r="F291" t="inlineStr">
        <is>
          <t>VÄSTERBOTTENS LÄN</t>
        </is>
      </c>
      <c r="G291" t="inlineStr">
        <is>
          <t>ROBERTSFORS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46266</v>
      </c>
      <c r="F292" t="inlineStr">
        <is>
          <t>VÄSTERBOTTENS LÄN</t>
        </is>
      </c>
      <c r="G292" t="inlineStr">
        <is>
          <t>ROBERTSFORS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46266</v>
      </c>
      <c r="F293" t="inlineStr">
        <is>
          <t>VÄSTERBOTTENS LÄN</t>
        </is>
      </c>
      <c r="G293" t="inlineStr">
        <is>
          <t>ROBERTSFORS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46266</v>
      </c>
      <c r="F294" t="inlineStr">
        <is>
          <t>VÄSTERBOTTENS LÄN</t>
        </is>
      </c>
      <c r="G294" t="inlineStr">
        <is>
          <t>ROBERTSFORS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9135-2024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45357</v>
      </c>
      <c r="E295" s="1" t="n">
        <v>46266</v>
      </c>
      <c r="F295" t="inlineStr">
        <is>
          <t>VÄSTERBOTTENS LÄN</t>
        </is>
      </c>
      <c r="G295" t="inlineStr">
        <is>
          <t>ROBERTSFORS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45712</v>
      </c>
      <c r="E296" s="1" t="n">
        <v>46266</v>
      </c>
      <c r="F296" t="inlineStr">
        <is>
          <t>VÄSTERBOTTENS LÄN</t>
        </is>
      </c>
      <c r="G296" t="inlineStr">
        <is>
          <t>ROBERTSFORS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45628</v>
      </c>
      <c r="E297" s="1" t="n">
        <v>46266</v>
      </c>
      <c r="F297" t="inlineStr">
        <is>
          <t>VÄSTERBOTTENS LÄN</t>
        </is>
      </c>
      <c r="G297" t="inlineStr">
        <is>
          <t>ROBERTSFORS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46266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46266</v>
      </c>
      <c r="F299" t="inlineStr">
        <is>
          <t>VÄSTERBOTTENS LÄN</t>
        </is>
      </c>
      <c r="G299" t="inlineStr">
        <is>
          <t>ROBERTSFORS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45013</v>
      </c>
      <c r="E300" s="1" t="n">
        <v>46266</v>
      </c>
      <c r="F300" t="inlineStr">
        <is>
          <t>VÄSTERBOTTENS LÄN</t>
        </is>
      </c>
      <c r="G300" t="inlineStr">
        <is>
          <t>ROBERTSFORS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46266</v>
      </c>
      <c r="F301" t="inlineStr">
        <is>
          <t>VÄSTERBOTTENS LÄN</t>
        </is>
      </c>
      <c r="G301" t="inlineStr">
        <is>
          <t>ROBERTSFORS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46266</v>
      </c>
      <c r="F302" t="inlineStr">
        <is>
          <t>VÄSTERBOTTENS LÄN</t>
        </is>
      </c>
      <c r="G302" t="inlineStr">
        <is>
          <t>ROBERTSFORS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46266</v>
      </c>
      <c r="F303" t="inlineStr">
        <is>
          <t>VÄSTERBOTTENS LÄN</t>
        </is>
      </c>
      <c r="G303" t="inlineStr">
        <is>
          <t>ROBERTSFORS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46050</v>
      </c>
      <c r="E304" s="1" t="n">
        <v>46266</v>
      </c>
      <c r="F304" t="inlineStr">
        <is>
          <t>VÄSTERBOTTENS LÄN</t>
        </is>
      </c>
      <c r="G304" t="inlineStr">
        <is>
          <t>ROBERTSFORS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45042</v>
      </c>
      <c r="E305" s="1" t="n">
        <v>46266</v>
      </c>
      <c r="F305" t="inlineStr">
        <is>
          <t>VÄSTERBOTTENS LÄN</t>
        </is>
      </c>
      <c r="G305" t="inlineStr">
        <is>
          <t>ROBERTSFORS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45679</v>
      </c>
      <c r="E306" s="1" t="n">
        <v>46266</v>
      </c>
      <c r="F306" t="inlineStr">
        <is>
          <t>VÄSTERBOTTENS LÄN</t>
        </is>
      </c>
      <c r="G306" t="inlineStr">
        <is>
          <t>ROBERTSFORS</t>
        </is>
      </c>
      <c r="I306" t="n">
        <v>6.9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53271-2021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46266</v>
      </c>
      <c r="F307" t="inlineStr">
        <is>
          <t>VÄSTERBOTTENS LÄN</t>
        </is>
      </c>
      <c r="G307" t="inlineStr">
        <is>
          <t>ROBERTSFORS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45141</v>
      </c>
      <c r="E308" s="1" t="n">
        <v>46266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45664</v>
      </c>
      <c r="E309" s="1" t="n">
        <v>46266</v>
      </c>
      <c r="F309" t="inlineStr">
        <is>
          <t>VÄSTERBOTTENS LÄN</t>
        </is>
      </c>
      <c r="G309" t="inlineStr">
        <is>
          <t>ROBERTSFORS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46266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46266</v>
      </c>
      <c r="F311" t="inlineStr">
        <is>
          <t>VÄSTERBOTTENS LÄN</t>
        </is>
      </c>
      <c r="G311" t="inlineStr">
        <is>
          <t>ROBERTSFORS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46266</v>
      </c>
      <c r="F312" t="inlineStr">
        <is>
          <t>VÄSTERBOTTENS LÄN</t>
        </is>
      </c>
      <c r="G312" t="inlineStr">
        <is>
          <t>ROBERTSFORS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46266</v>
      </c>
      <c r="F313" t="inlineStr">
        <is>
          <t>VÄSTERBOTTENS LÄN</t>
        </is>
      </c>
      <c r="G313" t="inlineStr">
        <is>
          <t>ROBERTSFORS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46266</v>
      </c>
      <c r="F314" t="inlineStr">
        <is>
          <t>VÄSTERBOTTENS LÄN</t>
        </is>
      </c>
      <c r="G314" t="inlineStr">
        <is>
          <t>ROBERTSFORS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44936</v>
      </c>
      <c r="E315" s="1" t="n">
        <v>46266</v>
      </c>
      <c r="F315" t="inlineStr">
        <is>
          <t>VÄSTERBOTTENS LÄN</t>
        </is>
      </c>
      <c r="G315" t="inlineStr">
        <is>
          <t>ROBERTSFORS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26038-2022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44734</v>
      </c>
      <c r="E316" s="1" t="n">
        <v>46266</v>
      </c>
      <c r="F316" t="inlineStr">
        <is>
          <t>VÄSTERBOTTENS LÄN</t>
        </is>
      </c>
      <c r="G316" t="inlineStr">
        <is>
          <t>ROBERTSFORS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46266</v>
      </c>
      <c r="F317" t="inlineStr">
        <is>
          <t>VÄSTERBOTTENS LÄN</t>
        </is>
      </c>
      <c r="G317" t="inlineStr">
        <is>
          <t>ROBERTSFORS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45205</v>
      </c>
      <c r="E318" s="1" t="n">
        <v>46266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45076</v>
      </c>
      <c r="E319" s="1" t="n">
        <v>46266</v>
      </c>
      <c r="F319" t="inlineStr">
        <is>
          <t>VÄSTERBOTTENS LÄN</t>
        </is>
      </c>
      <c r="G319" t="inlineStr">
        <is>
          <t>ROBERTSFORS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45020</v>
      </c>
      <c r="E320" s="1" t="n">
        <v>46266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Sveaskog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46266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44475</v>
      </c>
      <c r="E322" s="1" t="n">
        <v>46266</v>
      </c>
      <c r="F322" t="inlineStr">
        <is>
          <t>VÄSTERBOTTENS LÄN</t>
        </is>
      </c>
      <c r="G322" t="inlineStr">
        <is>
          <t>ROBERTSFORS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46266</v>
      </c>
      <c r="F323" t="inlineStr">
        <is>
          <t>VÄSTERBOTTENS LÄN</t>
        </is>
      </c>
      <c r="G323" t="inlineStr">
        <is>
          <t>ROBERTSFORS</t>
        </is>
      </c>
      <c r="I323" t="n">
        <v>10.8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46266</v>
      </c>
      <c r="F324" t="inlineStr">
        <is>
          <t>VÄSTERBOTTENS LÄN</t>
        </is>
      </c>
      <c r="G324" t="inlineStr">
        <is>
          <t>ROBERTSFORS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46266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45002</v>
      </c>
      <c r="E326" s="1" t="n">
        <v>46266</v>
      </c>
      <c r="F326" t="inlineStr">
        <is>
          <t>VÄSTERBOTTENS LÄN</t>
        </is>
      </c>
      <c r="G326" t="inlineStr">
        <is>
          <t>ROBERTSFORS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45129</v>
      </c>
      <c r="E327" s="1" t="n">
        <v>46266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43027-2023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45182</v>
      </c>
      <c r="E328" s="1" t="n">
        <v>46266</v>
      </c>
      <c r="F328" t="inlineStr">
        <is>
          <t>VÄSTERBOTTENS LÄN</t>
        </is>
      </c>
      <c r="G328" t="inlineStr">
        <is>
          <t>ROBERTSFORS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26788-2023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45090</v>
      </c>
      <c r="E329" s="1" t="n">
        <v>46266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46266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46266</v>
      </c>
      <c r="F331" t="inlineStr">
        <is>
          <t>VÄSTERBOTTENS LÄN</t>
        </is>
      </c>
      <c r="G331" t="inlineStr">
        <is>
          <t>ROBERTSFORS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46099</v>
      </c>
      <c r="E332" s="1" t="n">
        <v>46266</v>
      </c>
      <c r="F332" t="inlineStr">
        <is>
          <t>VÄSTERBOTTENS LÄN</t>
        </is>
      </c>
      <c r="G332" t="inlineStr">
        <is>
          <t>ROBERTSFORS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46266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SCA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46266</v>
      </c>
      <c r="F334" t="inlineStr">
        <is>
          <t>VÄSTERBOTTENS LÄN</t>
        </is>
      </c>
      <c r="G334" t="inlineStr">
        <is>
          <t>ROBERTSFORS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46266</v>
      </c>
      <c r="F335" t="inlineStr">
        <is>
          <t>VÄSTERBOTTENS LÄN</t>
        </is>
      </c>
      <c r="G335" t="inlineStr">
        <is>
          <t>ROBERTSFORS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53564-2024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46266</v>
      </c>
      <c r="F336" t="inlineStr">
        <is>
          <t>VÄSTERBOTTENS LÄN</t>
        </is>
      </c>
      <c r="G336" t="inlineStr">
        <is>
          <t>ROBERTSFORS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46266</v>
      </c>
      <c r="F337" t="inlineStr">
        <is>
          <t>VÄSTERBOTTENS LÄN</t>
        </is>
      </c>
      <c r="G337" t="inlineStr">
        <is>
          <t>ROBERTSFORS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45475</v>
      </c>
      <c r="E338" s="1" t="n">
        <v>46266</v>
      </c>
      <c r="F338" t="inlineStr">
        <is>
          <t>VÄSTERBOTTENS LÄN</t>
        </is>
      </c>
      <c r="G338" t="inlineStr">
        <is>
          <t>ROBERTSFORS</t>
        </is>
      </c>
      <c r="I338" t="n">
        <v>10.5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45160</v>
      </c>
      <c r="E339" s="1" t="n">
        <v>46266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46266</v>
      </c>
      <c r="F340" t="inlineStr">
        <is>
          <t>VÄSTERBOTTENS LÄN</t>
        </is>
      </c>
      <c r="G340" t="inlineStr">
        <is>
          <t>ROBERTSFORS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45635</v>
      </c>
      <c r="E341" s="1" t="n">
        <v>46266</v>
      </c>
      <c r="F341" t="inlineStr">
        <is>
          <t>VÄSTERBOTTENS LÄN</t>
        </is>
      </c>
      <c r="G341" t="inlineStr">
        <is>
          <t>ROBERTSFORS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24467-2024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45458</v>
      </c>
      <c r="E342" s="1" t="n">
        <v>46266</v>
      </c>
      <c r="F342" t="inlineStr">
        <is>
          <t>VÄSTERBOTTENS LÄN</t>
        </is>
      </c>
      <c r="G342" t="inlineStr">
        <is>
          <t>ROBERTSFORS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46266</v>
      </c>
      <c r="F343" t="inlineStr">
        <is>
          <t>VÄSTERBOTTENS LÄN</t>
        </is>
      </c>
      <c r="G343" t="inlineStr">
        <is>
          <t>ROBERTSFORS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46112</v>
      </c>
      <c r="E344" s="1" t="n">
        <v>46266</v>
      </c>
      <c r="F344" t="inlineStr">
        <is>
          <t>VÄSTERBOTTENS LÄN</t>
        </is>
      </c>
      <c r="G344" t="inlineStr">
        <is>
          <t>ROBERTSFORS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33821-2023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45133</v>
      </c>
      <c r="E345" s="1" t="n">
        <v>46266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45756</v>
      </c>
      <c r="E346" s="1" t="n">
        <v>46266</v>
      </c>
      <c r="F346" t="inlineStr">
        <is>
          <t>VÄSTERBOTTENS LÄN</t>
        </is>
      </c>
      <c r="G346" t="inlineStr">
        <is>
          <t>ROBERTSFORS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46266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46122</v>
      </c>
      <c r="E348" s="1" t="n">
        <v>46266</v>
      </c>
      <c r="F348" t="inlineStr">
        <is>
          <t>VÄSTERBOTTENS LÄN</t>
        </is>
      </c>
      <c r="G348" t="inlineStr">
        <is>
          <t>ROBERTSFORS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46266</v>
      </c>
      <c r="F349" t="inlineStr">
        <is>
          <t>VÄSTERBOTTENS LÄN</t>
        </is>
      </c>
      <c r="G349" t="inlineStr">
        <is>
          <t>ROBERTSFORS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46266</v>
      </c>
      <c r="F350" t="inlineStr">
        <is>
          <t>VÄSTERBOTTENS LÄN</t>
        </is>
      </c>
      <c r="G350" t="inlineStr">
        <is>
          <t>ROBERTSFORS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46266</v>
      </c>
      <c r="F351" t="inlineStr">
        <is>
          <t>VÄSTERBOTTENS LÄN</t>
        </is>
      </c>
      <c r="G351" t="inlineStr">
        <is>
          <t>ROBERTSFORS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46266</v>
      </c>
      <c r="F352" t="inlineStr">
        <is>
          <t>VÄSTERBOTTENS LÄN</t>
        </is>
      </c>
      <c r="G352" t="inlineStr">
        <is>
          <t>ROBERTSFORS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46126</v>
      </c>
      <c r="E353" s="1" t="n">
        <v>46266</v>
      </c>
      <c r="F353" t="inlineStr">
        <is>
          <t>VÄSTERBOTTENS LÄN</t>
        </is>
      </c>
      <c r="G353" t="inlineStr">
        <is>
          <t>ROBERTSFORS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45307</v>
      </c>
      <c r="E354" s="1" t="n">
        <v>46266</v>
      </c>
      <c r="F354" t="inlineStr">
        <is>
          <t>VÄSTERBOTTENS LÄN</t>
        </is>
      </c>
      <c r="G354" t="inlineStr">
        <is>
          <t>ROBERTSFORS</t>
        </is>
      </c>
      <c r="I354" t="n">
        <v>12.1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18294-2026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46126</v>
      </c>
      <c r="E355" s="1" t="n">
        <v>46266</v>
      </c>
      <c r="F355" t="inlineStr">
        <is>
          <t>VÄSTERBOTTENS LÄN</t>
        </is>
      </c>
      <c r="G355" t="inlineStr">
        <is>
          <t>ROBERTSFORS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51966-2024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45607</v>
      </c>
      <c r="E356" s="1" t="n">
        <v>46266</v>
      </c>
      <c r="F356" t="inlineStr">
        <is>
          <t>VÄSTERBOTTENS LÄN</t>
        </is>
      </c>
      <c r="G356" t="inlineStr">
        <is>
          <t>ROBERTSFORS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26894-2024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45470</v>
      </c>
      <c r="E357" s="1" t="n">
        <v>46266</v>
      </c>
      <c r="F357" t="inlineStr">
        <is>
          <t>VÄSTERBOTTENS LÄN</t>
        </is>
      </c>
      <c r="G357" t="inlineStr">
        <is>
          <t>ROBERTSFORS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46266</v>
      </c>
      <c r="F358" t="inlineStr">
        <is>
          <t>VÄSTERBOTTENS LÄN</t>
        </is>
      </c>
      <c r="G358" t="inlineStr">
        <is>
          <t>ROBERTSFORS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45712</v>
      </c>
      <c r="E359" s="1" t="n">
        <v>46266</v>
      </c>
      <c r="F359" t="inlineStr">
        <is>
          <t>VÄSTERBOTTENS LÄN</t>
        </is>
      </c>
      <c r="G359" t="inlineStr">
        <is>
          <t>ROBERTSFORS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46266</v>
      </c>
      <c r="F360" t="inlineStr">
        <is>
          <t>VÄSTERBOTTENS LÄN</t>
        </is>
      </c>
      <c r="G360" t="inlineStr">
        <is>
          <t>ROBERTSFORS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46266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46132</v>
      </c>
      <c r="E362" s="1" t="n">
        <v>46266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46266</v>
      </c>
      <c r="F363" t="inlineStr">
        <is>
          <t>VÄSTERBOTTENS LÄN</t>
        </is>
      </c>
      <c r="G363" t="inlineStr">
        <is>
          <t>ROBERTSFORS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46266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46266</v>
      </c>
      <c r="F365" t="inlineStr">
        <is>
          <t>VÄSTERBOTTENS LÄN</t>
        </is>
      </c>
      <c r="G365" t="inlineStr">
        <is>
          <t>ROBERTSFORS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54344-2024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45617</v>
      </c>
      <c r="E366" s="1" t="n">
        <v>46266</v>
      </c>
      <c r="F366" t="inlineStr">
        <is>
          <t>VÄSTERBOTTENS LÄN</t>
        </is>
      </c>
      <c r="G366" t="inlineStr">
        <is>
          <t>ROBERTSFORS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38270-2023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45160</v>
      </c>
      <c r="E367" s="1" t="n">
        <v>46266</v>
      </c>
      <c r="F367" t="inlineStr">
        <is>
          <t>VÄSTERBOTTENS LÄN</t>
        </is>
      </c>
      <c r="G367" t="inlineStr">
        <is>
          <t>ROBERTSFORS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46266</v>
      </c>
      <c r="F368" t="inlineStr">
        <is>
          <t>VÄSTERBOTTENS LÄN</t>
        </is>
      </c>
      <c r="G368" t="inlineStr">
        <is>
          <t>ROBERTSFORS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46266</v>
      </c>
      <c r="F369" t="inlineStr">
        <is>
          <t>VÄSTERBOTTENS LÄN</t>
        </is>
      </c>
      <c r="G369" t="inlineStr">
        <is>
          <t>ROBERTSFORS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46266</v>
      </c>
      <c r="F370" t="inlineStr">
        <is>
          <t>VÄSTERBOTTENS LÄN</t>
        </is>
      </c>
      <c r="G370" t="inlineStr">
        <is>
          <t>ROBERTSFORS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46266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41850-2023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46266</v>
      </c>
      <c r="F372" t="inlineStr">
        <is>
          <t>VÄSTERBOTTENS LÄN</t>
        </is>
      </c>
      <c r="G372" t="inlineStr">
        <is>
          <t>ROBERTSFORS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10330-2024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45365</v>
      </c>
      <c r="E373" s="1" t="n">
        <v>46266</v>
      </c>
      <c r="F373" t="inlineStr">
        <is>
          <t>VÄSTERBOTTENS LÄN</t>
        </is>
      </c>
      <c r="G373" t="inlineStr">
        <is>
          <t>ROBERTSFORS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46266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46266</v>
      </c>
      <c r="F375" t="inlineStr">
        <is>
          <t>VÄSTERBOTTENS LÄN</t>
        </is>
      </c>
      <c r="G375" t="inlineStr">
        <is>
          <t>ROBERTSFORS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45568</v>
      </c>
      <c r="E376" s="1" t="n">
        <v>46266</v>
      </c>
      <c r="F376" t="inlineStr">
        <is>
          <t>VÄSTERBOTTENS LÄN</t>
        </is>
      </c>
      <c r="G376" t="inlineStr">
        <is>
          <t>ROBERTSFORS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46266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52832-2024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46266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SCA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44580</v>
      </c>
      <c r="E379" s="1" t="n">
        <v>46266</v>
      </c>
      <c r="F379" t="inlineStr">
        <is>
          <t>VÄSTERBOTTENS LÄN</t>
        </is>
      </c>
      <c r="G379" t="inlineStr">
        <is>
          <t>ROBERTSFORS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34771-2024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45526</v>
      </c>
      <c r="E380" s="1" t="n">
        <v>46266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45432</v>
      </c>
      <c r="E381" s="1" t="n">
        <v>46266</v>
      </c>
      <c r="F381" t="inlineStr">
        <is>
          <t>VÄSTERBOTTENS LÄN</t>
        </is>
      </c>
      <c r="G381" t="inlineStr">
        <is>
          <t>ROBERTSFORS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46266</v>
      </c>
      <c r="F382" t="inlineStr">
        <is>
          <t>VÄSTERBOTTENS LÄN</t>
        </is>
      </c>
      <c r="G382" t="inlineStr">
        <is>
          <t>ROBERTSFORS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59032-2024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45636</v>
      </c>
      <c r="E383" s="1" t="n">
        <v>46266</v>
      </c>
      <c r="F383" t="inlineStr">
        <is>
          <t>VÄSTERBOTTENS LÄN</t>
        </is>
      </c>
      <c r="G383" t="inlineStr">
        <is>
          <t>ROBERTSFORS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45644</v>
      </c>
      <c r="E384" s="1" t="n">
        <v>46266</v>
      </c>
      <c r="F384" t="inlineStr">
        <is>
          <t>VÄSTERBOTTENS LÄN</t>
        </is>
      </c>
      <c r="G384" t="inlineStr">
        <is>
          <t>ROBERTSFORS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46266</v>
      </c>
      <c r="F385" t="inlineStr">
        <is>
          <t>VÄSTERBOTTENS LÄN</t>
        </is>
      </c>
      <c r="G385" t="inlineStr">
        <is>
          <t>ROBERTSFORS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50448-2024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45601</v>
      </c>
      <c r="E386" s="1" t="n">
        <v>46266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20363-2026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46266</v>
      </c>
      <c r="F387" t="inlineStr">
        <is>
          <t>VÄSTERBOTTENS LÄN</t>
        </is>
      </c>
      <c r="G387" t="inlineStr">
        <is>
          <t>ROBERTSFORS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46266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44876</v>
      </c>
      <c r="E389" s="1" t="n">
        <v>46266</v>
      </c>
      <c r="F389" t="inlineStr">
        <is>
          <t>VÄSTERBOTTENS LÄN</t>
        </is>
      </c>
      <c r="G389" t="inlineStr">
        <is>
          <t>ROBERTSFORS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46969-2025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46266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46266</v>
      </c>
      <c r="F391" t="inlineStr">
        <is>
          <t>VÄSTERBOTTENS LÄN</t>
        </is>
      </c>
      <c r="G391" t="inlineStr">
        <is>
          <t>ROBERTSFORS</t>
        </is>
      </c>
      <c r="I391" t="n">
        <v>24.4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46266</v>
      </c>
      <c r="F392" t="inlineStr">
        <is>
          <t>VÄSTERBOTTENS LÄN</t>
        </is>
      </c>
      <c r="G392" t="inlineStr">
        <is>
          <t>ROBERTSFORS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46266</v>
      </c>
      <c r="F393" t="inlineStr">
        <is>
          <t>VÄSTERBOTTENS LÄN</t>
        </is>
      </c>
      <c r="G393" t="inlineStr">
        <is>
          <t>ROBERTSFORS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46136</v>
      </c>
      <c r="E394" s="1" t="n">
        <v>46266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45029</v>
      </c>
      <c r="E395" s="1" t="n">
        <v>46266</v>
      </c>
      <c r="F395" t="inlineStr">
        <is>
          <t>VÄSTERBOTTENS LÄN</t>
        </is>
      </c>
      <c r="G395" t="inlineStr">
        <is>
          <t>ROBERTSFORS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57629-2023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45246</v>
      </c>
      <c r="E396" s="1" t="n">
        <v>46266</v>
      </c>
      <c r="F396" t="inlineStr">
        <is>
          <t>VÄSTERBOTTENS LÄN</t>
        </is>
      </c>
      <c r="G396" t="inlineStr">
        <is>
          <t>ROBERTSFORS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46141</v>
      </c>
      <c r="E397" s="1" t="n">
        <v>46266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46266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45565</v>
      </c>
      <c r="E399" s="1" t="n">
        <v>46266</v>
      </c>
      <c r="F399" t="inlineStr">
        <is>
          <t>VÄSTERBOTTENS LÄN</t>
        </is>
      </c>
      <c r="G399" t="inlineStr">
        <is>
          <t>ROBERTSFORS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45627</v>
      </c>
      <c r="E400" s="1" t="n">
        <v>46266</v>
      </c>
      <c r="F400" t="inlineStr">
        <is>
          <t>VÄSTERBOTTENS LÄN</t>
        </is>
      </c>
      <c r="G400" t="inlineStr">
        <is>
          <t>ROBERTSFORS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46266</v>
      </c>
      <c r="F401" t="inlineStr">
        <is>
          <t>VÄSTERBOTTENS LÄN</t>
        </is>
      </c>
      <c r="G401" t="inlineStr">
        <is>
          <t>ROBERTSFORS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55417-2023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45238</v>
      </c>
      <c r="E402" s="1" t="n">
        <v>46266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45049</v>
      </c>
      <c r="E403" s="1" t="n">
        <v>46266</v>
      </c>
      <c r="F403" t="inlineStr">
        <is>
          <t>VÄSTERBOTTENS LÄN</t>
        </is>
      </c>
      <c r="G403" t="inlineStr">
        <is>
          <t>ROBERTSFORS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58426-2022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44901</v>
      </c>
      <c r="E404" s="1" t="n">
        <v>46266</v>
      </c>
      <c r="F404" t="inlineStr">
        <is>
          <t>VÄSTERBOTTENS LÄN</t>
        </is>
      </c>
      <c r="G404" t="inlineStr">
        <is>
          <t>ROBERTSFORS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35313-2023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45146</v>
      </c>
      <c r="E405" s="1" t="n">
        <v>46266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34821-2023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45140</v>
      </c>
      <c r="E406" s="1" t="n">
        <v>46266</v>
      </c>
      <c r="F406" t="inlineStr">
        <is>
          <t>VÄSTERBOTTENS LÄN</t>
        </is>
      </c>
      <c r="G406" t="inlineStr">
        <is>
          <t>ROBERTSFORS</t>
        </is>
      </c>
      <c r="I406" t="n">
        <v>15.3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50046-2024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45600</v>
      </c>
      <c r="E407" s="1" t="n">
        <v>46266</v>
      </c>
      <c r="F407" t="inlineStr">
        <is>
          <t>VÄSTERBOTTENS LÄN</t>
        </is>
      </c>
      <c r="G407" t="inlineStr">
        <is>
          <t>ROBERTSFORS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46266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46266</v>
      </c>
      <c r="F409" t="inlineStr">
        <is>
          <t>VÄSTERBOTTENS LÄN</t>
        </is>
      </c>
      <c r="G409" t="inlineStr">
        <is>
          <t>ROBERTSFORS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52833-2024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45610</v>
      </c>
      <c r="E410" s="1" t="n">
        <v>46266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SCA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45583</v>
      </c>
      <c r="E411" s="1" t="n">
        <v>46266</v>
      </c>
      <c r="F411" t="inlineStr">
        <is>
          <t>VÄSTERBOTTENS LÄN</t>
        </is>
      </c>
      <c r="G411" t="inlineStr">
        <is>
          <t>ROBERTSFORS</t>
        </is>
      </c>
      <c r="I411" t="n">
        <v>9.6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46266</v>
      </c>
      <c r="F412" t="inlineStr">
        <is>
          <t>VÄSTERBOTTENS LÄN</t>
        </is>
      </c>
      <c r="G412" t="inlineStr">
        <is>
          <t>ROBERTSFORS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46266</v>
      </c>
      <c r="F413" t="inlineStr">
        <is>
          <t>VÄSTERBOTTENS LÄN</t>
        </is>
      </c>
      <c r="G413" t="inlineStr">
        <is>
          <t>ROBERTSFORS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44571</v>
      </c>
      <c r="E414" s="1" t="n">
        <v>46266</v>
      </c>
      <c r="F414" t="inlineStr">
        <is>
          <t>VÄSTERBOTTENS LÄN</t>
        </is>
      </c>
      <c r="G414" t="inlineStr">
        <is>
          <t>ROBERTSFORS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58790-2022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44895</v>
      </c>
      <c r="E415" s="1" t="n">
        <v>46266</v>
      </c>
      <c r="F415" t="inlineStr">
        <is>
          <t>VÄSTERBOTTENS LÄN</t>
        </is>
      </c>
      <c r="G415" t="inlineStr">
        <is>
          <t>ROBERTSFORS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21995-2026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46266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26368-2024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45468</v>
      </c>
      <c r="E417" s="1" t="n">
        <v>46266</v>
      </c>
      <c r="F417" t="inlineStr">
        <is>
          <t>VÄSTERBOTTENS LÄN</t>
        </is>
      </c>
      <c r="G417" t="inlineStr">
        <is>
          <t>ROBERTSFORS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38120-2024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45545</v>
      </c>
      <c r="E418" s="1" t="n">
        <v>46266</v>
      </c>
      <c r="F418" t="inlineStr">
        <is>
          <t>VÄSTERBOTTENS LÄN</t>
        </is>
      </c>
      <c r="G418" t="inlineStr">
        <is>
          <t>ROBERTSFORS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46266</v>
      </c>
      <c r="F419" t="inlineStr">
        <is>
          <t>VÄSTERBOTTENS LÄN</t>
        </is>
      </c>
      <c r="G419" t="inlineStr">
        <is>
          <t>ROBERTSFORS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46150</v>
      </c>
      <c r="E420" s="1" t="n">
        <v>46266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21971-2026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46153</v>
      </c>
      <c r="E421" s="1" t="n">
        <v>46266</v>
      </c>
      <c r="F421" t="inlineStr">
        <is>
          <t>VÄSTERBOTTENS LÄN</t>
        </is>
      </c>
      <c r="G421" t="inlineStr">
        <is>
          <t>ROBERTSFORS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46266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46266</v>
      </c>
      <c r="F423" t="inlineStr">
        <is>
          <t>VÄSTERBOTTENS LÄN</t>
        </is>
      </c>
      <c r="G423" t="inlineStr">
        <is>
          <t>ROBERTSFORS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45708</v>
      </c>
      <c r="E424" s="1" t="n">
        <v>46266</v>
      </c>
      <c r="F424" t="inlineStr">
        <is>
          <t>VÄSTERBOTTENS LÄN</t>
        </is>
      </c>
      <c r="G424" t="inlineStr">
        <is>
          <t>ROBERTSFORS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45496</v>
      </c>
      <c r="E425" s="1" t="n">
        <v>46266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8.6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10173-2022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44622</v>
      </c>
      <c r="E426" s="1" t="n">
        <v>46266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25572-2023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45082</v>
      </c>
      <c r="E427" s="1" t="n">
        <v>46266</v>
      </c>
      <c r="F427" t="inlineStr">
        <is>
          <t>VÄSTERBOTTENS LÄN</t>
        </is>
      </c>
      <c r="G427" t="inlineStr">
        <is>
          <t>ROBERTSFORS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22436-2026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46155</v>
      </c>
      <c r="E428" s="1" t="n">
        <v>46266</v>
      </c>
      <c r="F428" t="inlineStr">
        <is>
          <t>VÄSTERBOTTENS LÄN</t>
        </is>
      </c>
      <c r="G428" t="inlineStr">
        <is>
          <t>ROBERTSFORS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60604-2024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46266</v>
      </c>
      <c r="F429" t="inlineStr">
        <is>
          <t>VÄSTERBOTTENS LÄN</t>
        </is>
      </c>
      <c r="G429" t="inlineStr">
        <is>
          <t>ROBERTSFORS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44952</v>
      </c>
      <c r="E430" s="1" t="n">
        <v>46266</v>
      </c>
      <c r="F430" t="inlineStr">
        <is>
          <t>VÄSTERBOTTENS LÄN</t>
        </is>
      </c>
      <c r="G430" t="inlineStr">
        <is>
          <t>ROBERTSFORS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10334-2023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44980</v>
      </c>
      <c r="E431" s="1" t="n">
        <v>46266</v>
      </c>
      <c r="F431" t="inlineStr">
        <is>
          <t>VÄSTERBOTTENS LÄN</t>
        </is>
      </c>
      <c r="G431" t="inlineStr">
        <is>
          <t>ROBERTSFORS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45502</v>
      </c>
      <c r="E432" s="1" t="n">
        <v>46266</v>
      </c>
      <c r="F432" t="inlineStr">
        <is>
          <t>VÄSTERBOTTENS LÄN</t>
        </is>
      </c>
      <c r="G432" t="inlineStr">
        <is>
          <t>ROBERTSFORS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46266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46160</v>
      </c>
      <c r="E434" s="1" t="n">
        <v>46266</v>
      </c>
      <c r="F434" t="inlineStr">
        <is>
          <t>VÄSTERBOTTENS LÄN</t>
        </is>
      </c>
      <c r="G434" t="inlineStr">
        <is>
          <t>ROBERTSFORS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46160</v>
      </c>
      <c r="E435" s="1" t="n">
        <v>46266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45708</v>
      </c>
      <c r="E436" s="1" t="n">
        <v>46266</v>
      </c>
      <c r="F436" t="inlineStr">
        <is>
          <t>VÄSTERBOTTENS LÄN</t>
        </is>
      </c>
      <c r="G436" t="inlineStr">
        <is>
          <t>ROBERTSFORS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43547-2023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45184</v>
      </c>
      <c r="E437" s="1" t="n">
        <v>46266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44952</v>
      </c>
      <c r="E438" s="1" t="n">
        <v>46266</v>
      </c>
      <c r="F438" t="inlineStr">
        <is>
          <t>VÄSTERBOTTENS LÄN</t>
        </is>
      </c>
      <c r="G438" t="inlineStr">
        <is>
          <t>ROBERTSFORS</t>
        </is>
      </c>
      <c r="I438" t="n">
        <v>16.1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45580</v>
      </c>
      <c r="E439" s="1" t="n">
        <v>46266</v>
      </c>
      <c r="F439" t="inlineStr">
        <is>
          <t>VÄSTERBOTTENS LÄN</t>
        </is>
      </c>
      <c r="G439" t="inlineStr">
        <is>
          <t>ROBERTSFORS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51873-2024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45607</v>
      </c>
      <c r="E440" s="1" t="n">
        <v>46266</v>
      </c>
      <c r="F440" t="inlineStr">
        <is>
          <t>VÄSTERBOTTENS LÄN</t>
        </is>
      </c>
      <c r="G440" t="inlineStr">
        <is>
          <t>ROBERTSFORS</t>
        </is>
      </c>
      <c r="I440" t="n">
        <v>7.6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45659</v>
      </c>
      <c r="E441" s="1" t="n">
        <v>46266</v>
      </c>
      <c r="F441" t="inlineStr">
        <is>
          <t>VÄSTERBOTTENS LÄN</t>
        </is>
      </c>
      <c r="G441" t="inlineStr">
        <is>
          <t>ROBERTSFORS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10188-2023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44980</v>
      </c>
      <c r="E442" s="1" t="n">
        <v>46266</v>
      </c>
      <c r="F442" t="inlineStr">
        <is>
          <t>VÄSTERBOTTENS LÄN</t>
        </is>
      </c>
      <c r="G442" t="inlineStr">
        <is>
          <t>ROBERTSFORS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43095-2023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46266</v>
      </c>
      <c r="F443" t="inlineStr">
        <is>
          <t>VÄSTERBOTTENS LÄN</t>
        </is>
      </c>
      <c r="G443" t="inlineStr">
        <is>
          <t>ROBERTSFORS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24365-2026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46169</v>
      </c>
      <c r="E444" s="1" t="n">
        <v>46266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15.9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45631</v>
      </c>
      <c r="E445" s="1" t="n">
        <v>46266</v>
      </c>
      <c r="F445" t="inlineStr">
        <is>
          <t>VÄSTERBOTTENS LÄN</t>
        </is>
      </c>
      <c r="G445" t="inlineStr">
        <is>
          <t>ROBERTSFORS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24647-2026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46171</v>
      </c>
      <c r="E446" s="1" t="n">
        <v>46266</v>
      </c>
      <c r="F446" t="inlineStr">
        <is>
          <t>VÄSTERBOTTENS LÄN</t>
        </is>
      </c>
      <c r="G446" t="inlineStr">
        <is>
          <t>ROBERTSFORS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46170</v>
      </c>
      <c r="E447" s="1" t="n">
        <v>46266</v>
      </c>
      <c r="F447" t="inlineStr">
        <is>
          <t>VÄSTERBOTTENS LÄN</t>
        </is>
      </c>
      <c r="G447" t="inlineStr">
        <is>
          <t>ROBERTSFORS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13164-2024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45386</v>
      </c>
      <c r="E448" s="1" t="n">
        <v>46266</v>
      </c>
      <c r="F448" t="inlineStr">
        <is>
          <t>VÄSTERBOTTENS LÄN</t>
        </is>
      </c>
      <c r="G448" t="inlineStr">
        <is>
          <t>ROBERTSFORS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46171</v>
      </c>
      <c r="E449" s="1" t="n">
        <v>46266</v>
      </c>
      <c r="F449" t="inlineStr">
        <is>
          <t>VÄSTERBOTTENS LÄN</t>
        </is>
      </c>
      <c r="G449" t="inlineStr">
        <is>
          <t>ROBERTSFORS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34029-2023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45135</v>
      </c>
      <c r="E450" s="1" t="n">
        <v>46266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46266</v>
      </c>
      <c r="F451" t="inlineStr">
        <is>
          <t>VÄSTERBOTTENS LÄN</t>
        </is>
      </c>
      <c r="G451" t="inlineStr">
        <is>
          <t>ROBERTSFORS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46176</v>
      </c>
      <c r="E452" s="1" t="n">
        <v>46266</v>
      </c>
      <c r="F452" t="inlineStr">
        <is>
          <t>VÄSTERBOTTENS LÄN</t>
        </is>
      </c>
      <c r="G452" t="inlineStr">
        <is>
          <t>ROBERTSFORS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46113</v>
      </c>
      <c r="E453" s="1" t="n">
        <v>46266</v>
      </c>
      <c r="F453" t="inlineStr">
        <is>
          <t>VÄSTERBOTTENS LÄN</t>
        </is>
      </c>
      <c r="G453" t="inlineStr">
        <is>
          <t>ROBERTSFORS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45454</v>
      </c>
      <c r="E454" s="1" t="n">
        <v>46266</v>
      </c>
      <c r="F454" t="inlineStr">
        <is>
          <t>VÄSTERBOTTENS LÄN</t>
        </is>
      </c>
      <c r="G454" t="inlineStr">
        <is>
          <t>ROBERTSFORS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45636</v>
      </c>
      <c r="E455" s="1" t="n">
        <v>46266</v>
      </c>
      <c r="F455" t="inlineStr">
        <is>
          <t>VÄSTERBOTTENS LÄN</t>
        </is>
      </c>
      <c r="G455" t="inlineStr">
        <is>
          <t>ROBERTSFORS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45040</v>
      </c>
      <c r="E456" s="1" t="n">
        <v>46266</v>
      </c>
      <c r="F456" t="inlineStr">
        <is>
          <t>VÄSTERBOTTENS LÄN</t>
        </is>
      </c>
      <c r="G456" t="inlineStr">
        <is>
          <t>ROBERTSFORS</t>
        </is>
      </c>
      <c r="I456" t="n">
        <v>11.5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25588-2026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46266</v>
      </c>
      <c r="F457" t="inlineStr">
        <is>
          <t>VÄSTERBOTTENS LÄN</t>
        </is>
      </c>
      <c r="G457" t="inlineStr">
        <is>
          <t>ROBERTSFORS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46266</v>
      </c>
      <c r="F458" t="inlineStr">
        <is>
          <t>VÄSTERBOTTENS LÄN</t>
        </is>
      </c>
      <c r="G458" t="inlineStr">
        <is>
          <t>ROBERTSFORS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17848-2022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44683</v>
      </c>
      <c r="E459" s="1" t="n">
        <v>46266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35222-2024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45530</v>
      </c>
      <c r="E460" s="1" t="n">
        <v>46266</v>
      </c>
      <c r="F460" t="inlineStr">
        <is>
          <t>VÄSTERBOTTENS LÄN</t>
        </is>
      </c>
      <c r="G460" t="inlineStr">
        <is>
          <t>ROBERTSFORS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5689-2023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44960</v>
      </c>
      <c r="E461" s="1" t="n">
        <v>46266</v>
      </c>
      <c r="F461" t="inlineStr">
        <is>
          <t>VÄSTERBOTTENS LÄN</t>
        </is>
      </c>
      <c r="G461" t="inlineStr">
        <is>
          <t>ROBERTSFORS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44588</v>
      </c>
      <c r="E462" s="1" t="n">
        <v>46266</v>
      </c>
      <c r="F462" t="inlineStr">
        <is>
          <t>VÄSTERBOTTENS LÄN</t>
        </is>
      </c>
      <c r="G462" t="inlineStr">
        <is>
          <t>ROBERTSFORS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46225</v>
      </c>
      <c r="E463" s="1" t="n">
        <v>46266</v>
      </c>
      <c r="F463" t="inlineStr">
        <is>
          <t>VÄSTERBOTTENS LÄN</t>
        </is>
      </c>
      <c r="G463" t="inlineStr">
        <is>
          <t>ROBERTSFORS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31665-2026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46225</v>
      </c>
      <c r="E464" s="1" t="n">
        <v>46266</v>
      </c>
      <c r="F464" t="inlineStr">
        <is>
          <t>VÄSTERBOTTENS LÄN</t>
        </is>
      </c>
      <c r="G464" t="inlineStr">
        <is>
          <t>ROBERTSFORS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26538-2026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46183</v>
      </c>
      <c r="E465" s="1" t="n">
        <v>46266</v>
      </c>
      <c r="F465" t="inlineStr">
        <is>
          <t>VÄSTERBOTTENS LÄN</t>
        </is>
      </c>
      <c r="G465" t="inlineStr">
        <is>
          <t>ROBERTSFORS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46225</v>
      </c>
      <c r="E466" s="1" t="n">
        <v>46266</v>
      </c>
      <c r="F466" t="inlineStr">
        <is>
          <t>VÄSTERBOTTENS LÄN</t>
        </is>
      </c>
      <c r="G466" t="inlineStr">
        <is>
          <t>ROBERTSFORS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45659</v>
      </c>
      <c r="E467" s="1" t="n">
        <v>46266</v>
      </c>
      <c r="F467" t="inlineStr">
        <is>
          <t>VÄSTERBOTTENS LÄN</t>
        </is>
      </c>
      <c r="G467" t="inlineStr">
        <is>
          <t>ROBERTSFORS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46230</v>
      </c>
      <c r="E468" s="1" t="n">
        <v>46266</v>
      </c>
      <c r="F468" t="inlineStr">
        <is>
          <t>VÄSTERBOTTENS LÄN</t>
        </is>
      </c>
      <c r="G468" t="inlineStr">
        <is>
          <t>ROBERTSFORS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26949-2026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46185</v>
      </c>
      <c r="E469" s="1" t="n">
        <v>46266</v>
      </c>
      <c r="F469" t="inlineStr">
        <is>
          <t>VÄSTERBOTTENS LÄN</t>
        </is>
      </c>
      <c r="G469" t="inlineStr">
        <is>
          <t>ROBERTSFORS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46185</v>
      </c>
      <c r="E470" s="1" t="n">
        <v>46266</v>
      </c>
      <c r="F470" t="inlineStr">
        <is>
          <t>VÄSTERBOTTENS LÄN</t>
        </is>
      </c>
      <c r="G470" t="inlineStr">
        <is>
          <t>ROBERTSFORS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27315-2026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46266</v>
      </c>
      <c r="F471" t="inlineStr">
        <is>
          <t>VÄSTERBOTTENS LÄN</t>
        </is>
      </c>
      <c r="G471" t="inlineStr">
        <is>
          <t>ROBERTSFORS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46266</v>
      </c>
      <c r="F472" t="inlineStr">
        <is>
          <t>VÄSTERBOTTENS LÄN</t>
        </is>
      </c>
      <c r="G472" t="inlineStr">
        <is>
          <t>ROBERTSFORS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46266</v>
      </c>
      <c r="F473" t="inlineStr">
        <is>
          <t>VÄSTERBOTTENS LÄN</t>
        </is>
      </c>
      <c r="G473" t="inlineStr">
        <is>
          <t>ROBERTSFORS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46266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34434-2024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45525</v>
      </c>
      <c r="E475" s="1" t="n">
        <v>46266</v>
      </c>
      <c r="F475" t="inlineStr">
        <is>
          <t>VÄSTERBOTTENS LÄN</t>
        </is>
      </c>
      <c r="G475" t="inlineStr">
        <is>
          <t>ROBERTSFORS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46266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45692</v>
      </c>
      <c r="E477" s="1" t="n">
        <v>46266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46266</v>
      </c>
      <c r="F478" t="inlineStr">
        <is>
          <t>VÄSTERBOTTENS LÄN</t>
        </is>
      </c>
      <c r="G478" t="inlineStr">
        <is>
          <t>ROBERTSFORS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45671</v>
      </c>
      <c r="E479" s="1" t="n">
        <v>46266</v>
      </c>
      <c r="F479" t="inlineStr">
        <is>
          <t>VÄSTERBOTTENS LÄN</t>
        </is>
      </c>
      <c r="G479" t="inlineStr">
        <is>
          <t>ROBERTSFORS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73557-2021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44551</v>
      </c>
      <c r="E480" s="1" t="n">
        <v>46266</v>
      </c>
      <c r="F480" t="inlineStr">
        <is>
          <t>VÄSTERBOTTENS LÄN</t>
        </is>
      </c>
      <c r="G480" t="inlineStr">
        <is>
          <t>ROBERTSFORS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25575-2022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44732</v>
      </c>
      <c r="E481" s="1" t="n">
        <v>46266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38092-2022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44811</v>
      </c>
      <c r="E482" s="1" t="n">
        <v>46266</v>
      </c>
      <c r="F482" t="inlineStr">
        <is>
          <t>VÄSTERBOTTENS LÄN</t>
        </is>
      </c>
      <c r="G482" t="inlineStr">
        <is>
          <t>ROBERTSFORS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20519-2022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44699</v>
      </c>
      <c r="E483" s="1" t="n">
        <v>46266</v>
      </c>
      <c r="F483" t="inlineStr">
        <is>
          <t>VÄSTERBOTTENS LÄN</t>
        </is>
      </c>
      <c r="G483" t="inlineStr">
        <is>
          <t>ROBERTSFORS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59833-2022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44901</v>
      </c>
      <c r="E484" s="1" t="n">
        <v>46266</v>
      </c>
      <c r="F484" t="inlineStr">
        <is>
          <t>VÄSTERBOTTENS LÄN</t>
        </is>
      </c>
      <c r="G484" t="inlineStr">
        <is>
          <t>ROBERTSFORS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46266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45005</v>
      </c>
      <c r="E486" s="1" t="n">
        <v>46266</v>
      </c>
      <c r="F486" t="inlineStr">
        <is>
          <t>VÄSTERBOTTENS LÄN</t>
        </is>
      </c>
      <c r="G486" t="inlineStr">
        <is>
          <t>ROBERTSFORS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54968-2024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45620</v>
      </c>
      <c r="E487" s="1" t="n">
        <v>46266</v>
      </c>
      <c r="F487" t="inlineStr">
        <is>
          <t>VÄSTERBOTTENS LÄN</t>
        </is>
      </c>
      <c r="G487" t="inlineStr">
        <is>
          <t>ROBERTSFORS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46239</v>
      </c>
      <c r="E488" s="1" t="n">
        <v>46266</v>
      </c>
      <c r="F488" t="inlineStr">
        <is>
          <t>VÄSTERBOTTENS LÄN</t>
        </is>
      </c>
      <c r="G488" t="inlineStr">
        <is>
          <t>ROBERTSFORS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46239</v>
      </c>
      <c r="E489" s="1" t="n">
        <v>46266</v>
      </c>
      <c r="F489" t="inlineStr">
        <is>
          <t>VÄSTERBOTTENS LÄN</t>
        </is>
      </c>
      <c r="G489" t="inlineStr">
        <is>
          <t>ROBERTSFORS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45148</v>
      </c>
      <c r="E490" s="1" t="n">
        <v>46266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46239</v>
      </c>
      <c r="E491" s="1" t="n">
        <v>46266</v>
      </c>
      <c r="F491" t="inlineStr">
        <is>
          <t>VÄSTERBOTTENS LÄN</t>
        </is>
      </c>
      <c r="G491" t="inlineStr">
        <is>
          <t>ROBERTSFORS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45670</v>
      </c>
      <c r="E492" s="1" t="n">
        <v>46266</v>
      </c>
      <c r="F492" t="inlineStr">
        <is>
          <t>VÄSTERBOTTENS LÄN</t>
        </is>
      </c>
      <c r="G492" t="inlineStr">
        <is>
          <t>ROBERTSFORS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46266</v>
      </c>
      <c r="F493" t="inlineStr">
        <is>
          <t>VÄSTERBOTTENS LÄN</t>
        </is>
      </c>
      <c r="G493" t="inlineStr">
        <is>
          <t>ROBERTSFORS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45687</v>
      </c>
      <c r="E494" s="1" t="n">
        <v>46266</v>
      </c>
      <c r="F494" t="inlineStr">
        <is>
          <t>VÄSTERBOTTENS LÄN</t>
        </is>
      </c>
      <c r="G494" t="inlineStr">
        <is>
          <t>ROBERTSFORS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46266</v>
      </c>
      <c r="F495" t="inlineStr">
        <is>
          <t>VÄSTERBOTTENS LÄN</t>
        </is>
      </c>
      <c r="G495" t="inlineStr">
        <is>
          <t>ROBERTSFORS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46266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46240</v>
      </c>
      <c r="E497" s="1" t="n">
        <v>46266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46266</v>
      </c>
      <c r="F498" t="inlineStr">
        <is>
          <t>VÄSTERBOTTENS LÄN</t>
        </is>
      </c>
      <c r="G498" t="inlineStr">
        <is>
          <t>ROBERTSFORS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46266</v>
      </c>
      <c r="F499" t="inlineStr">
        <is>
          <t>VÄSTERBOTTENS LÄN</t>
        </is>
      </c>
      <c r="G499" t="inlineStr">
        <is>
          <t>ROBERTSFORS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46266</v>
      </c>
      <c r="F500" t="inlineStr">
        <is>
          <t>VÄSTERBOTTENS LÄN</t>
        </is>
      </c>
      <c r="G500" t="inlineStr">
        <is>
          <t>ROBERTSFORS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46266</v>
      </c>
      <c r="F501" t="inlineStr">
        <is>
          <t>VÄSTERBOTTENS LÄN</t>
        </is>
      </c>
      <c r="G501" t="inlineStr">
        <is>
          <t>ROBERTSFORS</t>
        </is>
      </c>
      <c r="I501" t="n">
        <v>11.3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32673-2026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46240</v>
      </c>
      <c r="E502" s="1" t="n">
        <v>46266</v>
      </c>
      <c r="F502" t="inlineStr">
        <is>
          <t>VÄSTERBOTTENS LÄN</t>
        </is>
      </c>
      <c r="G502" t="inlineStr">
        <is>
          <t>ROBERTSFORS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46266</v>
      </c>
      <c r="F503" t="inlineStr">
        <is>
          <t>VÄSTERBOTTENS LÄN</t>
        </is>
      </c>
      <c r="G503" t="inlineStr">
        <is>
          <t>ROBERTSFORS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46266</v>
      </c>
      <c r="F504" t="inlineStr">
        <is>
          <t>VÄSTERBOTTENS LÄN</t>
        </is>
      </c>
      <c r="G504" t="inlineStr">
        <is>
          <t>ROBERTSFORS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32912-2026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46244</v>
      </c>
      <c r="E505" s="1" t="n">
        <v>46266</v>
      </c>
      <c r="F505" t="inlineStr">
        <is>
          <t>VÄSTERBOTTENS LÄN</t>
        </is>
      </c>
      <c r="G505" t="inlineStr">
        <is>
          <t>ROBERTSFORS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46202</v>
      </c>
      <c r="E506" s="1" t="n">
        <v>46266</v>
      </c>
      <c r="F506" t="inlineStr">
        <is>
          <t>VÄSTERBOTTENS LÄN</t>
        </is>
      </c>
      <c r="G506" t="inlineStr">
        <is>
          <t>ROBERTSFORS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46266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SCA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29459-2026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46266</v>
      </c>
      <c r="F508" t="inlineStr">
        <is>
          <t>VÄSTERBOTTENS LÄN</t>
        </is>
      </c>
      <c r="G508" t="inlineStr">
        <is>
          <t>ROBERTSFORS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30081-2026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46266</v>
      </c>
      <c r="F509" t="inlineStr">
        <is>
          <t>VÄSTERBOTTENS LÄN</t>
        </is>
      </c>
      <c r="G509" t="inlineStr">
        <is>
          <t>ROBERTSFORS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46266</v>
      </c>
      <c r="F510" t="inlineStr">
        <is>
          <t>VÄSTERBOTTENS LÄN</t>
        </is>
      </c>
      <c r="G510" t="inlineStr">
        <is>
          <t>ROBERTSFORS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46266</v>
      </c>
      <c r="F511" t="inlineStr">
        <is>
          <t>VÄSTERBOTTENS LÄN</t>
        </is>
      </c>
      <c r="G511" t="inlineStr">
        <is>
          <t>ROBERTSFORS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46266</v>
      </c>
      <c r="F512" t="inlineStr">
        <is>
          <t>VÄSTERBOTTENS LÄN</t>
        </is>
      </c>
      <c r="G512" t="inlineStr">
        <is>
          <t>ROBERTSFORS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46266</v>
      </c>
      <c r="F513" t="inlineStr">
        <is>
          <t>VÄSTERBOTTENS LÄN</t>
        </is>
      </c>
      <c r="G513" t="inlineStr">
        <is>
          <t>ROBERTSFORS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46266</v>
      </c>
      <c r="F514" t="inlineStr">
        <is>
          <t>VÄSTERBOTTENS LÄN</t>
        </is>
      </c>
      <c r="G514" t="inlineStr">
        <is>
          <t>ROBERTSFORS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46266</v>
      </c>
      <c r="F515" t="inlineStr">
        <is>
          <t>VÄSTERBOTTENS LÄN</t>
        </is>
      </c>
      <c r="G515" t="inlineStr">
        <is>
          <t>ROBERTSFORS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46266</v>
      </c>
      <c r="F516" t="inlineStr">
        <is>
          <t>VÄSTERBOTTENS LÄN</t>
        </is>
      </c>
      <c r="G516" t="inlineStr">
        <is>
          <t>ROBERTSFORS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46266</v>
      </c>
      <c r="F517" t="inlineStr">
        <is>
          <t>VÄSTERBOTTENS LÄN</t>
        </is>
      </c>
      <c r="G517" t="inlineStr">
        <is>
          <t>ROBERTSFORS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46261</v>
      </c>
      <c r="E518" s="1" t="n">
        <v>46266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21.2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46266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46266</v>
      </c>
      <c r="F520" t="inlineStr">
        <is>
          <t>VÄSTERBOTTENS LÄN</t>
        </is>
      </c>
      <c r="G520" t="inlineStr">
        <is>
          <t>ROBERTSFORS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46262</v>
      </c>
      <c r="E521" s="1" t="n">
        <v>46266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46266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46266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46266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46266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46266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46266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46266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46266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2026-09-01T02:07:30Z</dcterms:created>
  <dcterms:modified xmlns:dcterms="http://purl.org/dc/terms/" xmlns:xsi="http://www.w3.org/2001/XMLSchema-instance" xsi:type="dcterms:W3CDTF">2026-09-01T02:07:30Z</dcterms:modified>
</cp:coreProperties>
</file>