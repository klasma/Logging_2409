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46253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46253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46253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46253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46253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46253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46253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46253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46253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46253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46253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46253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46253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46253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Gråspett
Tjäder</t>
        </is>
      </c>
      <c r="W23">
        <f>HYPERLINK("https://klasma.github.io/Logging_2409/artfynd/A 24241-2022 artfynd.xlsx", "A 24241-2022")</f>
        <v/>
      </c>
      <c r="X23">
        <f>HYPERLINK("https://klasma.github.io/Logging_2409/kartor/A 24241-2022 karta.png", "A 24241-2022")</f>
        <v/>
      </c>
      <c r="Y23">
        <f>HYPERLINK("https://klasma.github.io/Logging_2409/kartor_geotiff/A 24241-2022 georefererad karta.tif", "A 24241-2022")</f>
        <v/>
      </c>
      <c r="AA23">
        <f>HYPERLINK("https://klasma.github.io/Logging_2409/klagomål/A 24241-2022 FSC-klagomål.docx", "A 24241-2022")</f>
        <v/>
      </c>
      <c r="AB23">
        <f>HYPERLINK("https://klasma.github.io/Logging_2409/klagomålsmail/A 24241-2022 FSC-klagomål mail.docx", "A 24241-2022")</f>
        <v/>
      </c>
      <c r="AC23">
        <f>HYPERLINK("https://klasma.github.io/Logging_2409/tillsyn/A 24241-2022 tillsynsbegäran.docx", "A 24241-2022")</f>
        <v/>
      </c>
      <c r="AD23">
        <f>HYPERLINK("https://klasma.github.io/Logging_2409/tillsynsmail/A 24241-2022 tillsynsbegäran mail.docx", "A 24241-2022")</f>
        <v/>
      </c>
      <c r="AE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46253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46253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46253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46253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46253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46253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19724-2023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46253</v>
      </c>
      <c r="F30" t="inlineStr">
        <is>
          <t>VÄSTERBOTTENS LÄN</t>
        </is>
      </c>
      <c r="G30" t="inlineStr">
        <is>
          <t>ROBERTSFORS</t>
        </is>
      </c>
      <c r="I30" t="n">
        <v>6.1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Skarp dropptaggsvamp</t>
        </is>
      </c>
      <c r="W30">
        <f>HYPERLINK("https://klasma.github.io/Logging_2409/artfynd/A 19724-2023 artfynd.xlsx", "A 19724-2023")</f>
        <v/>
      </c>
      <c r="X30">
        <f>HYPERLINK("https://klasma.github.io/Logging_2409/kartor/A 19724-2023 karta.png", "A 19724-2023")</f>
        <v/>
      </c>
      <c r="Y30">
        <f>HYPERLINK("https://klasma.github.io/Logging_2409/kartor_geotiff/A 19724-2023 georefererad karta.tif", "A 19724-2023")</f>
        <v/>
      </c>
      <c r="AA30">
        <f>HYPERLINK("https://klasma.github.io/Logging_2409/klagomål/A 19724-2023 FSC-klagomål.docx", "A 19724-2023")</f>
        <v/>
      </c>
      <c r="AB30">
        <f>HYPERLINK("https://klasma.github.io/Logging_2409/klagomålsmail/A 19724-2023 FSC-klagomål mail.docx", "A 19724-2023")</f>
        <v/>
      </c>
      <c r="AC30">
        <f>HYPERLINK("https://klasma.github.io/Logging_2409/tillsyn/A 19724-2023 tillsynsbegäran.docx", "A 19724-2023")</f>
        <v/>
      </c>
      <c r="AD30">
        <f>HYPERLINK("https://klasma.github.io/Logging_2409/tillsynsmail/A 19724-2023 tillsynsbegäran mail.docx", "A 19724-2023")</f>
        <v/>
      </c>
    </row>
    <row r="31" ht="15" customHeight="1">
      <c r="A31" t="inlineStr">
        <is>
          <t>A 43097-2023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46253</v>
      </c>
      <c r="F31" t="inlineStr">
        <is>
          <t>VÄSTERBOTTENS LÄN</t>
        </is>
      </c>
      <c r="G31" t="inlineStr">
        <is>
          <t>ROBERTSFORS</t>
        </is>
      </c>
      <c r="I31" t="n">
        <v>3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Talltita</t>
        </is>
      </c>
      <c r="W31">
        <f>HYPERLINK("https://klasma.github.io/Logging_2409/artfynd/A 43097-2023 artfynd.xlsx", "A 43097-2023")</f>
        <v/>
      </c>
      <c r="X31">
        <f>HYPERLINK("https://klasma.github.io/Logging_2409/kartor/A 43097-2023 karta.png", "A 43097-2023")</f>
        <v/>
      </c>
      <c r="Y31">
        <f>HYPERLINK("https://klasma.github.io/Logging_2409/kartor_geotiff/A 43097-2023 georefererad karta.tif", "A 43097-2023")</f>
        <v/>
      </c>
      <c r="AA31">
        <f>HYPERLINK("https://klasma.github.io/Logging_2409/klagomål/A 43097-2023 FSC-klagomål.docx", "A 43097-2023")</f>
        <v/>
      </c>
      <c r="AB31">
        <f>HYPERLINK("https://klasma.github.io/Logging_2409/klagomålsmail/A 43097-2023 FSC-klagomål mail.docx", "A 43097-2023")</f>
        <v/>
      </c>
      <c r="AC31">
        <f>HYPERLINK("https://klasma.github.io/Logging_2409/tillsyn/A 43097-2023 tillsynsbegäran.docx", "A 43097-2023")</f>
        <v/>
      </c>
      <c r="AD31">
        <f>HYPERLINK("https://klasma.github.io/Logging_2409/tillsynsmail/A 43097-2023 tillsynsbegäran mail.docx", "A 43097-2023")</f>
        <v/>
      </c>
      <c r="AE31">
        <f>HYPERLINK("https://klasma.github.io/Logging_2409/fåglar/A 43097-2023 prioriterade fågelarter.docx", "A 43097-2023")</f>
        <v/>
      </c>
    </row>
    <row r="32" ht="15" customHeight="1">
      <c r="A32" t="inlineStr">
        <is>
          <t>A 48882-2025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45937</v>
      </c>
      <c r="E32" s="1" t="n">
        <v>46253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Kyrkan</t>
        </is>
      </c>
      <c r="I32" t="n">
        <v>5.5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Harticka
Ullticka</t>
        </is>
      </c>
      <c r="W32">
        <f>HYPERLINK("https://klasma.github.io/Logging_2409/artfynd/A 48882-2025 artfynd.xlsx", "A 48882-2025")</f>
        <v/>
      </c>
      <c r="X32">
        <f>HYPERLINK("https://klasma.github.io/Logging_2409/kartor/A 48882-2025 karta.png", "A 48882-2025")</f>
        <v/>
      </c>
      <c r="Y32">
        <f>HYPERLINK("https://klasma.github.io/Logging_2409/kartor_geotiff/A 48882-2025 georefererad karta.tif", "A 48882-2025")</f>
        <v/>
      </c>
      <c r="AA32">
        <f>HYPERLINK("https://klasma.github.io/Logging_2409/klagomål/A 48882-2025 FSC-klagomål.docx", "A 48882-2025")</f>
        <v/>
      </c>
      <c r="AB32">
        <f>HYPERLINK("https://klasma.github.io/Logging_2409/klagomålsmail/A 48882-2025 FSC-klagomål mail.docx", "A 48882-2025")</f>
        <v/>
      </c>
      <c r="AC32">
        <f>HYPERLINK("https://klasma.github.io/Logging_2409/tillsyn/A 48882-2025 tillsynsbegäran.docx", "A 48882-2025")</f>
        <v/>
      </c>
      <c r="AD32">
        <f>HYPERLINK("https://klasma.github.io/Logging_2409/tillsynsmail/A 48882-2025 tillsynsbegäran mail.docx", "A 48882-2025")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46253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46253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46253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46253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t="n">
        <v>0</v>
      </c>
      <c r="V36" s="2" t="inlineStr">
        <is>
          <t>Garnlav
Tretåig hackspett</t>
        </is>
      </c>
      <c r="W36">
        <f>HYPERLINK("https://klasma.github.io/Logging_2409/artfynd/A 26807-2026 artfynd.xlsx", "A 26807-2026")</f>
        <v/>
      </c>
      <c r="X36">
        <f>HYPERLINK("https://klasma.github.io/Logging_2409/kartor/A 26807-2026 karta.png", "A 26807-2026")</f>
        <v/>
      </c>
      <c r="Y36">
        <f>HYPERLINK("https://klasma.github.io/Logging_2409/kartor_geotiff/A 26807-2026 georefererad karta.tif", "A 26807-2026")</f>
        <v/>
      </c>
      <c r="AA36">
        <f>HYPERLINK("https://klasma.github.io/Logging_2409/klagomål/A 26807-2026 FSC-klagomål.docx", "A 26807-2026")</f>
        <v/>
      </c>
      <c r="AB36">
        <f>HYPERLINK("https://klasma.github.io/Logging_2409/klagomålsmail/A 26807-2026 FSC-klagomål mail.docx", "A 26807-2026")</f>
        <v/>
      </c>
      <c r="AC36">
        <f>HYPERLINK("https://klasma.github.io/Logging_2409/tillsyn/A 26807-2026 tillsynsbegäran.docx", "A 26807-2026")</f>
        <v/>
      </c>
      <c r="AD36">
        <f>HYPERLINK("https://klasma.github.io/Logging_2409/tillsynsmail/A 26807-2026 tillsynsbegäran mail.docx", "A 26807-2026")</f>
        <v/>
      </c>
      <c r="AE36">
        <f>HYPERLINK("https://klasma.github.io/Logging_2409/fåglar/A 26807-2026 prioriterade fågelarter.docx", "A 26807-2026")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46253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Tretåig hackspett
Spillkråka</t>
        </is>
      </c>
      <c r="W37">
        <f>HYPERLINK("https://klasma.github.io/Logging_2409/artfynd/A 41723-2024 artfynd.xlsx", "A 41723-2024")</f>
        <v/>
      </c>
      <c r="X37">
        <f>HYPERLINK("https://klasma.github.io/Logging_2409/kartor/A 41723-2024 karta.png", "A 41723-2024")</f>
        <v/>
      </c>
      <c r="Y37">
        <f>HYPERLINK("https://klasma.github.io/Logging_2409/kartor_geotiff/A 41723-2024 georefererad karta.tif", "A 41723-2024")</f>
        <v/>
      </c>
      <c r="AA37">
        <f>HYPERLINK("https://klasma.github.io/Logging_2409/klagomål/A 41723-2024 FSC-klagomål.docx", "A 41723-2024")</f>
        <v/>
      </c>
      <c r="AB37">
        <f>HYPERLINK("https://klasma.github.io/Logging_2409/klagomålsmail/A 41723-2024 FSC-klagomål mail.docx", "A 41723-2024")</f>
        <v/>
      </c>
      <c r="AC37">
        <f>HYPERLINK("https://klasma.github.io/Logging_2409/tillsyn/A 41723-2024 tillsynsbegäran.docx", "A 41723-2024")</f>
        <v/>
      </c>
      <c r="AD37">
        <f>HYPERLINK("https://klasma.github.io/Logging_2409/tillsynsmail/A 41723-2024 tillsynsbegäran mail.docx", "A 41723-2024")</f>
        <v/>
      </c>
      <c r="AE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46253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46253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46253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5285-2026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46253</v>
      </c>
      <c r="F44" t="inlineStr">
        <is>
          <t>VÄSTERBOTTENS LÄN</t>
        </is>
      </c>
      <c r="G44" t="inlineStr">
        <is>
          <t>ROBERTSFORS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HYPERLINK("https://klasma.github.io/Logging_2409/artfynd/A 5285-2026 artfynd.xlsx", "A 5285-2026")</f>
        <v/>
      </c>
      <c r="X44">
        <f>HYPERLINK("https://klasma.github.io/Logging_2409/kartor/A 5285-2026 karta.png", "A 5285-2026")</f>
        <v/>
      </c>
      <c r="Y44">
        <f>HYPERLINK("https://klasma.github.io/Logging_2409/kartor_geotiff/A 5285-2026 georefererad karta.tif", "A 5285-2026")</f>
        <v/>
      </c>
      <c r="AA44">
        <f>HYPERLINK("https://klasma.github.io/Logging_2409/klagomål/A 5285-2026 FSC-klagomål.docx", "A 5285-2026")</f>
        <v/>
      </c>
      <c r="AB44">
        <f>HYPERLINK("https://klasma.github.io/Logging_2409/klagomålsmail/A 5285-2026 FSC-klagomål mail.docx", "A 5285-2026")</f>
        <v/>
      </c>
      <c r="AC44">
        <f>HYPERLINK("https://klasma.github.io/Logging_2409/tillsyn/A 5285-2026 tillsynsbegäran.docx", "A 5285-2026")</f>
        <v/>
      </c>
      <c r="AD44">
        <f>HYPERLINK("https://klasma.github.io/Logging_2409/tillsynsmail/A 5285-2026 tillsynsbegäran mail.docx", "A 5285-2026")</f>
        <v/>
      </c>
      <c r="AE44">
        <f>HYPERLINK("https://klasma.github.io/Logging_2409/fåglar/A 5285-2026 prioriterade fågelarter.docx", "A 5285-2026")</f>
        <v/>
      </c>
    </row>
    <row r="45" ht="15" customHeight="1">
      <c r="A45" t="inlineStr">
        <is>
          <t>A 5284-2026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46253</v>
      </c>
      <c r="F45" t="inlineStr">
        <is>
          <t>VÄSTERBOTTENS LÄN</t>
        </is>
      </c>
      <c r="G45" t="inlineStr">
        <is>
          <t>ROBERTSFORS</t>
        </is>
      </c>
      <c r="I45" t="n">
        <v>3.1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HYPERLINK("https://klasma.github.io/Logging_2409/artfynd/A 5284-2026 artfynd.xlsx", "A 5284-2026")</f>
        <v/>
      </c>
      <c r="X45">
        <f>HYPERLINK("https://klasma.github.io/Logging_2409/kartor/A 5284-2026 karta.png", "A 5284-2026")</f>
        <v/>
      </c>
      <c r="Y45">
        <f>HYPERLINK("https://klasma.github.io/Logging_2409/kartor_geotiff/A 5284-2026 georefererad karta.tif", "A 5284-2026")</f>
        <v/>
      </c>
      <c r="AA45">
        <f>HYPERLINK("https://klasma.github.io/Logging_2409/klagomål/A 5284-2026 FSC-klagomål.docx", "A 5284-2026")</f>
        <v/>
      </c>
      <c r="AB45">
        <f>HYPERLINK("https://klasma.github.io/Logging_2409/klagomålsmail/A 5284-2026 FSC-klagomål mail.docx", "A 5284-2026")</f>
        <v/>
      </c>
      <c r="AC45">
        <f>HYPERLINK("https://klasma.github.io/Logging_2409/tillsyn/A 5284-2026 tillsynsbegäran.docx", "A 5284-2026")</f>
        <v/>
      </c>
      <c r="AD45">
        <f>HYPERLINK("https://klasma.github.io/Logging_2409/tillsynsmail/A 5284-2026 tillsynsbegäran mail.docx", "A 5284-2026")</f>
        <v/>
      </c>
      <c r="AE45">
        <f>HYPERLINK("https://klasma.github.io/Logging_2409/fåglar/A 5284-2026 prioriterade fågelarter.docx", "A 5284-2026")</f>
        <v/>
      </c>
    </row>
    <row r="46" ht="15" customHeight="1">
      <c r="A46" t="inlineStr">
        <is>
          <t>A 5289-2026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46253</v>
      </c>
      <c r="F46" t="inlineStr">
        <is>
          <t>VÄSTERBOTTENS LÄN</t>
        </is>
      </c>
      <c r="G46" t="inlineStr">
        <is>
          <t>ROBERTSFORS</t>
        </is>
      </c>
      <c r="I46" t="n">
        <v>2.1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Björktrast</t>
        </is>
      </c>
      <c r="W46">
        <f>HYPERLINK("https://klasma.github.io/Logging_2409/artfynd/A 5289-2026 artfynd.xlsx", "A 5289-2026")</f>
        <v/>
      </c>
      <c r="X46">
        <f>HYPERLINK("https://klasma.github.io/Logging_2409/kartor/A 5289-2026 karta.png", "A 5289-2026")</f>
        <v/>
      </c>
      <c r="Y46">
        <f>HYPERLINK("https://klasma.github.io/Logging_2409/kartor_geotiff/A 5289-2026 georefererad karta.tif", "A 5289-2026")</f>
        <v/>
      </c>
      <c r="AA46">
        <f>HYPERLINK("https://klasma.github.io/Logging_2409/klagomål/A 5289-2026 FSC-klagomål.docx", "A 5289-2026")</f>
        <v/>
      </c>
      <c r="AB46">
        <f>HYPERLINK("https://klasma.github.io/Logging_2409/klagomålsmail/A 5289-2026 FSC-klagomål mail.docx", "A 5289-2026")</f>
        <v/>
      </c>
      <c r="AC46">
        <f>HYPERLINK("https://klasma.github.io/Logging_2409/tillsyn/A 5289-2026 tillsynsbegäran.docx", "A 5289-2026")</f>
        <v/>
      </c>
      <c r="AD46">
        <f>HYPERLINK("https://klasma.github.io/Logging_2409/tillsynsmail/A 5289-2026 tillsynsbegäran mail.docx", "A 5289-2026")</f>
        <v/>
      </c>
      <c r="AE46">
        <f>HYPERLINK("https://klasma.github.io/Logging_2409/fåglar/A 5289-2026 prioriterade fågelarter.docx", "A 5289-2026")</f>
        <v/>
      </c>
    </row>
    <row r="47" ht="15" customHeight="1">
      <c r="A47" t="inlineStr">
        <is>
          <t>A 30344-2025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46253</v>
      </c>
      <c r="F47" t="inlineStr">
        <is>
          <t>VÄSTERBOTTENS LÄN</t>
        </is>
      </c>
      <c r="G47" t="inlineStr">
        <is>
          <t>ROBERTSFORS</t>
        </is>
      </c>
      <c r="I47" t="n">
        <v>22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HYPERLINK("https://klasma.github.io/Logging_2409/artfynd/A 30344-2025 artfynd.xlsx", "A 30344-2025")</f>
        <v/>
      </c>
      <c r="X47">
        <f>HYPERLINK("https://klasma.github.io/Logging_2409/kartor/A 30344-2025 karta.png", "A 30344-2025")</f>
        <v/>
      </c>
      <c r="Y47">
        <f>HYPERLINK("https://klasma.github.io/Logging_2409/kartor_geotiff/A 30344-2025 georefererad karta.tif", "A 30344-2025")</f>
        <v/>
      </c>
      <c r="AA47">
        <f>HYPERLINK("https://klasma.github.io/Logging_2409/klagomål/A 30344-2025 FSC-klagomål.docx", "A 30344-2025")</f>
        <v/>
      </c>
      <c r="AB47">
        <f>HYPERLINK("https://klasma.github.io/Logging_2409/klagomålsmail/A 30344-2025 FSC-klagomål mail.docx", "A 30344-2025")</f>
        <v/>
      </c>
      <c r="AC47">
        <f>HYPERLINK("https://klasma.github.io/Logging_2409/tillsyn/A 30344-2025 tillsynsbegäran.docx", "A 30344-2025")</f>
        <v/>
      </c>
      <c r="AD47">
        <f>HYPERLINK("https://klasma.github.io/Logging_2409/tillsynsmail/A 30344-2025 tillsynsbegäran mail.docx", "A 30344-2025")</f>
        <v/>
      </c>
      <c r="AE47">
        <f>HYPERLINK("https://klasma.github.io/Logging_2409/fåglar/A 30344-2025 prioriterade fågelarter.docx", "A 30344-2025")</f>
        <v/>
      </c>
    </row>
    <row r="48" ht="15" customHeight="1">
      <c r="A48" t="inlineStr">
        <is>
          <t>A 32263-2025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46253</v>
      </c>
      <c r="F48" t="inlineStr">
        <is>
          <t>VÄSTERBOTTENS LÄN</t>
        </is>
      </c>
      <c r="G48" t="inlineStr">
        <is>
          <t>ROBERTSFORS</t>
        </is>
      </c>
      <c r="I48" t="n">
        <v>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HYPERLINK("https://klasma.github.io/Logging_2409/artfynd/A 32263-2025 artfynd.xlsx", "A 32263-2025")</f>
        <v/>
      </c>
      <c r="X48">
        <f>HYPERLINK("https://klasma.github.io/Logging_2409/kartor/A 32263-2025 karta.png", "A 32263-2025")</f>
        <v/>
      </c>
      <c r="Y48">
        <f>HYPERLINK("https://klasma.github.io/Logging_2409/kartor_geotiff/A 32263-2025 georefererad karta.tif", "A 32263-2025")</f>
        <v/>
      </c>
      <c r="AA48">
        <f>HYPERLINK("https://klasma.github.io/Logging_2409/klagomål/A 32263-2025 FSC-klagomål.docx", "A 32263-2025")</f>
        <v/>
      </c>
      <c r="AB48">
        <f>HYPERLINK("https://klasma.github.io/Logging_2409/klagomålsmail/A 32263-2025 FSC-klagomål mail.docx", "A 32263-2025")</f>
        <v/>
      </c>
      <c r="AC48">
        <f>HYPERLINK("https://klasma.github.io/Logging_2409/tillsyn/A 32263-2025 tillsynsbegäran.docx", "A 32263-2025")</f>
        <v/>
      </c>
      <c r="AD48">
        <f>HYPERLINK("https://klasma.github.io/Logging_2409/tillsynsmail/A 32263-2025 tillsynsbegäran mail.docx", "A 32263-2025")</f>
        <v/>
      </c>
    </row>
    <row r="49" ht="15" customHeight="1">
      <c r="A49" t="inlineStr">
        <is>
          <t>A 57270-2023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46253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57270-2023 artfynd.xlsx", "A 57270-2023")</f>
        <v/>
      </c>
      <c r="X49">
        <f>HYPERLINK("https://klasma.github.io/Logging_2409/kartor/A 57270-2023 karta.png", "A 57270-2023")</f>
        <v/>
      </c>
      <c r="Y49">
        <f>HYPERLINK("https://klasma.github.io/Logging_2409/kartor_geotiff/A 57270-2023 georefererad karta.tif", "A 57270-2023")</f>
        <v/>
      </c>
      <c r="AA49">
        <f>HYPERLINK("https://klasma.github.io/Logging_2409/klagomål/A 57270-2023 FSC-klagomål.docx", "A 57270-2023")</f>
        <v/>
      </c>
      <c r="AB49">
        <f>HYPERLINK("https://klasma.github.io/Logging_2409/klagomålsmail/A 57270-2023 FSC-klagomål mail.docx", "A 57270-2023")</f>
        <v/>
      </c>
      <c r="AC49">
        <f>HYPERLINK("https://klasma.github.io/Logging_2409/tillsyn/A 57270-2023 tillsynsbegäran.docx", "A 57270-2023")</f>
        <v/>
      </c>
      <c r="AD49">
        <f>HYPERLINK("https://klasma.github.io/Logging_2409/tillsynsmail/A 57270-2023 tillsynsbegäran mail.docx", "A 57270-2023")</f>
        <v/>
      </c>
    </row>
    <row r="50" ht="15" customHeight="1">
      <c r="A50" t="inlineStr">
        <is>
          <t>A 34007-2025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45844</v>
      </c>
      <c r="E50" s="1" t="n">
        <v>46253</v>
      </c>
      <c r="F50" t="inlineStr">
        <is>
          <t>VÄSTERBOTTENS LÄN</t>
        </is>
      </c>
      <c r="G50" t="inlineStr">
        <is>
          <t>ROBERTSFORS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Harticka</t>
        </is>
      </c>
      <c r="W50">
        <f>HYPERLINK("https://klasma.github.io/Logging_2409/artfynd/A 34007-2025 artfynd.xlsx", "A 34007-2025")</f>
        <v/>
      </c>
      <c r="X50">
        <f>HYPERLINK("https://klasma.github.io/Logging_2409/kartor/A 34007-2025 karta.png", "A 34007-2025")</f>
        <v/>
      </c>
      <c r="Y50">
        <f>HYPERLINK("https://klasma.github.io/Logging_2409/kartor_geotiff/A 34007-2025 georefererad karta.tif", "A 34007-2025")</f>
        <v/>
      </c>
      <c r="AA50">
        <f>HYPERLINK("https://klasma.github.io/Logging_2409/klagomål/A 34007-2025 FSC-klagomål.docx", "A 34007-2025")</f>
        <v/>
      </c>
      <c r="AB50">
        <f>HYPERLINK("https://klasma.github.io/Logging_2409/klagomålsmail/A 34007-2025 FSC-klagomål mail.docx", "A 34007-2025")</f>
        <v/>
      </c>
      <c r="AC50">
        <f>HYPERLINK("https://klasma.github.io/Logging_2409/tillsyn/A 34007-2025 tillsynsbegäran.docx", "A 34007-2025")</f>
        <v/>
      </c>
      <c r="AD50">
        <f>HYPERLINK("https://klasma.github.io/Logging_2409/tillsynsmail/A 34007-2025 tillsynsbegäran mail.docx", "A 34007-2025")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46253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46253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42891-2023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46253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42891-2023 artfynd.xlsx", "A 42891-2023")</f>
        <v/>
      </c>
      <c r="X53">
        <f>HYPERLINK("https://klasma.github.io/Logging_2409/kartor/A 42891-2023 karta.png", "A 42891-2023")</f>
        <v/>
      </c>
      <c r="Y53">
        <f>HYPERLINK("https://klasma.github.io/Logging_2409/kartor_geotiff/A 42891-2023 georefererad karta.tif", "A 42891-2023")</f>
        <v/>
      </c>
      <c r="AA53">
        <f>HYPERLINK("https://klasma.github.io/Logging_2409/klagomål/A 42891-2023 FSC-klagomål.docx", "A 42891-2023")</f>
        <v/>
      </c>
      <c r="AB53">
        <f>HYPERLINK("https://klasma.github.io/Logging_2409/klagomålsmail/A 42891-2023 FSC-klagomål mail.docx", "A 42891-2023")</f>
        <v/>
      </c>
      <c r="AC53">
        <f>HYPERLINK("https://klasma.github.io/Logging_2409/tillsyn/A 42891-2023 tillsynsbegäran.docx", "A 42891-2023")</f>
        <v/>
      </c>
      <c r="AD53">
        <f>HYPERLINK("https://klasma.github.io/Logging_2409/tillsynsmail/A 42891-2023 tillsynsbegäran mail.docx", "A 42891-2023")</f>
        <v/>
      </c>
    </row>
    <row r="54" ht="15" customHeight="1">
      <c r="A54" t="inlineStr">
        <is>
          <t>A 35551-2025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46253</v>
      </c>
      <c r="F54" t="inlineStr">
        <is>
          <t>VÄSTERBOTTENS LÄN</t>
        </is>
      </c>
      <c r="G54" t="inlineStr">
        <is>
          <t>ROBERTSFORS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HYPERLINK("https://klasma.github.io/Logging_2409/artfynd/A 35551-2025 artfynd.xlsx", "A 35551-2025")</f>
        <v/>
      </c>
      <c r="X54">
        <f>HYPERLINK("https://klasma.github.io/Logging_2409/kartor/A 35551-2025 karta.png", "A 35551-2025")</f>
        <v/>
      </c>
      <c r="Y54">
        <f>HYPERLINK("https://klasma.github.io/Logging_2409/kartor_geotiff/A 35551-2025 georefererad karta.tif", "A 35551-2025")</f>
        <v/>
      </c>
      <c r="AA54">
        <f>HYPERLINK("https://klasma.github.io/Logging_2409/klagomål/A 35551-2025 FSC-klagomål.docx", "A 35551-2025")</f>
        <v/>
      </c>
      <c r="AB54">
        <f>HYPERLINK("https://klasma.github.io/Logging_2409/klagomålsmail/A 35551-2025 FSC-klagomål mail.docx", "A 35551-2025")</f>
        <v/>
      </c>
      <c r="AC54">
        <f>HYPERLINK("https://klasma.github.io/Logging_2409/tillsyn/A 35551-2025 tillsynsbegäran.docx", "A 35551-2025")</f>
        <v/>
      </c>
      <c r="AD54">
        <f>HYPERLINK("https://klasma.github.io/Logging_2409/tillsynsmail/A 35551-2025 tillsynsbegäran mail.docx", "A 35551-2025")</f>
        <v/>
      </c>
      <c r="AE54">
        <f>HYPERLINK("https://klasma.github.io/Logging_2409/fåglar/A 35551-2025 prioriterade fågelarter.docx", "A 35551-2025")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46253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36703-2023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45153</v>
      </c>
      <c r="E56" s="1" t="n">
        <v>46253</v>
      </c>
      <c r="F56" t="inlineStr">
        <is>
          <t>VÄSTERBOTTENS LÄN</t>
        </is>
      </c>
      <c r="G56" t="inlineStr">
        <is>
          <t>ROBERTSFORS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Tallkötticka</t>
        </is>
      </c>
      <c r="W56">
        <f>HYPERLINK("https://klasma.github.io/Logging_2409/artfynd/A 36703-2023 artfynd.xlsx", "A 36703-2023")</f>
        <v/>
      </c>
      <c r="X56">
        <f>HYPERLINK("https://klasma.github.io/Logging_2409/kartor/A 36703-2023 karta.png", "A 36703-2023")</f>
        <v/>
      </c>
      <c r="Y56">
        <f>HYPERLINK("https://klasma.github.io/Logging_2409/kartor_geotiff/A 36703-2023 georefererad karta.tif", "A 36703-2023")</f>
        <v/>
      </c>
      <c r="AA56">
        <f>HYPERLINK("https://klasma.github.io/Logging_2409/klagomål/A 36703-2023 FSC-klagomål.docx", "A 36703-2023")</f>
        <v/>
      </c>
      <c r="AB56">
        <f>HYPERLINK("https://klasma.github.io/Logging_2409/klagomålsmail/A 36703-2023 FSC-klagomål mail.docx", "A 36703-2023")</f>
        <v/>
      </c>
      <c r="AC56">
        <f>HYPERLINK("https://klasma.github.io/Logging_2409/tillsyn/A 36703-2023 tillsynsbegäran.docx", "A 36703-2023")</f>
        <v/>
      </c>
      <c r="AD56">
        <f>HYPERLINK("https://klasma.github.io/Logging_2409/tillsynsmail/A 36703-2023 tillsynsbegäran mail.docx", "A 36703-2023")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46253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10145-2025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46253</v>
      </c>
      <c r="F58" t="inlineStr">
        <is>
          <t>VÄSTERBOTTENS LÄN</t>
        </is>
      </c>
      <c r="G58" t="inlineStr">
        <is>
          <t>ROBERTSFORS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HYPERLINK("https://klasma.github.io/Logging_2409/artfynd/A 10145-2025 artfynd.xlsx", "A 10145-2025")</f>
        <v/>
      </c>
      <c r="X58">
        <f>HYPERLINK("https://klasma.github.io/Logging_2409/kartor/A 10145-2025 karta.png", "A 10145-2025")</f>
        <v/>
      </c>
      <c r="Y58">
        <f>HYPERLINK("https://klasma.github.io/Logging_2409/kartor_geotiff/A 10145-2025 georefererad karta.tif", "A 10145-2025")</f>
        <v/>
      </c>
      <c r="AA58">
        <f>HYPERLINK("https://klasma.github.io/Logging_2409/klagomål/A 10145-2025 FSC-klagomål.docx", "A 10145-2025")</f>
        <v/>
      </c>
      <c r="AB58">
        <f>HYPERLINK("https://klasma.github.io/Logging_2409/klagomålsmail/A 10145-2025 FSC-klagomål mail.docx", "A 10145-2025")</f>
        <v/>
      </c>
      <c r="AC58">
        <f>HYPERLINK("https://klasma.github.io/Logging_2409/tillsyn/A 10145-2025 tillsynsbegäran.docx", "A 10145-2025")</f>
        <v/>
      </c>
      <c r="AD58">
        <f>HYPERLINK("https://klasma.github.io/Logging_2409/tillsynsmail/A 10145-2025 tillsynsbegäran mail.docx", "A 10145-2025")</f>
        <v/>
      </c>
    </row>
    <row r="59" ht="15" customHeight="1">
      <c r="A59" t="inlineStr">
        <is>
          <t>A 8753-2025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45712</v>
      </c>
      <c r="E59" s="1" t="n">
        <v>46253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Kommuner</t>
        </is>
      </c>
      <c r="I59" t="n">
        <v>8.1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HYPERLINK("https://klasma.github.io/Logging_2409/artfynd/A 8753-2025 artfynd.xlsx", "A 8753-2025")</f>
        <v/>
      </c>
      <c r="X59">
        <f>HYPERLINK("https://klasma.github.io/Logging_2409/kartor/A 8753-2025 karta.png", "A 8753-2025")</f>
        <v/>
      </c>
      <c r="Y59">
        <f>HYPERLINK("https://klasma.github.io/Logging_2409/kartor_geotiff/A 8753-2025 georefererad karta.tif", "A 8753-2025")</f>
        <v/>
      </c>
      <c r="AA59">
        <f>HYPERLINK("https://klasma.github.io/Logging_2409/klagomål/A 8753-2025 FSC-klagomål.docx", "A 8753-2025")</f>
        <v/>
      </c>
      <c r="AB59">
        <f>HYPERLINK("https://klasma.github.io/Logging_2409/klagomålsmail/A 8753-2025 FSC-klagomål mail.docx", "A 8753-2025")</f>
        <v/>
      </c>
      <c r="AC59">
        <f>HYPERLINK("https://klasma.github.io/Logging_2409/tillsyn/A 8753-2025 tillsynsbegäran.docx", "A 8753-2025")</f>
        <v/>
      </c>
      <c r="AD59">
        <f>HYPERLINK("https://klasma.github.io/Logging_2409/tillsynsmail/A 8753-2025 tillsynsbegäran mail.docx", "A 8753-2025")</f>
        <v/>
      </c>
    </row>
    <row r="60" ht="15" customHeight="1">
      <c r="A60" t="inlineStr">
        <is>
          <t>A 52723-2025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46253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HYPERLINK("https://klasma.github.io/Logging_2409/artfynd/A 52723-2025 artfynd.xlsx", "A 52723-2025")</f>
        <v/>
      </c>
      <c r="X60">
        <f>HYPERLINK("https://klasma.github.io/Logging_2409/kartor/A 52723-2025 karta.png", "A 52723-2025")</f>
        <v/>
      </c>
      <c r="Y60">
        <f>HYPERLINK("https://klasma.github.io/Logging_2409/kartor_geotiff/A 52723-2025 georefererad karta.tif", "A 52723-2025")</f>
        <v/>
      </c>
      <c r="AA60">
        <f>HYPERLINK("https://klasma.github.io/Logging_2409/klagomål/A 52723-2025 FSC-klagomål.docx", "A 52723-2025")</f>
        <v/>
      </c>
      <c r="AB60">
        <f>HYPERLINK("https://klasma.github.io/Logging_2409/klagomålsmail/A 52723-2025 FSC-klagomål mail.docx", "A 52723-2025")</f>
        <v/>
      </c>
      <c r="AC60">
        <f>HYPERLINK("https://klasma.github.io/Logging_2409/tillsyn/A 52723-2025 tillsynsbegäran.docx", "A 52723-2025")</f>
        <v/>
      </c>
      <c r="AD60">
        <f>HYPERLINK("https://klasma.github.io/Logging_2409/tillsynsmail/A 52723-2025 tillsynsbegäran mail.docx", "A 52723-2025")</f>
        <v/>
      </c>
      <c r="AE60">
        <f>HYPERLINK("https://klasma.github.io/Logging_2409/fåglar/A 52723-2025 prioriterade fågelarter.docx", "A 52723-2025")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46253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46253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46253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29583-2026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46253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SCA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Björksplintborre</t>
        </is>
      </c>
      <c r="W64">
        <f>HYPERLINK("https://klasma.github.io/Logging_2409/artfynd/A 29583-2026 artfynd.xlsx", "A 29583-2026")</f>
        <v/>
      </c>
      <c r="X64">
        <f>HYPERLINK("https://klasma.github.io/Logging_2409/kartor/A 29583-2026 karta.png", "A 29583-2026")</f>
        <v/>
      </c>
      <c r="Y64">
        <f>HYPERLINK("https://klasma.github.io/Logging_2409/kartor_geotiff/A 29583-2026 georefererad karta.tif", "A 29583-2026")</f>
        <v/>
      </c>
      <c r="AA64">
        <f>HYPERLINK("https://klasma.github.io/Logging_2409/klagomål/A 29583-2026 FSC-klagomål.docx", "A 29583-2026")</f>
        <v/>
      </c>
      <c r="AB64">
        <f>HYPERLINK("https://klasma.github.io/Logging_2409/klagomålsmail/A 29583-2026 FSC-klagomål mail.docx", "A 29583-2026")</f>
        <v/>
      </c>
      <c r="AC64">
        <f>HYPERLINK("https://klasma.github.io/Logging_2409/tillsyn/A 29583-2026 tillsynsbegäran.docx", "A 29583-2026")</f>
        <v/>
      </c>
      <c r="AD64">
        <f>HYPERLINK("https://klasma.github.io/Logging_2409/tillsynsmail/A 29583-2026 tillsynsbegäran mail.docx", "A 29583-2026")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46253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46253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46253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46253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46253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46253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46253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46253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46253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46253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46253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46253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46253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46253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46253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46253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46253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46253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46253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46253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46253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46253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46253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46253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46253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46253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46253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46253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44795</v>
      </c>
      <c r="E93" s="1" t="n">
        <v>46253</v>
      </c>
      <c r="F93" t="inlineStr">
        <is>
          <t>VÄSTERBOTTENS LÄN</t>
        </is>
      </c>
      <c r="G93" t="inlineStr">
        <is>
          <t>ROBERTSFORS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46253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46253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46253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46253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46253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46253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46253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46253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46253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46253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46253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46253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46253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46253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46253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46253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46253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46253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46253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46253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46253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46253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46253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46253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46253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46253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46253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46253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46253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46253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46253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46253</v>
      </c>
      <c r="F128" t="inlineStr">
        <is>
          <t>VÄSTERBOTTENS LÄN</t>
        </is>
      </c>
      <c r="G128" t="inlineStr">
        <is>
          <t>ROBERTSFORS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46253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46253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46253</v>
      </c>
      <c r="F131" t="inlineStr">
        <is>
          <t>VÄSTERBOTTENS LÄN</t>
        </is>
      </c>
      <c r="G131" t="inlineStr">
        <is>
          <t>ROBERTSFORS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46253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46253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46253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46253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46253</v>
      </c>
      <c r="F136" t="inlineStr">
        <is>
          <t>VÄSTERBOTTENS LÄN</t>
        </is>
      </c>
      <c r="G136" t="inlineStr">
        <is>
          <t>ROBERTSFORS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46253</v>
      </c>
      <c r="F137" t="inlineStr">
        <is>
          <t>VÄSTERBOTTENS LÄN</t>
        </is>
      </c>
      <c r="G137" t="inlineStr">
        <is>
          <t>ROBERTSFORS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46253</v>
      </c>
      <c r="F138" t="inlineStr">
        <is>
          <t>VÄSTERBOTTENS LÄN</t>
        </is>
      </c>
      <c r="G138" t="inlineStr">
        <is>
          <t>ROBERTSFORS</t>
        </is>
      </c>
      <c r="I138" t="n">
        <v>15.3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46253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46253</v>
      </c>
      <c r="F140" t="inlineStr">
        <is>
          <t>VÄSTERBOTTENS LÄN</t>
        </is>
      </c>
      <c r="G140" t="inlineStr">
        <is>
          <t>ROBERTSFORS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46253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SCA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46253</v>
      </c>
      <c r="F142" t="inlineStr">
        <is>
          <t>VÄSTERBOTTENS LÄN</t>
        </is>
      </c>
      <c r="G142" t="inlineStr">
        <is>
          <t>ROBERTSFORS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46253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46253</v>
      </c>
      <c r="F144" t="inlineStr">
        <is>
          <t>VÄSTERBOTTENS LÄN</t>
        </is>
      </c>
      <c r="G144" t="inlineStr">
        <is>
          <t>ROBERTSFORS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46253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44913</v>
      </c>
      <c r="E146" s="1" t="n">
        <v>46253</v>
      </c>
      <c r="F146" t="inlineStr">
        <is>
          <t>VÄSTERBOTTENS LÄN</t>
        </is>
      </c>
      <c r="G146" t="inlineStr">
        <is>
          <t>ROBERTSFORS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46253</v>
      </c>
      <c r="F147" t="inlineStr">
        <is>
          <t>VÄSTERBOTTENS LÄN</t>
        </is>
      </c>
      <c r="G147" t="inlineStr">
        <is>
          <t>ROBERTSFORS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44876</v>
      </c>
      <c r="E148" s="1" t="n">
        <v>46253</v>
      </c>
      <c r="F148" t="inlineStr">
        <is>
          <t>VÄSTERBOTTENS LÄN</t>
        </is>
      </c>
      <c r="G148" t="inlineStr">
        <is>
          <t>ROBERTSFORS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45160</v>
      </c>
      <c r="E149" s="1" t="n">
        <v>46253</v>
      </c>
      <c r="F149" t="inlineStr">
        <is>
          <t>VÄSTERBOTTENS LÄN</t>
        </is>
      </c>
      <c r="G149" t="inlineStr">
        <is>
          <t>ROBERTSFORS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46253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44901</v>
      </c>
      <c r="E151" s="1" t="n">
        <v>46253</v>
      </c>
      <c r="F151" t="inlineStr">
        <is>
          <t>VÄSTERBOTTENS LÄN</t>
        </is>
      </c>
      <c r="G151" t="inlineStr">
        <is>
          <t>ROBERTSFORS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9135-2024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45357</v>
      </c>
      <c r="E152" s="1" t="n">
        <v>46253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54366-2024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45617</v>
      </c>
      <c r="E153" s="1" t="n">
        <v>46253</v>
      </c>
      <c r="F153" t="inlineStr">
        <is>
          <t>VÄSTERBOTTENS LÄN</t>
        </is>
      </c>
      <c r="G153" t="inlineStr">
        <is>
          <t>ROBERTSFORS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46253</v>
      </c>
      <c r="F154" t="inlineStr">
        <is>
          <t>VÄSTERBOTTENS LÄN</t>
        </is>
      </c>
      <c r="G154" t="inlineStr">
        <is>
          <t>ROBERTSFORS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46253</v>
      </c>
      <c r="F155" t="inlineStr">
        <is>
          <t>VÄSTERBOTTENS LÄN</t>
        </is>
      </c>
      <c r="G155" t="inlineStr">
        <is>
          <t>ROBERTSFORS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46253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46253</v>
      </c>
      <c r="F157" t="inlineStr">
        <is>
          <t>VÄSTERBOTTENS LÄN</t>
        </is>
      </c>
      <c r="G157" t="inlineStr">
        <is>
          <t>ROBERTSFORS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28330-2025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45818</v>
      </c>
      <c r="E158" s="1" t="n">
        <v>46253</v>
      </c>
      <c r="F158" t="inlineStr">
        <is>
          <t>VÄSTERBOTTENS LÄN</t>
        </is>
      </c>
      <c r="G158" t="inlineStr">
        <is>
          <t>ROBERTSFORS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46253</v>
      </c>
      <c r="F159" t="inlineStr">
        <is>
          <t>VÄSTERBOTTENS LÄN</t>
        </is>
      </c>
      <c r="G159" t="inlineStr">
        <is>
          <t>ROBERTSFORS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46253</v>
      </c>
      <c r="F160" t="inlineStr">
        <is>
          <t>VÄSTERBOTTENS LÄN</t>
        </is>
      </c>
      <c r="G160" t="inlineStr">
        <is>
          <t>ROBERTSFORS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46253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46253</v>
      </c>
      <c r="F162" t="inlineStr">
        <is>
          <t>VÄSTERBOTTENS LÄN</t>
        </is>
      </c>
      <c r="G162" t="inlineStr">
        <is>
          <t>ROBERTSFORS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46253</v>
      </c>
      <c r="F163" t="inlineStr">
        <is>
          <t>VÄSTERBOTTENS LÄN</t>
        </is>
      </c>
      <c r="G163" t="inlineStr">
        <is>
          <t>ROBERTSFORS</t>
        </is>
      </c>
      <c r="I163" t="n">
        <v>9.9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45496</v>
      </c>
      <c r="E164" s="1" t="n">
        <v>46253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46050</v>
      </c>
      <c r="E165" s="1" t="n">
        <v>46253</v>
      </c>
      <c r="F165" t="inlineStr">
        <is>
          <t>VÄSTERBOTTENS LÄN</t>
        </is>
      </c>
      <c r="G165" t="inlineStr">
        <is>
          <t>ROBERTSFORS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46050</v>
      </c>
      <c r="E166" s="1" t="n">
        <v>46253</v>
      </c>
      <c r="F166" t="inlineStr">
        <is>
          <t>VÄSTERBOTTENS LÄN</t>
        </is>
      </c>
      <c r="G166" t="inlineStr">
        <is>
          <t>ROBERTSFORS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46253</v>
      </c>
      <c r="F167" t="inlineStr">
        <is>
          <t>VÄSTERBOTTENS LÄN</t>
        </is>
      </c>
      <c r="G167" t="inlineStr">
        <is>
          <t>ROBERTSFORS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46253</v>
      </c>
      <c r="F168" t="inlineStr">
        <is>
          <t>VÄSTERBOTTENS LÄN</t>
        </is>
      </c>
      <c r="G168" t="inlineStr">
        <is>
          <t>ROBERTSFORS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45627</v>
      </c>
      <c r="E169" s="1" t="n">
        <v>46253</v>
      </c>
      <c r="F169" t="inlineStr">
        <is>
          <t>VÄSTERBOTTENS LÄN</t>
        </is>
      </c>
      <c r="G169" t="inlineStr">
        <is>
          <t>ROBERTSFORS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46253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46253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46253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46253</v>
      </c>
      <c r="F173" t="inlineStr">
        <is>
          <t>VÄSTERBOTTENS LÄN</t>
        </is>
      </c>
      <c r="G173" t="inlineStr">
        <is>
          <t>ROBERTSFORS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46253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39982-2025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45893</v>
      </c>
      <c r="E175" s="1" t="n">
        <v>46253</v>
      </c>
      <c r="F175" t="inlineStr">
        <is>
          <t>VÄSTERBOTTENS LÄN</t>
        </is>
      </c>
      <c r="G175" t="inlineStr">
        <is>
          <t>ROBERTSFORS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46253</v>
      </c>
      <c r="F176" t="inlineStr">
        <is>
          <t>VÄSTERBOTTENS LÄN</t>
        </is>
      </c>
      <c r="G176" t="inlineStr">
        <is>
          <t>ROBERTSFORS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46253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46253</v>
      </c>
      <c r="F178" t="inlineStr">
        <is>
          <t>VÄSTERBOTTENS LÄN</t>
        </is>
      </c>
      <c r="G178" t="inlineStr">
        <is>
          <t>ROBERTSFORS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46253</v>
      </c>
      <c r="F179" t="inlineStr">
        <is>
          <t>VÄSTERBOTTENS LÄN</t>
        </is>
      </c>
      <c r="G179" t="inlineStr">
        <is>
          <t>ROBERTSFORS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46253</v>
      </c>
      <c r="F180" t="inlineStr">
        <is>
          <t>VÄSTERBOTTENS LÄN</t>
        </is>
      </c>
      <c r="G180" t="inlineStr">
        <is>
          <t>ROBERTSFORS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46253</v>
      </c>
      <c r="F181" t="inlineStr">
        <is>
          <t>VÄSTERBOTTENS LÄN</t>
        </is>
      </c>
      <c r="G181" t="inlineStr">
        <is>
          <t>ROBERTSFORS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45896</v>
      </c>
      <c r="E182" s="1" t="n">
        <v>46253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44732</v>
      </c>
      <c r="E183" s="1" t="n">
        <v>46253</v>
      </c>
      <c r="F183" t="inlineStr">
        <is>
          <t>VÄSTERBOTTENS LÄN</t>
        </is>
      </c>
      <c r="G183" t="inlineStr">
        <is>
          <t>ROBERTSFORS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46253</v>
      </c>
      <c r="F184" t="inlineStr">
        <is>
          <t>VÄSTERBOTTENS LÄN</t>
        </is>
      </c>
      <c r="G184" t="inlineStr">
        <is>
          <t>ROBERTSFORS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8484-2026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46065</v>
      </c>
      <c r="E185" s="1" t="n">
        <v>46253</v>
      </c>
      <c r="F185" t="inlineStr">
        <is>
          <t>VÄSTERBOTTENS LÄN</t>
        </is>
      </c>
      <c r="G185" t="inlineStr">
        <is>
          <t>ROBERTSFORS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46253</v>
      </c>
      <c r="F186" t="inlineStr">
        <is>
          <t>VÄSTERBOTTENS LÄN</t>
        </is>
      </c>
      <c r="G186" t="inlineStr">
        <is>
          <t>ROBERTSFORS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46253</v>
      </c>
      <c r="F187" t="inlineStr">
        <is>
          <t>VÄSTERBOTTENS LÄN</t>
        </is>
      </c>
      <c r="G187" t="inlineStr">
        <is>
          <t>ROBERTSFORS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46253</v>
      </c>
      <c r="F188" t="inlineStr">
        <is>
          <t>VÄSTERBOTTENS LÄN</t>
        </is>
      </c>
      <c r="G188" t="inlineStr">
        <is>
          <t>ROBERTSFORS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46253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46253</v>
      </c>
      <c r="F190" t="inlineStr">
        <is>
          <t>VÄSTERBOTTENS LÄN</t>
        </is>
      </c>
      <c r="G190" t="inlineStr">
        <is>
          <t>ROBERTSFORS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46253</v>
      </c>
      <c r="F191" t="inlineStr">
        <is>
          <t>VÄSTERBOTTENS LÄN</t>
        </is>
      </c>
      <c r="G191" t="inlineStr">
        <is>
          <t>ROBERTSFORS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41269-2024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45559</v>
      </c>
      <c r="E192" s="1" t="n">
        <v>46253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46253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46253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45712</v>
      </c>
      <c r="E195" s="1" t="n">
        <v>46253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46253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46253</v>
      </c>
      <c r="F197" t="inlineStr">
        <is>
          <t>VÄSTERBOTTENS LÄN</t>
        </is>
      </c>
      <c r="G197" t="inlineStr">
        <is>
          <t>ROBERTSFORS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46253</v>
      </c>
      <c r="F198" t="inlineStr">
        <is>
          <t>VÄSTERBOTTENS LÄN</t>
        </is>
      </c>
      <c r="G198" t="inlineStr">
        <is>
          <t>ROBERTSFORS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46253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46253</v>
      </c>
      <c r="F200" t="inlineStr">
        <is>
          <t>VÄSTERBOTTENS LÄN</t>
        </is>
      </c>
      <c r="G200" t="inlineStr">
        <is>
          <t>ROBERTSFORS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46253</v>
      </c>
      <c r="F201" t="inlineStr">
        <is>
          <t>VÄSTERBOTTENS LÄN</t>
        </is>
      </c>
      <c r="G201" t="inlineStr">
        <is>
          <t>ROBERTSFORS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46253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46253</v>
      </c>
      <c r="F203" t="inlineStr">
        <is>
          <t>VÄSTERBOTTENS LÄN</t>
        </is>
      </c>
      <c r="G203" t="inlineStr">
        <is>
          <t>ROBERTSFORS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46253</v>
      </c>
      <c r="F204" t="inlineStr">
        <is>
          <t>VÄSTERBOTTENS LÄN</t>
        </is>
      </c>
      <c r="G204" t="inlineStr">
        <is>
          <t>ROBERTSFORS</t>
        </is>
      </c>
      <c r="I204" t="n">
        <v>12.7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46253</v>
      </c>
      <c r="F205" t="inlineStr">
        <is>
          <t>VÄSTERBOTTENS LÄN</t>
        </is>
      </c>
      <c r="G205" t="inlineStr">
        <is>
          <t>ROBERTSFORS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46253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46253</v>
      </c>
      <c r="F207" t="inlineStr">
        <is>
          <t>VÄSTERBOTTENS LÄN</t>
        </is>
      </c>
      <c r="G207" t="inlineStr">
        <is>
          <t>ROBERTSFORS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46253</v>
      </c>
      <c r="F208" t="inlineStr">
        <is>
          <t>VÄSTERBOTTENS LÄN</t>
        </is>
      </c>
      <c r="G208" t="inlineStr">
        <is>
          <t>ROBERTSFORS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45671</v>
      </c>
      <c r="E209" s="1" t="n">
        <v>46253</v>
      </c>
      <c r="F209" t="inlineStr">
        <is>
          <t>VÄSTERBOTTENS LÄN</t>
        </is>
      </c>
      <c r="G209" t="inlineStr">
        <is>
          <t>ROBERTSFORS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44960</v>
      </c>
      <c r="E210" s="1" t="n">
        <v>46253</v>
      </c>
      <c r="F210" t="inlineStr">
        <is>
          <t>VÄSTERBOTTENS LÄN</t>
        </is>
      </c>
      <c r="G210" t="inlineStr">
        <is>
          <t>ROBERTSFORS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44960</v>
      </c>
      <c r="E211" s="1" t="n">
        <v>46253</v>
      </c>
      <c r="F211" t="inlineStr">
        <is>
          <t>VÄSTERBOTTENS LÄN</t>
        </is>
      </c>
      <c r="G211" t="inlineStr">
        <is>
          <t>ROBERTSFORS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46253</v>
      </c>
      <c r="F212" t="inlineStr">
        <is>
          <t>VÄSTERBOTTENS LÄN</t>
        </is>
      </c>
      <c r="G212" t="inlineStr">
        <is>
          <t>ROBERTSFORS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46253</v>
      </c>
      <c r="F213" t="inlineStr">
        <is>
          <t>VÄSTERBOTTENS LÄN</t>
        </is>
      </c>
      <c r="G213" t="inlineStr">
        <is>
          <t>ROBERTSFORS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45079</v>
      </c>
      <c r="E214" s="1" t="n">
        <v>46253</v>
      </c>
      <c r="F214" t="inlineStr">
        <is>
          <t>VÄSTERBOTTENS LÄN</t>
        </is>
      </c>
      <c r="G214" t="inlineStr">
        <is>
          <t>ROBERTSFORS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45565</v>
      </c>
      <c r="E215" s="1" t="n">
        <v>46253</v>
      </c>
      <c r="F215" t="inlineStr">
        <is>
          <t>VÄSTERBOTTENS LÄN</t>
        </is>
      </c>
      <c r="G215" t="inlineStr">
        <is>
          <t>ROBERTSFORS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44130-2025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45915</v>
      </c>
      <c r="E216" s="1" t="n">
        <v>46253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45020</v>
      </c>
      <c r="E217" s="1" t="n">
        <v>46253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Sveaskog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46253</v>
      </c>
      <c r="F218" t="inlineStr">
        <is>
          <t>VÄSTERBOTTENS LÄN</t>
        </is>
      </c>
      <c r="G218" t="inlineStr">
        <is>
          <t>ROBERTSFORS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45841</v>
      </c>
      <c r="E219" s="1" t="n">
        <v>46253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65771-2021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44516</v>
      </c>
      <c r="E220" s="1" t="n">
        <v>46253</v>
      </c>
      <c r="F220" t="inlineStr">
        <is>
          <t>VÄSTERBOTTENS LÄN</t>
        </is>
      </c>
      <c r="G220" t="inlineStr">
        <is>
          <t>ROBERTSFORS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46253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48259-2023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45205</v>
      </c>
      <c r="E222" s="1" t="n">
        <v>46253</v>
      </c>
      <c r="F222" t="inlineStr">
        <is>
          <t>VÄSTERBOTTENS LÄN</t>
        </is>
      </c>
      <c r="G222" t="inlineStr">
        <is>
          <t>ROBERTSFORS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46253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33375-2025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45841</v>
      </c>
      <c r="E224" s="1" t="n">
        <v>46253</v>
      </c>
      <c r="F224" t="inlineStr">
        <is>
          <t>VÄSTERBOTTENS LÄN</t>
        </is>
      </c>
      <c r="G224" t="inlineStr">
        <is>
          <t>ROBERTSFORS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46253</v>
      </c>
      <c r="F225" t="inlineStr">
        <is>
          <t>VÄSTERBOTTENS LÄN</t>
        </is>
      </c>
      <c r="G225" t="inlineStr">
        <is>
          <t>ROBERTSFORS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46168-2025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45924</v>
      </c>
      <c r="E226" s="1" t="n">
        <v>46253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46253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46253</v>
      </c>
      <c r="F228" t="inlineStr">
        <is>
          <t>VÄSTERBOTTENS LÄN</t>
        </is>
      </c>
      <c r="G228" t="inlineStr">
        <is>
          <t>ROBERTSFORS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46253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45667</v>
      </c>
      <c r="E230" s="1" t="n">
        <v>46253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46253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46253</v>
      </c>
      <c r="F232" t="inlineStr">
        <is>
          <t>VÄSTERBOTTENS LÄN</t>
        </is>
      </c>
      <c r="G232" t="inlineStr">
        <is>
          <t>ROBERTSFORS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46253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45661</v>
      </c>
      <c r="E234" s="1" t="n">
        <v>46253</v>
      </c>
      <c r="F234" t="inlineStr">
        <is>
          <t>VÄSTERBOTTENS LÄN</t>
        </is>
      </c>
      <c r="G234" t="inlineStr">
        <is>
          <t>ROBERTSFORS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46253</v>
      </c>
      <c r="F235" t="inlineStr">
        <is>
          <t>VÄSTERBOTTENS LÄN</t>
        </is>
      </c>
      <c r="G235" t="inlineStr">
        <is>
          <t>ROBERTSFORS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46253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46253</v>
      </c>
      <c r="F237" t="inlineStr">
        <is>
          <t>VÄSTERBOTTENS LÄN</t>
        </is>
      </c>
      <c r="G237" t="inlineStr">
        <is>
          <t>ROBERTSFORS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46253</v>
      </c>
      <c r="F238" t="inlineStr">
        <is>
          <t>VÄSTERBOTTENS LÄN</t>
        </is>
      </c>
      <c r="G238" t="inlineStr">
        <is>
          <t>ROBERTSFORS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45033</v>
      </c>
      <c r="E239" s="1" t="n">
        <v>46253</v>
      </c>
      <c r="F239" t="inlineStr">
        <is>
          <t>VÄSTERBOTTENS LÄN</t>
        </is>
      </c>
      <c r="G239" t="inlineStr">
        <is>
          <t>ROBERTSFORS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46104</v>
      </c>
      <c r="E240" s="1" t="n">
        <v>46253</v>
      </c>
      <c r="F240" t="inlineStr">
        <is>
          <t>VÄSTERBOTTENS LÄN</t>
        </is>
      </c>
      <c r="G240" t="inlineStr">
        <is>
          <t>ROBERTSFORS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46253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46253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45458</v>
      </c>
      <c r="E243" s="1" t="n">
        <v>46253</v>
      </c>
      <c r="F243" t="inlineStr">
        <is>
          <t>VÄSTERBOTTENS LÄN</t>
        </is>
      </c>
      <c r="G243" t="inlineStr">
        <is>
          <t>ROBERTSFORS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45205</v>
      </c>
      <c r="E244" s="1" t="n">
        <v>46253</v>
      </c>
      <c r="F244" t="inlineStr">
        <is>
          <t>VÄSTERBOTTENS LÄN</t>
        </is>
      </c>
      <c r="G244" t="inlineStr">
        <is>
          <t>ROBERTSFORS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46253</v>
      </c>
      <c r="F245" t="inlineStr">
        <is>
          <t>VÄSTERBOTTENS LÄN</t>
        </is>
      </c>
      <c r="G245" t="inlineStr">
        <is>
          <t>ROBERTSFORS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45692</v>
      </c>
      <c r="E246" s="1" t="n">
        <v>46253</v>
      </c>
      <c r="F246" t="inlineStr">
        <is>
          <t>VÄSTERBOTTENS LÄN</t>
        </is>
      </c>
      <c r="G246" t="inlineStr">
        <is>
          <t>ROBERTSFORS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45182</v>
      </c>
      <c r="E247" s="1" t="n">
        <v>46253</v>
      </c>
      <c r="F247" t="inlineStr">
        <is>
          <t>VÄSTERBOTTENS LÄN</t>
        </is>
      </c>
      <c r="G247" t="inlineStr">
        <is>
          <t>ROBERTSFORS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46253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46253</v>
      </c>
      <c r="F249" t="inlineStr">
        <is>
          <t>VÄSTERBOTTENS LÄN</t>
        </is>
      </c>
      <c r="G249" t="inlineStr">
        <is>
          <t>ROBERTSFORS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46253</v>
      </c>
      <c r="F250" t="inlineStr">
        <is>
          <t>VÄSTERBOTTENS LÄN</t>
        </is>
      </c>
      <c r="G250" t="inlineStr">
        <is>
          <t>ROBERTSFORS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46253</v>
      </c>
      <c r="F251" t="inlineStr">
        <is>
          <t>VÄSTERBOTTENS LÄN</t>
        </is>
      </c>
      <c r="G251" t="inlineStr">
        <is>
          <t>ROBERTSFORS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46253</v>
      </c>
      <c r="F252" t="inlineStr">
        <is>
          <t>VÄSTERBOTTENS LÄN</t>
        </is>
      </c>
      <c r="G252" t="inlineStr">
        <is>
          <t>ROBERTSFORS</t>
        </is>
      </c>
      <c r="I252" t="n">
        <v>11.5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45856</v>
      </c>
      <c r="E253" s="1" t="n">
        <v>46253</v>
      </c>
      <c r="F253" t="inlineStr">
        <is>
          <t>VÄSTERBOTTENS LÄN</t>
        </is>
      </c>
      <c r="G253" t="inlineStr">
        <is>
          <t>ROBERTSFORS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45782</v>
      </c>
      <c r="E254" s="1" t="n">
        <v>46253</v>
      </c>
      <c r="F254" t="inlineStr">
        <is>
          <t>VÄSTERBOTTENS LÄN</t>
        </is>
      </c>
      <c r="G254" t="inlineStr">
        <is>
          <t>ROBERTSFORS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45856</v>
      </c>
      <c r="E255" s="1" t="n">
        <v>46253</v>
      </c>
      <c r="F255" t="inlineStr">
        <is>
          <t>VÄSTERBOTTENS LÄN</t>
        </is>
      </c>
      <c r="G255" t="inlineStr">
        <is>
          <t>ROBERTSFORS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45176</v>
      </c>
      <c r="E256" s="1" t="n">
        <v>46253</v>
      </c>
      <c r="F256" t="inlineStr">
        <is>
          <t>VÄSTERBOTTENS LÄN</t>
        </is>
      </c>
      <c r="G256" t="inlineStr">
        <is>
          <t>ROBERTSFORS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45687</v>
      </c>
      <c r="E257" s="1" t="n">
        <v>46253</v>
      </c>
      <c r="F257" t="inlineStr">
        <is>
          <t>VÄSTERBOTTENS LÄN</t>
        </is>
      </c>
      <c r="G257" t="inlineStr">
        <is>
          <t>ROBERTSFORS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46253</v>
      </c>
      <c r="F258" t="inlineStr">
        <is>
          <t>VÄSTERBOTTENS LÄN</t>
        </is>
      </c>
      <c r="G258" t="inlineStr">
        <is>
          <t>ROBERTSFORS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45789</v>
      </c>
      <c r="E259" s="1" t="n">
        <v>46253</v>
      </c>
      <c r="F259" t="inlineStr">
        <is>
          <t>VÄSTERBOTTENS LÄN</t>
        </is>
      </c>
      <c r="G259" t="inlineStr">
        <is>
          <t>ROBERTSFORS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45005</v>
      </c>
      <c r="E260" s="1" t="n">
        <v>46253</v>
      </c>
      <c r="F260" t="inlineStr">
        <is>
          <t>VÄSTERBOTTENS LÄN</t>
        </is>
      </c>
      <c r="G260" t="inlineStr">
        <is>
          <t>ROBERTSFORS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46253</v>
      </c>
      <c r="F261" t="inlineStr">
        <is>
          <t>VÄSTERBOTTENS LÄN</t>
        </is>
      </c>
      <c r="G261" t="inlineStr">
        <is>
          <t>ROBERTSFORS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46253</v>
      </c>
      <c r="F262" t="inlineStr">
        <is>
          <t>VÄSTERBOTTENS LÄN</t>
        </is>
      </c>
      <c r="G262" t="inlineStr">
        <is>
          <t>ROBERTSFORS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46253</v>
      </c>
      <c r="F263" t="inlineStr">
        <is>
          <t>VÄSTERBOTTENS LÄN</t>
        </is>
      </c>
      <c r="G263" t="inlineStr">
        <is>
          <t>ROBERTSFORS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46253</v>
      </c>
      <c r="F264" t="inlineStr">
        <is>
          <t>VÄSTERBOTTENS LÄN</t>
        </is>
      </c>
      <c r="G264" t="inlineStr">
        <is>
          <t>ROBERTSFORS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46126</v>
      </c>
      <c r="E265" s="1" t="n">
        <v>46253</v>
      </c>
      <c r="F265" t="inlineStr">
        <is>
          <t>VÄSTERBOTTENS LÄN</t>
        </is>
      </c>
      <c r="G265" t="inlineStr">
        <is>
          <t>ROBERTSFORS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46253</v>
      </c>
      <c r="F266" t="inlineStr">
        <is>
          <t>VÄSTERBOTTENS LÄN</t>
        </is>
      </c>
      <c r="G266" t="inlineStr">
        <is>
          <t>ROBERTSFORS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46253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45002</v>
      </c>
      <c r="E268" s="1" t="n">
        <v>46253</v>
      </c>
      <c r="F268" t="inlineStr">
        <is>
          <t>VÄSTERBOTTENS LÄN</t>
        </is>
      </c>
      <c r="G268" t="inlineStr">
        <is>
          <t>ROBERTSFORS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46253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46253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45133</v>
      </c>
      <c r="E271" s="1" t="n">
        <v>46253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46253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46253</v>
      </c>
      <c r="F273" t="inlineStr">
        <is>
          <t>VÄSTERBOTTENS LÄN</t>
        </is>
      </c>
      <c r="G273" t="inlineStr">
        <is>
          <t>ROBERTSFORS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46132</v>
      </c>
      <c r="E274" s="1" t="n">
        <v>46253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45958</v>
      </c>
      <c r="E275" s="1" t="n">
        <v>46253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46253</v>
      </c>
      <c r="F276" t="inlineStr">
        <is>
          <t>VÄSTERBOTTENS LÄN</t>
        </is>
      </c>
      <c r="G276" t="inlineStr">
        <is>
          <t>ROBERTSFORS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46253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45959</v>
      </c>
      <c r="E278" s="1" t="n">
        <v>46253</v>
      </c>
      <c r="F278" t="inlineStr">
        <is>
          <t>VÄSTERBOTTENS LÄN</t>
        </is>
      </c>
      <c r="G278" t="inlineStr">
        <is>
          <t>ROBERTSFORS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46253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46253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46253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46253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46253</v>
      </c>
      <c r="F283" t="inlineStr">
        <is>
          <t>VÄSTERBOTTENS LÄN</t>
        </is>
      </c>
      <c r="G283" t="inlineStr">
        <is>
          <t>ROBERTSFORS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45870</v>
      </c>
      <c r="E284" s="1" t="n">
        <v>46253</v>
      </c>
      <c r="F284" t="inlineStr">
        <is>
          <t>VÄSTERBOTTENS LÄN</t>
        </is>
      </c>
      <c r="G284" t="inlineStr">
        <is>
          <t>ROBERTSFORS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46253</v>
      </c>
      <c r="F285" t="inlineStr">
        <is>
          <t>VÄSTERBOTTENS LÄN</t>
        </is>
      </c>
      <c r="G285" t="inlineStr">
        <is>
          <t>ROBERTSFORS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46253</v>
      </c>
      <c r="F286" t="inlineStr">
        <is>
          <t>VÄSTERBOTTENS LÄN</t>
        </is>
      </c>
      <c r="G286" t="inlineStr">
        <is>
          <t>ROBERTSFORS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46253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46253</v>
      </c>
      <c r="F288" t="inlineStr">
        <is>
          <t>VÄSTERBOTTENS LÄN</t>
        </is>
      </c>
      <c r="G288" t="inlineStr">
        <is>
          <t>ROBERTSFORS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46253</v>
      </c>
      <c r="F289" t="inlineStr">
        <is>
          <t>VÄSTERBOTTENS LÄN</t>
        </is>
      </c>
      <c r="G289" t="inlineStr">
        <is>
          <t>ROBERTSFORS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46253</v>
      </c>
      <c r="F290" t="inlineStr">
        <is>
          <t>VÄSTERBOTTENS LÄN</t>
        </is>
      </c>
      <c r="G290" t="inlineStr">
        <is>
          <t>ROBERTSFORS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46135</v>
      </c>
      <c r="E291" s="1" t="n">
        <v>46253</v>
      </c>
      <c r="F291" t="inlineStr">
        <is>
          <t>VÄSTERBOTTENS LÄN</t>
        </is>
      </c>
      <c r="G291" t="inlineStr">
        <is>
          <t>ROBERTSFORS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46253</v>
      </c>
      <c r="F292" t="inlineStr">
        <is>
          <t>VÄSTERBOTTENS LÄN</t>
        </is>
      </c>
      <c r="G292" t="inlineStr">
        <is>
          <t>ROBERTSFORS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45070</v>
      </c>
      <c r="E293" s="1" t="n">
        <v>46253</v>
      </c>
      <c r="F293" t="inlineStr">
        <is>
          <t>VÄSTERBOTTENS LÄN</t>
        </is>
      </c>
      <c r="G293" t="inlineStr">
        <is>
          <t>ROBERTSFORS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46253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45734</v>
      </c>
      <c r="E295" s="1" t="n">
        <v>46253</v>
      </c>
      <c r="F295" t="inlineStr">
        <is>
          <t>VÄSTERBOTTENS LÄN</t>
        </is>
      </c>
      <c r="G295" t="inlineStr">
        <is>
          <t>ROBERTSFORS</t>
        </is>
      </c>
      <c r="I295" t="n">
        <v>24.4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46253</v>
      </c>
      <c r="F296" t="inlineStr">
        <is>
          <t>VÄSTERBOTTENS LÄN</t>
        </is>
      </c>
      <c r="G296" t="inlineStr">
        <is>
          <t>ROBERTSFORS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59833-2022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44901</v>
      </c>
      <c r="E297" s="1" t="n">
        <v>46253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46253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36818-2025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46253</v>
      </c>
      <c r="F299" t="inlineStr">
        <is>
          <t>VÄSTERBOTTENS LÄN</t>
        </is>
      </c>
      <c r="G299" t="inlineStr">
        <is>
          <t>ROBERTSFORS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44895</v>
      </c>
      <c r="E300" s="1" t="n">
        <v>46253</v>
      </c>
      <c r="F300" t="inlineStr">
        <is>
          <t>VÄSTERBOTTENS LÄN</t>
        </is>
      </c>
      <c r="G300" t="inlineStr">
        <is>
          <t>ROBERTSFORS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46253</v>
      </c>
      <c r="F301" t="inlineStr">
        <is>
          <t>VÄSTERBOTTENS LÄN</t>
        </is>
      </c>
      <c r="G301" t="inlineStr">
        <is>
          <t>ROBERTSFORS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46253</v>
      </c>
      <c r="F302" t="inlineStr">
        <is>
          <t>VÄSTERBOTTENS LÄN</t>
        </is>
      </c>
      <c r="G302" t="inlineStr">
        <is>
          <t>ROBERTSFORS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46253</v>
      </c>
      <c r="F303" t="inlineStr">
        <is>
          <t>VÄSTERBOTTENS LÄN</t>
        </is>
      </c>
      <c r="G303" t="inlineStr">
        <is>
          <t>ROBERTSFORS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46253</v>
      </c>
      <c r="F304" t="inlineStr">
        <is>
          <t>VÄSTERBOTTENS LÄN</t>
        </is>
      </c>
      <c r="G304" t="inlineStr">
        <is>
          <t>ROBERTSFORS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45135</v>
      </c>
      <c r="E305" s="1" t="n">
        <v>46253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46253</v>
      </c>
      <c r="F306" t="inlineStr">
        <is>
          <t>VÄSTERBOTTENS LÄN</t>
        </is>
      </c>
      <c r="G306" t="inlineStr">
        <is>
          <t>ROBERTSFORS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46253</v>
      </c>
      <c r="F307" t="inlineStr">
        <is>
          <t>VÄSTERBOTTENS LÄN</t>
        </is>
      </c>
      <c r="G307" t="inlineStr">
        <is>
          <t>ROBERTSFORS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46253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57793-2025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46253</v>
      </c>
      <c r="F309" t="inlineStr">
        <is>
          <t>VÄSTERBOTTENS LÄN</t>
        </is>
      </c>
      <c r="G309" t="inlineStr">
        <is>
          <t>ROBERTSFORS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46253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46253</v>
      </c>
      <c r="F311" t="inlineStr">
        <is>
          <t>VÄSTERBOTTENS LÄN</t>
        </is>
      </c>
      <c r="G311" t="inlineStr">
        <is>
          <t>ROBERTSFORS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45981</v>
      </c>
      <c r="E312" s="1" t="n">
        <v>46253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46253</v>
      </c>
      <c r="F313" t="inlineStr">
        <is>
          <t>VÄSTERBOTTENS LÄN</t>
        </is>
      </c>
      <c r="G313" t="inlineStr">
        <is>
          <t>ROBERTSFORS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46253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46253</v>
      </c>
      <c r="F315" t="inlineStr">
        <is>
          <t>VÄSTERBOTTENS LÄN</t>
        </is>
      </c>
      <c r="G315" t="inlineStr">
        <is>
          <t>ROBERTSFORS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45145</v>
      </c>
      <c r="E316" s="1" t="n">
        <v>46253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46969-2025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46253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44571</v>
      </c>
      <c r="E318" s="1" t="n">
        <v>46253</v>
      </c>
      <c r="F318" t="inlineStr">
        <is>
          <t>VÄSTERBOTTENS LÄN</t>
        </is>
      </c>
      <c r="G318" t="inlineStr">
        <is>
          <t>ROBERTSFORS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47420-2024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45587</v>
      </c>
      <c r="E319" s="1" t="n">
        <v>46253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45987</v>
      </c>
      <c r="E320" s="1" t="n">
        <v>46253</v>
      </c>
      <c r="F320" t="inlineStr">
        <is>
          <t>VÄSTERBOTTENS LÄN</t>
        </is>
      </c>
      <c r="G320" t="inlineStr">
        <is>
          <t>ROBERTSFORS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46253</v>
      </c>
      <c r="F321" t="inlineStr">
        <is>
          <t>VÄSTERBOTTENS LÄN</t>
        </is>
      </c>
      <c r="G321" t="inlineStr">
        <is>
          <t>ROBERTSFORS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46253</v>
      </c>
      <c r="F322" t="inlineStr">
        <is>
          <t>VÄSTERBOTTENS LÄN</t>
        </is>
      </c>
      <c r="G322" t="inlineStr">
        <is>
          <t>ROBERTSFORS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15879-2024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45405</v>
      </c>
      <c r="E323" s="1" t="n">
        <v>46253</v>
      </c>
      <c r="F323" t="inlineStr">
        <is>
          <t>VÄSTERBOTTENS LÄN</t>
        </is>
      </c>
      <c r="G323" t="inlineStr">
        <is>
          <t>ROBERTSFORS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46253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46253</v>
      </c>
      <c r="F325" t="inlineStr">
        <is>
          <t>VÄSTERBOTTENS LÄN</t>
        </is>
      </c>
      <c r="G325" t="inlineStr">
        <is>
          <t>ROBERTSFORS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46253</v>
      </c>
      <c r="F326" t="inlineStr">
        <is>
          <t>VÄSTERBOTTENS LÄN</t>
        </is>
      </c>
      <c r="G326" t="inlineStr">
        <is>
          <t>ROBERTSFORS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45996</v>
      </c>
      <c r="E327" s="1" t="n">
        <v>46253</v>
      </c>
      <c r="F327" t="inlineStr">
        <is>
          <t>VÄSTERBOTTENS LÄN</t>
        </is>
      </c>
      <c r="G327" t="inlineStr">
        <is>
          <t>ROBERTSFORS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15294-2023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45019</v>
      </c>
      <c r="E328" s="1" t="n">
        <v>46253</v>
      </c>
      <c r="F328" t="inlineStr">
        <is>
          <t>VÄSTERBOTTENS LÄN</t>
        </is>
      </c>
      <c r="G328" t="inlineStr">
        <is>
          <t>ROBERTSFORS</t>
        </is>
      </c>
      <c r="I328" t="n">
        <v>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46253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SCA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45572</v>
      </c>
      <c r="E330" s="1" t="n">
        <v>46253</v>
      </c>
      <c r="F330" t="inlineStr">
        <is>
          <t>VÄSTERBOTTENS LÄN</t>
        </is>
      </c>
      <c r="G330" t="inlineStr">
        <is>
          <t>ROBERTSFORS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46253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Sveaskog</t>
        </is>
      </c>
      <c r="I331" t="n">
        <v>9.199999999999999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45049</v>
      </c>
      <c r="E332" s="1" t="n">
        <v>46253</v>
      </c>
      <c r="F332" t="inlineStr">
        <is>
          <t>VÄSTERBOTTENS LÄN</t>
        </is>
      </c>
      <c r="G332" t="inlineStr">
        <is>
          <t>ROBERTSFORS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46253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46253</v>
      </c>
      <c r="F334" t="inlineStr">
        <is>
          <t>VÄSTERBOTTENS LÄN</t>
        </is>
      </c>
      <c r="G334" t="inlineStr">
        <is>
          <t>ROBERTSFORS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28906-2024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45480</v>
      </c>
      <c r="E335" s="1" t="n">
        <v>46253</v>
      </c>
      <c r="F335" t="inlineStr">
        <is>
          <t>VÄSTERBOTTENS LÄN</t>
        </is>
      </c>
      <c r="G335" t="inlineStr">
        <is>
          <t>ROBERTSFORS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45141</v>
      </c>
      <c r="E336" s="1" t="n">
        <v>46253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64625-2023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45281</v>
      </c>
      <c r="E337" s="1" t="n">
        <v>46253</v>
      </c>
      <c r="F337" t="inlineStr">
        <is>
          <t>VÄSTERBOTTENS LÄN</t>
        </is>
      </c>
      <c r="G337" t="inlineStr">
        <is>
          <t>ROBERTSFORS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45468</v>
      </c>
      <c r="E338" s="1" t="n">
        <v>46253</v>
      </c>
      <c r="F338" t="inlineStr">
        <is>
          <t>VÄSTERBOTTENS LÄN</t>
        </is>
      </c>
      <c r="G338" t="inlineStr">
        <is>
          <t>ROBERTSFORS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46253</v>
      </c>
      <c r="F339" t="inlineStr">
        <is>
          <t>VÄSTERBOTTENS LÄN</t>
        </is>
      </c>
      <c r="G339" t="inlineStr">
        <is>
          <t>ROBERTSFORS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46253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SCA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45149</v>
      </c>
      <c r="E341" s="1" t="n">
        <v>46253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46253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27586-2024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46253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46253</v>
      </c>
      <c r="F344" t="inlineStr">
        <is>
          <t>VÄSTERBOTTENS LÄN</t>
        </is>
      </c>
      <c r="G344" t="inlineStr">
        <is>
          <t>ROBERTSFORS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46253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45458</v>
      </c>
      <c r="E346" s="1" t="n">
        <v>46253</v>
      </c>
      <c r="F346" t="inlineStr">
        <is>
          <t>VÄSTERBOTTENS LÄN</t>
        </is>
      </c>
      <c r="G346" t="inlineStr">
        <is>
          <t>ROBERTSFORS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46253</v>
      </c>
      <c r="F347" t="inlineStr">
        <is>
          <t>VÄSTERBOTTENS LÄN</t>
        </is>
      </c>
      <c r="G347" t="inlineStr">
        <is>
          <t>ROBERTSFORS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46253</v>
      </c>
      <c r="F348" t="inlineStr">
        <is>
          <t>VÄSTERBOTTENS LÄN</t>
        </is>
      </c>
      <c r="G348" t="inlineStr">
        <is>
          <t>ROBERTSFORS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73557-2021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44551</v>
      </c>
      <c r="E349" s="1" t="n">
        <v>46253</v>
      </c>
      <c r="F349" t="inlineStr">
        <is>
          <t>VÄSTERBOTTENS LÄN</t>
        </is>
      </c>
      <c r="G349" t="inlineStr">
        <is>
          <t>ROBERTSFORS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45484</v>
      </c>
      <c r="E350" s="1" t="n">
        <v>46253</v>
      </c>
      <c r="F350" t="inlineStr">
        <is>
          <t>VÄSTERBOTTENS LÄN</t>
        </is>
      </c>
      <c r="G350" t="inlineStr">
        <is>
          <t>ROBERTSFORS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46253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45041</v>
      </c>
      <c r="E352" s="1" t="n">
        <v>46253</v>
      </c>
      <c r="F352" t="inlineStr">
        <is>
          <t>VÄSTERBOTTENS LÄN</t>
        </is>
      </c>
      <c r="G352" t="inlineStr">
        <is>
          <t>ROBERTSFORS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46253</v>
      </c>
      <c r="F353" t="inlineStr">
        <is>
          <t>VÄSTERBOTTENS LÄN</t>
        </is>
      </c>
      <c r="G353" t="inlineStr">
        <is>
          <t>ROBERTSFORS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46253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45583</v>
      </c>
      <c r="E355" s="1" t="n">
        <v>46253</v>
      </c>
      <c r="F355" t="inlineStr">
        <is>
          <t>VÄSTERBOTTENS LÄN</t>
        </is>
      </c>
      <c r="G355" t="inlineStr">
        <is>
          <t>ROBERTSFORS</t>
        </is>
      </c>
      <c r="I355" t="n">
        <v>9.6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46253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45405</v>
      </c>
      <c r="E357" s="1" t="n">
        <v>46253</v>
      </c>
      <c r="F357" t="inlineStr">
        <is>
          <t>VÄSTERBOTTENS LÄN</t>
        </is>
      </c>
      <c r="G357" t="inlineStr">
        <is>
          <t>ROBERTSFORS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46253</v>
      </c>
      <c r="F358" t="inlineStr">
        <is>
          <t>VÄSTERBOTTENS LÄN</t>
        </is>
      </c>
      <c r="G358" t="inlineStr">
        <is>
          <t>ROBERTSFORS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46253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45005</v>
      </c>
      <c r="E360" s="1" t="n">
        <v>46253</v>
      </c>
      <c r="F360" t="inlineStr">
        <is>
          <t>VÄSTERBOTTENS LÄN</t>
        </is>
      </c>
      <c r="G360" t="inlineStr">
        <is>
          <t>ROBERTSFORS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22436-2026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46155</v>
      </c>
      <c r="E361" s="1" t="n">
        <v>46253</v>
      </c>
      <c r="F361" t="inlineStr">
        <is>
          <t>VÄSTERBOTTENS LÄN</t>
        </is>
      </c>
      <c r="G361" t="inlineStr">
        <is>
          <t>ROBERTSFORS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46253</v>
      </c>
      <c r="F362" t="inlineStr">
        <is>
          <t>VÄSTERBOTTENS LÄN</t>
        </is>
      </c>
      <c r="G362" t="inlineStr">
        <is>
          <t>ROBERTSFORS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5902-2024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45335</v>
      </c>
      <c r="E363" s="1" t="n">
        <v>46253</v>
      </c>
      <c r="F363" t="inlineStr">
        <is>
          <t>VÄSTERBOTTENS LÄN</t>
        </is>
      </c>
      <c r="G363" t="inlineStr">
        <is>
          <t>ROBERTSFORS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46253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25572-2023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45082</v>
      </c>
      <c r="E365" s="1" t="n">
        <v>46253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45712</v>
      </c>
      <c r="E366" s="1" t="n">
        <v>46253</v>
      </c>
      <c r="F366" t="inlineStr">
        <is>
          <t>VÄSTERBOTTENS LÄN</t>
        </is>
      </c>
      <c r="G366" t="inlineStr">
        <is>
          <t>ROBERTSFORS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45512</v>
      </c>
      <c r="E367" s="1" t="n">
        <v>46253</v>
      </c>
      <c r="F367" t="inlineStr">
        <is>
          <t>VÄSTERBOTTENS LÄN</t>
        </is>
      </c>
      <c r="G367" t="inlineStr">
        <is>
          <t>ROBERTSFORS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46253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9.4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46253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22880-2026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46160</v>
      </c>
      <c r="E370" s="1" t="n">
        <v>46253</v>
      </c>
      <c r="F370" t="inlineStr">
        <is>
          <t>VÄSTERBOTTENS LÄN</t>
        </is>
      </c>
      <c r="G370" t="inlineStr">
        <is>
          <t>ROBERTSFORS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46253</v>
      </c>
      <c r="F371" t="inlineStr">
        <is>
          <t>VÄSTERBOTTENS LÄN</t>
        </is>
      </c>
      <c r="G371" t="inlineStr">
        <is>
          <t>ROBERTSFORS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45182</v>
      </c>
      <c r="E372" s="1" t="n">
        <v>46253</v>
      </c>
      <c r="F372" t="inlineStr">
        <is>
          <t>VÄSTERBOTTENS LÄN</t>
        </is>
      </c>
      <c r="G372" t="inlineStr">
        <is>
          <t>ROBERTSFORS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46253</v>
      </c>
      <c r="F373" t="inlineStr">
        <is>
          <t>VÄSTERBOTTENS LÄN</t>
        </is>
      </c>
      <c r="G373" t="inlineStr">
        <is>
          <t>ROBERTSFORS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39789-2024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46253</v>
      </c>
      <c r="F374" t="inlineStr">
        <is>
          <t>VÄSTERBOTTENS LÄN</t>
        </is>
      </c>
      <c r="G374" t="inlineStr">
        <is>
          <t>ROBERTSFORS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45701</v>
      </c>
      <c r="E375" s="1" t="n">
        <v>46253</v>
      </c>
      <c r="F375" t="inlineStr">
        <is>
          <t>VÄSTERBOTTENS LÄN</t>
        </is>
      </c>
      <c r="G375" t="inlineStr">
        <is>
          <t>ROBERTSFORS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45157-2023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45191</v>
      </c>
      <c r="E376" s="1" t="n">
        <v>46253</v>
      </c>
      <c r="F376" t="inlineStr">
        <is>
          <t>VÄSTERBOTTENS LÄN</t>
        </is>
      </c>
      <c r="G376" t="inlineStr">
        <is>
          <t>ROBERTSFORS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44580</v>
      </c>
      <c r="E377" s="1" t="n">
        <v>46253</v>
      </c>
      <c r="F377" t="inlineStr">
        <is>
          <t>VÄSTERBOTTENS LÄN</t>
        </is>
      </c>
      <c r="G377" t="inlineStr">
        <is>
          <t>ROBERTSFORS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52835-2024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46253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SCA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44683</v>
      </c>
      <c r="E379" s="1" t="n">
        <v>46253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46253</v>
      </c>
      <c r="F380" t="inlineStr">
        <is>
          <t>VÄSTERBOTTENS LÄN</t>
        </is>
      </c>
      <c r="G380" t="inlineStr">
        <is>
          <t>ROBERTSFORS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45625</v>
      </c>
      <c r="E381" s="1" t="n">
        <v>46253</v>
      </c>
      <c r="F381" t="inlineStr">
        <is>
          <t>VÄSTERBOTTENS LÄN</t>
        </is>
      </c>
      <c r="G381" t="inlineStr">
        <is>
          <t>ROBERTSFORS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46253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15.9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45601</v>
      </c>
      <c r="E383" s="1" t="n">
        <v>46253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44805</v>
      </c>
      <c r="E384" s="1" t="n">
        <v>46253</v>
      </c>
      <c r="F384" t="inlineStr">
        <is>
          <t>VÄSTERBOTTENS LÄN</t>
        </is>
      </c>
      <c r="G384" t="inlineStr">
        <is>
          <t>ROBERTSFORS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13164-2024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45386</v>
      </c>
      <c r="E385" s="1" t="n">
        <v>46253</v>
      </c>
      <c r="F385" t="inlineStr">
        <is>
          <t>VÄSTERBOTTENS LÄN</t>
        </is>
      </c>
      <c r="G385" t="inlineStr">
        <is>
          <t>ROBERTSFORS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46253</v>
      </c>
      <c r="F386" t="inlineStr">
        <is>
          <t>VÄSTERBOTTENS LÄN</t>
        </is>
      </c>
      <c r="G386" t="inlineStr">
        <is>
          <t>ROBERTSFORS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45687</v>
      </c>
      <c r="E387" s="1" t="n">
        <v>46253</v>
      </c>
      <c r="F387" t="inlineStr">
        <is>
          <t>VÄSTERBOTTENS LÄN</t>
        </is>
      </c>
      <c r="G387" t="inlineStr">
        <is>
          <t>ROBERTSFORS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46253</v>
      </c>
      <c r="F388" t="inlineStr">
        <is>
          <t>VÄSTERBOTTENS LÄN</t>
        </is>
      </c>
      <c r="G388" t="inlineStr">
        <is>
          <t>ROBERTSFORS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45708</v>
      </c>
      <c r="E389" s="1" t="n">
        <v>46253</v>
      </c>
      <c r="F389" t="inlineStr">
        <is>
          <t>VÄSTERBOTTENS LÄN</t>
        </is>
      </c>
      <c r="G389" t="inlineStr">
        <is>
          <t>ROBERTSFORS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44588</v>
      </c>
      <c r="E390" s="1" t="n">
        <v>46253</v>
      </c>
      <c r="F390" t="inlineStr">
        <is>
          <t>VÄSTERBOTTENS LÄN</t>
        </is>
      </c>
      <c r="G390" t="inlineStr">
        <is>
          <t>ROBERTSFORS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24647-2026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46171</v>
      </c>
      <c r="E391" s="1" t="n">
        <v>46253</v>
      </c>
      <c r="F391" t="inlineStr">
        <is>
          <t>VÄSTERBOTTENS LÄN</t>
        </is>
      </c>
      <c r="G391" t="inlineStr">
        <is>
          <t>ROBERTSFORS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10173-2022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44622</v>
      </c>
      <c r="E392" s="1" t="n">
        <v>46253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45653</v>
      </c>
      <c r="E393" s="1" t="n">
        <v>46253</v>
      </c>
      <c r="F393" t="inlineStr">
        <is>
          <t>VÄSTERBOTTENS LÄN</t>
        </is>
      </c>
      <c r="G393" t="inlineStr">
        <is>
          <t>ROBERTSFORS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45664</v>
      </c>
      <c r="E394" s="1" t="n">
        <v>46253</v>
      </c>
      <c r="F394" t="inlineStr">
        <is>
          <t>VÄSTERBOTTENS LÄN</t>
        </is>
      </c>
      <c r="G394" t="inlineStr">
        <is>
          <t>ROBERTSFORS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46176</v>
      </c>
      <c r="E395" s="1" t="n">
        <v>46253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44699</v>
      </c>
      <c r="E396" s="1" t="n">
        <v>46253</v>
      </c>
      <c r="F396" t="inlineStr">
        <is>
          <t>VÄSTERBOTTENS LÄN</t>
        </is>
      </c>
      <c r="G396" t="inlineStr">
        <is>
          <t>ROBERTSFORS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46253</v>
      </c>
      <c r="F397" t="inlineStr">
        <is>
          <t>VÄSTERBOTTENS LÄN</t>
        </is>
      </c>
      <c r="G397" t="inlineStr">
        <is>
          <t>ROBERTSFORS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45659</v>
      </c>
      <c r="E398" s="1" t="n">
        <v>46253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46177</v>
      </c>
      <c r="E399" s="1" t="n">
        <v>46253</v>
      </c>
      <c r="F399" t="inlineStr">
        <is>
          <t>VÄSTERBOTTENS LÄN</t>
        </is>
      </c>
      <c r="G399" t="inlineStr">
        <is>
          <t>ROBERTSFORS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45611</v>
      </c>
      <c r="E400" s="1" t="n">
        <v>46253</v>
      </c>
      <c r="F400" t="inlineStr">
        <is>
          <t>VÄSTERBOTTENS LÄN</t>
        </is>
      </c>
      <c r="G400" t="inlineStr">
        <is>
          <t>ROBERTSFORS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45670</v>
      </c>
      <c r="E401" s="1" t="n">
        <v>46253</v>
      </c>
      <c r="F401" t="inlineStr">
        <is>
          <t>VÄSTERBOTTENS LÄN</t>
        </is>
      </c>
      <c r="G401" t="inlineStr">
        <is>
          <t>ROBERTSFORS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45454</v>
      </c>
      <c r="E402" s="1" t="n">
        <v>46253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46253</v>
      </c>
      <c r="F403" t="inlineStr">
        <is>
          <t>VÄSTERBOTTENS LÄN</t>
        </is>
      </c>
      <c r="G403" t="inlineStr">
        <is>
          <t>ROBERTSFORS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44838</v>
      </c>
      <c r="E404" s="1" t="n">
        <v>46253</v>
      </c>
      <c r="F404" t="inlineStr">
        <is>
          <t>VÄSTERBOTTENS LÄN</t>
        </is>
      </c>
      <c r="G404" t="inlineStr">
        <is>
          <t>ROBERTSFORS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22339-2024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46253</v>
      </c>
      <c r="F405" t="inlineStr">
        <is>
          <t>VÄSTERBOTTENS LÄN</t>
        </is>
      </c>
      <c r="G405" t="inlineStr">
        <is>
          <t>ROBERTSFORS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46253</v>
      </c>
      <c r="F406" t="inlineStr">
        <is>
          <t>VÄSTERBOTTENS LÄN</t>
        </is>
      </c>
      <c r="G406" t="inlineStr">
        <is>
          <t>ROBERTSFORS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45700</v>
      </c>
      <c r="E407" s="1" t="n">
        <v>46253</v>
      </c>
      <c r="F407" t="inlineStr">
        <is>
          <t>VÄSTERBOTTENS LÄN</t>
        </is>
      </c>
      <c r="G407" t="inlineStr">
        <is>
          <t>ROBERTSFORS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48547-2023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46253</v>
      </c>
      <c r="F408" t="inlineStr">
        <is>
          <t>VÄSTERBOTTENS LÄN</t>
        </is>
      </c>
      <c r="G408" t="inlineStr">
        <is>
          <t>ROBERTSFORS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46253</v>
      </c>
      <c r="F409" t="inlineStr">
        <is>
          <t>VÄSTERBOTTENS LÄN</t>
        </is>
      </c>
      <c r="G409" t="inlineStr">
        <is>
          <t>ROBERTSFORS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46253</v>
      </c>
      <c r="F410" t="inlineStr">
        <is>
          <t>VÄSTERBOTTENS LÄN</t>
        </is>
      </c>
      <c r="G410" t="inlineStr">
        <is>
          <t>ROBERTSFORS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46225</v>
      </c>
      <c r="E411" s="1" t="n">
        <v>46253</v>
      </c>
      <c r="F411" t="inlineStr">
        <is>
          <t>VÄSTERBOTTENS LÄN</t>
        </is>
      </c>
      <c r="G411" t="inlineStr">
        <is>
          <t>ROBERTSFORS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46225</v>
      </c>
      <c r="E412" s="1" t="n">
        <v>46253</v>
      </c>
      <c r="F412" t="inlineStr">
        <is>
          <t>VÄSTERBOTTENS LÄN</t>
        </is>
      </c>
      <c r="G412" t="inlineStr">
        <is>
          <t>ROBERTSFORS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46225</v>
      </c>
      <c r="E413" s="1" t="n">
        <v>46253</v>
      </c>
      <c r="F413" t="inlineStr">
        <is>
          <t>VÄSTERBOTTENS LÄN</t>
        </is>
      </c>
      <c r="G413" t="inlineStr">
        <is>
          <t>ROBERTSFORS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46253</v>
      </c>
      <c r="F414" t="inlineStr">
        <is>
          <t>VÄSTERBOTTENS LÄN</t>
        </is>
      </c>
      <c r="G414" t="inlineStr">
        <is>
          <t>ROBERTSFORS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26949-2026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46253</v>
      </c>
      <c r="F415" t="inlineStr">
        <is>
          <t>VÄSTERBOTTENS LÄN</t>
        </is>
      </c>
      <c r="G415" t="inlineStr">
        <is>
          <t>ROBERTSFORS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46185</v>
      </c>
      <c r="E416" s="1" t="n">
        <v>46253</v>
      </c>
      <c r="F416" t="inlineStr">
        <is>
          <t>VÄSTERBOTTENS LÄN</t>
        </is>
      </c>
      <c r="G416" t="inlineStr">
        <is>
          <t>ROBERTSFORS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46230</v>
      </c>
      <c r="E417" s="1" t="n">
        <v>46253</v>
      </c>
      <c r="F417" t="inlineStr">
        <is>
          <t>VÄSTERBOTTENS LÄN</t>
        </is>
      </c>
      <c r="G417" t="inlineStr">
        <is>
          <t>ROBERTSFORS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26833-2026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46253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46253</v>
      </c>
      <c r="F419" t="inlineStr">
        <is>
          <t>VÄSTERBOTTENS LÄN</t>
        </is>
      </c>
      <c r="G419" t="inlineStr">
        <is>
          <t>ROBERTSFORS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45708</v>
      </c>
      <c r="E420" s="1" t="n">
        <v>46253</v>
      </c>
      <c r="F420" t="inlineStr">
        <is>
          <t>VÄSTERBOTTENS LÄN</t>
        </is>
      </c>
      <c r="G420" t="inlineStr">
        <is>
          <t>ROBERTSFORS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45756</v>
      </c>
      <c r="E421" s="1" t="n">
        <v>46253</v>
      </c>
      <c r="F421" t="inlineStr">
        <is>
          <t>VÄSTERBOTTENS LÄN</t>
        </is>
      </c>
      <c r="G421" t="inlineStr">
        <is>
          <t>ROBERTSFORS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32581-2022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44783</v>
      </c>
      <c r="E422" s="1" t="n">
        <v>46253</v>
      </c>
      <c r="F422" t="inlineStr">
        <is>
          <t>VÄSTERBOTTENS LÄN</t>
        </is>
      </c>
      <c r="G422" t="inlineStr">
        <is>
          <t>ROBERTSFORS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46253</v>
      </c>
      <c r="F423" t="inlineStr">
        <is>
          <t>VÄSTERBOTTENS LÄN</t>
        </is>
      </c>
      <c r="G423" t="inlineStr">
        <is>
          <t>ROBERTSFORS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46253</v>
      </c>
      <c r="F424" t="inlineStr">
        <is>
          <t>VÄSTERBOTTENS LÄN</t>
        </is>
      </c>
      <c r="G424" t="inlineStr">
        <is>
          <t>ROBERTSFORS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46253</v>
      </c>
      <c r="F425" t="inlineStr">
        <is>
          <t>VÄSTERBOTTENS LÄN</t>
        </is>
      </c>
      <c r="G425" t="inlineStr">
        <is>
          <t>ROBERTSFORS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46253</v>
      </c>
      <c r="F426" t="inlineStr">
        <is>
          <t>VÄSTERBOTTENS LÄN</t>
        </is>
      </c>
      <c r="G426" t="inlineStr">
        <is>
          <t>ROBERTSFORS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46253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54968-2024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45620</v>
      </c>
      <c r="E428" s="1" t="n">
        <v>46253</v>
      </c>
      <c r="F428" t="inlineStr">
        <is>
          <t>VÄSTERBOTTENS LÄN</t>
        </is>
      </c>
      <c r="G428" t="inlineStr">
        <is>
          <t>ROBERTSFORS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45301</v>
      </c>
      <c r="E429" s="1" t="n">
        <v>46253</v>
      </c>
      <c r="F429" t="inlineStr">
        <is>
          <t>VÄSTERBOTTENS LÄN</t>
        </is>
      </c>
      <c r="G429" t="inlineStr">
        <is>
          <t>ROBERTSFORS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46253</v>
      </c>
      <c r="F430" t="inlineStr">
        <is>
          <t>VÄSTERBOTTENS LÄN</t>
        </is>
      </c>
      <c r="G430" t="inlineStr">
        <is>
          <t>ROBERTSFORS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46253</v>
      </c>
      <c r="F431" t="inlineStr">
        <is>
          <t>VÄSTERBOTTENS LÄN</t>
        </is>
      </c>
      <c r="G431" t="inlineStr">
        <is>
          <t>ROBERTSFORS</t>
        </is>
      </c>
      <c r="I431" t="n">
        <v>11.3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46239</v>
      </c>
      <c r="E432" s="1" t="n">
        <v>46253</v>
      </c>
      <c r="F432" t="inlineStr">
        <is>
          <t>VÄSTERBOTTENS LÄN</t>
        </is>
      </c>
      <c r="G432" t="inlineStr">
        <is>
          <t>ROBERTSFORS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46253</v>
      </c>
      <c r="F433" t="inlineStr">
        <is>
          <t>VÄSTERBOTTENS LÄN</t>
        </is>
      </c>
      <c r="G433" t="inlineStr">
        <is>
          <t>ROBERTSFORS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45013</v>
      </c>
      <c r="E434" s="1" t="n">
        <v>46253</v>
      </c>
      <c r="F434" t="inlineStr">
        <is>
          <t>VÄSTERBOTTENS LÄN</t>
        </is>
      </c>
      <c r="G434" t="inlineStr">
        <is>
          <t>ROBERTSFORS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46253</v>
      </c>
      <c r="F435" t="inlineStr">
        <is>
          <t>VÄSTERBOTTENS LÄN</t>
        </is>
      </c>
      <c r="G435" t="inlineStr">
        <is>
          <t>ROBERTSFORS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46239</v>
      </c>
      <c r="E436" s="1" t="n">
        <v>46253</v>
      </c>
      <c r="F436" t="inlineStr">
        <is>
          <t>VÄSTERBOTTENS LÄN</t>
        </is>
      </c>
      <c r="G436" t="inlineStr">
        <is>
          <t>ROBERTSFORS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46253</v>
      </c>
      <c r="F437" t="inlineStr">
        <is>
          <t>VÄSTERBOTTENS LÄN</t>
        </is>
      </c>
      <c r="G437" t="inlineStr">
        <is>
          <t>ROBERTSFORS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46253</v>
      </c>
      <c r="F438" t="inlineStr">
        <is>
          <t>VÄSTERBOTTENS LÄN</t>
        </is>
      </c>
      <c r="G438" t="inlineStr">
        <is>
          <t>ROBERTSFORS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46196</v>
      </c>
      <c r="E439" s="1" t="n">
        <v>46253</v>
      </c>
      <c r="F439" t="inlineStr">
        <is>
          <t>VÄSTERBOTTENS LÄN</t>
        </is>
      </c>
      <c r="G439" t="inlineStr">
        <is>
          <t>ROBERTSFORS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46239</v>
      </c>
      <c r="E440" s="1" t="n">
        <v>46253</v>
      </c>
      <c r="F440" t="inlineStr">
        <is>
          <t>VÄSTERBOTTENS LÄN</t>
        </is>
      </c>
      <c r="G440" t="inlineStr">
        <is>
          <t>ROBERTSFORS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46240</v>
      </c>
      <c r="E441" s="1" t="n">
        <v>46253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46253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46253</v>
      </c>
      <c r="F443" t="inlineStr">
        <is>
          <t>VÄSTERBOTTENS LÄN</t>
        </is>
      </c>
      <c r="G443" t="inlineStr">
        <is>
          <t>ROBERTSFORS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45537</v>
      </c>
      <c r="E444" s="1" t="n">
        <v>46253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46240</v>
      </c>
      <c r="E445" s="1" t="n">
        <v>46253</v>
      </c>
      <c r="F445" t="inlineStr">
        <is>
          <t>VÄSTERBOTTENS LÄN</t>
        </is>
      </c>
      <c r="G445" t="inlineStr">
        <is>
          <t>ROBERTSFORS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46253</v>
      </c>
      <c r="F446" t="inlineStr">
        <is>
          <t>VÄSTERBOTTENS LÄN</t>
        </is>
      </c>
      <c r="G446" t="inlineStr">
        <is>
          <t>ROBERTSFORS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45261</v>
      </c>
      <c r="E447" s="1" t="n">
        <v>46253</v>
      </c>
      <c r="F447" t="inlineStr">
        <is>
          <t>VÄSTERBOTTENS LÄN</t>
        </is>
      </c>
      <c r="G447" t="inlineStr">
        <is>
          <t>ROBERTSFORS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45468</v>
      </c>
      <c r="E448" s="1" t="n">
        <v>46253</v>
      </c>
      <c r="F448" t="inlineStr">
        <is>
          <t>VÄSTERBOTTENS LÄN</t>
        </is>
      </c>
      <c r="G448" t="inlineStr">
        <is>
          <t>ROBERTSFORS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46253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46253</v>
      </c>
      <c r="F450" t="inlineStr">
        <is>
          <t>VÄSTERBOTTENS LÄN</t>
        </is>
      </c>
      <c r="G450" t="inlineStr">
        <is>
          <t>ROBERTSFORS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60882-2024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45644</v>
      </c>
      <c r="E451" s="1" t="n">
        <v>46253</v>
      </c>
      <c r="F451" t="inlineStr">
        <is>
          <t>VÄSTERBOTTENS LÄN</t>
        </is>
      </c>
      <c r="G451" t="inlineStr">
        <is>
          <t>ROBERTSFORS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46253</v>
      </c>
      <c r="F452" t="inlineStr">
        <is>
          <t>VÄSTERBOTTENS LÄN</t>
        </is>
      </c>
      <c r="G452" t="inlineStr">
        <is>
          <t>ROBERTSFORS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45510</v>
      </c>
      <c r="E453" s="1" t="n">
        <v>46253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55717-2024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45622</v>
      </c>
      <c r="E454" s="1" t="n">
        <v>46253</v>
      </c>
      <c r="F454" t="inlineStr">
        <is>
          <t>VÄSTERBOTTENS LÄN</t>
        </is>
      </c>
      <c r="G454" t="inlineStr">
        <is>
          <t>ROBERTSFORS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45671</v>
      </c>
      <c r="E455" s="1" t="n">
        <v>46253</v>
      </c>
      <c r="F455" t="inlineStr">
        <is>
          <t>VÄSTERBOTTENS LÄN</t>
        </is>
      </c>
      <c r="G455" t="inlineStr">
        <is>
          <t>ROBERTSFORS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9305-2023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44980</v>
      </c>
      <c r="E456" s="1" t="n">
        <v>46253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46300-2024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45581</v>
      </c>
      <c r="E457" s="1" t="n">
        <v>46253</v>
      </c>
      <c r="F457" t="inlineStr">
        <is>
          <t>VÄSTERBOTTENS LÄN</t>
        </is>
      </c>
      <c r="G457" t="inlineStr">
        <is>
          <t>ROBERTSFORS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46253</v>
      </c>
      <c r="F458" t="inlineStr">
        <is>
          <t>VÄSTERBOTTENS LÄN</t>
        </is>
      </c>
      <c r="G458" t="inlineStr">
        <is>
          <t>ROBERTSFORS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45548</v>
      </c>
      <c r="E459" s="1" t="n">
        <v>46253</v>
      </c>
      <c r="F459" t="inlineStr">
        <is>
          <t>VÄSTERBOTTENS LÄN</t>
        </is>
      </c>
      <c r="G459" t="inlineStr">
        <is>
          <t>ROBERTSFORS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46253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SCA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29958-2026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46253</v>
      </c>
      <c r="F461" t="inlineStr">
        <is>
          <t>VÄSTERBOTTENS LÄN</t>
        </is>
      </c>
      <c r="G461" t="inlineStr">
        <is>
          <t>ROBERTSFORS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65772-2021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44516</v>
      </c>
      <c r="E462" s="1" t="n">
        <v>46253</v>
      </c>
      <c r="F462" t="inlineStr">
        <is>
          <t>VÄSTERBOTTENS LÄN</t>
        </is>
      </c>
      <c r="G462" t="inlineStr">
        <is>
          <t>ROBERTSFORS</t>
        </is>
      </c>
      <c r="I462" t="n">
        <v>18.2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16993-2023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45033</v>
      </c>
      <c r="E463" s="1" t="n">
        <v>46253</v>
      </c>
      <c r="F463" t="inlineStr">
        <is>
          <t>VÄSTERBOTTENS LÄN</t>
        </is>
      </c>
      <c r="G463" t="inlineStr">
        <is>
          <t>ROBERTSFORS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45048</v>
      </c>
      <c r="E464" s="1" t="n">
        <v>46253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46253</v>
      </c>
      <c r="F465" t="inlineStr">
        <is>
          <t>VÄSTERBOTTENS LÄN</t>
        </is>
      </c>
      <c r="G465" t="inlineStr">
        <is>
          <t>ROBERTSFORS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44936</v>
      </c>
      <c r="E466" s="1" t="n">
        <v>46253</v>
      </c>
      <c r="F466" t="inlineStr">
        <is>
          <t>VÄSTERBOTTENS LÄN</t>
        </is>
      </c>
      <c r="G466" t="inlineStr">
        <is>
          <t>ROBERTSFORS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19776-2024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45432</v>
      </c>
      <c r="E467" s="1" t="n">
        <v>46253</v>
      </c>
      <c r="F467" t="inlineStr">
        <is>
          <t>VÄSTERBOTTENS LÄN</t>
        </is>
      </c>
      <c r="G467" t="inlineStr">
        <is>
          <t>ROBERTSFORS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38092-2022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44811</v>
      </c>
      <c r="E468" s="1" t="n">
        <v>46253</v>
      </c>
      <c r="F468" t="inlineStr">
        <is>
          <t>VÄSTERBOTTENS LÄN</t>
        </is>
      </c>
      <c r="G468" t="inlineStr">
        <is>
          <t>ROBERTSFORS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46253</v>
      </c>
      <c r="F469" t="inlineStr">
        <is>
          <t>VÄSTERBOTTENS LÄN</t>
        </is>
      </c>
      <c r="G469" t="inlineStr">
        <is>
          <t>ROBERTSFORS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51966-2024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45607</v>
      </c>
      <c r="E470" s="1" t="n">
        <v>46253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62187-2021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44502</v>
      </c>
      <c r="E471" s="1" t="n">
        <v>46253</v>
      </c>
      <c r="F471" t="inlineStr">
        <is>
          <t>VÄSTERBOTTENS LÄN</t>
        </is>
      </c>
      <c r="G471" t="inlineStr">
        <is>
          <t>ROBERTSFORS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44580</v>
      </c>
      <c r="E472" s="1" t="n">
        <v>46253</v>
      </c>
      <c r="F472" t="inlineStr">
        <is>
          <t>VÄSTERBOTTENS LÄN</t>
        </is>
      </c>
      <c r="G472" t="inlineStr">
        <is>
          <t>ROBERTSFORS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53271-2021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44467</v>
      </c>
      <c r="E473" s="1" t="n">
        <v>46253</v>
      </c>
      <c r="F473" t="inlineStr">
        <is>
          <t>VÄSTERBOTTENS LÄN</t>
        </is>
      </c>
      <c r="G473" t="inlineStr">
        <is>
          <t>ROBERTSFORS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45924-2024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45580</v>
      </c>
      <c r="E474" s="1" t="n">
        <v>46253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26894-2024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45470</v>
      </c>
      <c r="E475" s="1" t="n">
        <v>46253</v>
      </c>
      <c r="F475" t="inlineStr">
        <is>
          <t>VÄSTERBOTTENS LÄN</t>
        </is>
      </c>
      <c r="G475" t="inlineStr">
        <is>
          <t>ROBERTSFORS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45029</v>
      </c>
      <c r="E476" s="1" t="n">
        <v>46253</v>
      </c>
      <c r="F476" t="inlineStr">
        <is>
          <t>VÄSTERBOTTENS LÄN</t>
        </is>
      </c>
      <c r="G476" t="inlineStr">
        <is>
          <t>ROBERTSFORS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44952</v>
      </c>
      <c r="E477" s="1" t="n">
        <v>46253</v>
      </c>
      <c r="F477" t="inlineStr">
        <is>
          <t>VÄSTERBOTTENS LÄN</t>
        </is>
      </c>
      <c r="G477" t="inlineStr">
        <is>
          <t>ROBERTSFORS</t>
        </is>
      </c>
      <c r="I477" t="n">
        <v>16.1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26038-2022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44734</v>
      </c>
      <c r="E478" s="1" t="n">
        <v>46253</v>
      </c>
      <c r="F478" t="inlineStr">
        <is>
          <t>VÄSTERBOTTENS LÄN</t>
        </is>
      </c>
      <c r="G478" t="inlineStr">
        <is>
          <t>ROBERTSFORS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45076</v>
      </c>
      <c r="E479" s="1" t="n">
        <v>46253</v>
      </c>
      <c r="F479" t="inlineStr">
        <is>
          <t>VÄSTERBOTTENS LÄN</t>
        </is>
      </c>
      <c r="G479" t="inlineStr">
        <is>
          <t>ROBERTSFORS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33438-2023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45129</v>
      </c>
      <c r="E480" s="1" t="n">
        <v>46253</v>
      </c>
      <c r="F480" t="inlineStr">
        <is>
          <t>VÄSTERBOTTENS LÄN</t>
        </is>
      </c>
      <c r="G480" t="inlineStr">
        <is>
          <t>ROBERTSFORS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45160</v>
      </c>
      <c r="E481" s="1" t="n">
        <v>46253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55469-2021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44475</v>
      </c>
      <c r="E482" s="1" t="n">
        <v>46253</v>
      </c>
      <c r="F482" t="inlineStr">
        <is>
          <t>VÄSTERBOTTENS LÄN</t>
        </is>
      </c>
      <c r="G482" t="inlineStr">
        <is>
          <t>ROBERTSFORS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45090</v>
      </c>
      <c r="E483" s="1" t="n">
        <v>46253</v>
      </c>
      <c r="F483" t="inlineStr">
        <is>
          <t>VÄSTERBOTTENS LÄN</t>
        </is>
      </c>
      <c r="G483" t="inlineStr">
        <is>
          <t>ROBERTSFORS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46253</v>
      </c>
      <c r="F484" t="inlineStr">
        <is>
          <t>VÄSTERBOTTENS LÄN</t>
        </is>
      </c>
      <c r="G484" t="inlineStr">
        <is>
          <t>ROBERTSFORS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45530</v>
      </c>
      <c r="E485" s="1" t="n">
        <v>46253</v>
      </c>
      <c r="F485" t="inlineStr">
        <is>
          <t>VÄSTERBOTTENS LÄN</t>
        </is>
      </c>
      <c r="G485" t="inlineStr">
        <is>
          <t>ROBERTSFORS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45307</v>
      </c>
      <c r="E486" s="1" t="n">
        <v>46253</v>
      </c>
      <c r="F486" t="inlineStr">
        <is>
          <t>VÄSTERBOTTENS LÄN</t>
        </is>
      </c>
      <c r="G486" t="inlineStr">
        <is>
          <t>ROBERTSFORS</t>
        </is>
      </c>
      <c r="I486" t="n">
        <v>12.1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46253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46253</v>
      </c>
      <c r="F488" t="inlineStr">
        <is>
          <t>VÄSTERBOTTENS LÄN</t>
        </is>
      </c>
      <c r="G488" t="inlineStr">
        <is>
          <t>ROBERTSFORS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45659</v>
      </c>
      <c r="E489" s="1" t="n">
        <v>46253</v>
      </c>
      <c r="F489" t="inlineStr">
        <is>
          <t>VÄSTERBOTTENS LÄN</t>
        </is>
      </c>
      <c r="G489" t="inlineStr">
        <is>
          <t>ROBERTSFORS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46253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46253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45525</v>
      </c>
      <c r="E492" s="1" t="n">
        <v>46253</v>
      </c>
      <c r="F492" t="inlineStr">
        <is>
          <t>VÄSTERBOTTENS LÄN</t>
        </is>
      </c>
      <c r="G492" t="inlineStr">
        <is>
          <t>ROBERTSFORS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45162</v>
      </c>
      <c r="E493" s="1" t="n">
        <v>46253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45365</v>
      </c>
      <c r="E494" s="1" t="n">
        <v>46253</v>
      </c>
      <c r="F494" t="inlineStr">
        <is>
          <t>VÄSTERBOTTENS LÄN</t>
        </is>
      </c>
      <c r="G494" t="inlineStr">
        <is>
          <t>ROBERTSFORS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10330-2024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45365</v>
      </c>
      <c r="E495" s="1" t="n">
        <v>46253</v>
      </c>
      <c r="F495" t="inlineStr">
        <is>
          <t>VÄSTERBOTTENS LÄN</t>
        </is>
      </c>
      <c r="G495" t="inlineStr">
        <is>
          <t>ROBERTSFORS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52832-2024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45610</v>
      </c>
      <c r="E496" s="1" t="n">
        <v>46253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SCA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10334-2023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44980</v>
      </c>
      <c r="E497" s="1" t="n">
        <v>46253</v>
      </c>
      <c r="F497" t="inlineStr">
        <is>
          <t>VÄSTERBOTTENS LÄN</t>
        </is>
      </c>
      <c r="G497" t="inlineStr">
        <is>
          <t>ROBERTSFORS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45215</v>
      </c>
      <c r="E498" s="1" t="n">
        <v>46253</v>
      </c>
      <c r="F498" t="inlineStr">
        <is>
          <t>VÄSTERBOTTENS LÄN</t>
        </is>
      </c>
      <c r="G498" t="inlineStr">
        <is>
          <t>ROBERTSFORS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46253</v>
      </c>
      <c r="F499" t="inlineStr">
        <is>
          <t>VÄSTERBOTTENS LÄN</t>
        </is>
      </c>
      <c r="G499" t="inlineStr">
        <is>
          <t>ROBERTSFORS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46253</v>
      </c>
      <c r="F500" t="inlineStr">
        <is>
          <t>VÄSTERBOTTENS LÄN</t>
        </is>
      </c>
      <c r="G500" t="inlineStr">
        <is>
          <t>ROBERTSFORS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45635</v>
      </c>
      <c r="E501" s="1" t="n">
        <v>46253</v>
      </c>
      <c r="F501" t="inlineStr">
        <is>
          <t>VÄSTERBOTTENS LÄN</t>
        </is>
      </c>
      <c r="G501" t="inlineStr">
        <is>
          <t>ROBERTSFORS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56724-2024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45628</v>
      </c>
      <c r="E502" s="1" t="n">
        <v>46253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46253</v>
      </c>
      <c r="F503" t="inlineStr">
        <is>
          <t>VÄSTERBOTTENS LÄN</t>
        </is>
      </c>
      <c r="G503" t="inlineStr">
        <is>
          <t>ROBERTSFORS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60570-2024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46253</v>
      </c>
      <c r="F504" t="inlineStr">
        <is>
          <t>VÄSTERBOTTENS LÄN</t>
        </is>
      </c>
      <c r="G504" t="inlineStr">
        <is>
          <t>ROBERTSFORS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45628</v>
      </c>
      <c r="E505" s="1" t="n">
        <v>46253</v>
      </c>
      <c r="F505" t="inlineStr">
        <is>
          <t>VÄSTERBOTTENS LÄN</t>
        </is>
      </c>
      <c r="G505" t="inlineStr">
        <is>
          <t>ROBERTSFORS</t>
        </is>
      </c>
      <c r="I505" t="n">
        <v>12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45160</v>
      </c>
      <c r="E506" s="1" t="n">
        <v>46253</v>
      </c>
      <c r="F506" t="inlineStr">
        <is>
          <t>VÄSTERBOTTENS LÄN</t>
        </is>
      </c>
      <c r="G506" t="inlineStr">
        <is>
          <t>ROBERTSFORS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46253</v>
      </c>
      <c r="F507" t="inlineStr">
        <is>
          <t>VÄSTERBOTTENS LÄN</t>
        </is>
      </c>
      <c r="G507" t="inlineStr">
        <is>
          <t>ROBERTSFORS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46253</v>
      </c>
      <c r="F508" t="inlineStr">
        <is>
          <t>VÄSTERBOTTENS LÄN</t>
        </is>
      </c>
      <c r="G508" t="inlineStr">
        <is>
          <t>ROBERTSFORS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46253</v>
      </c>
      <c r="F509" t="inlineStr">
        <is>
          <t>VÄSTERBOTTENS LÄN</t>
        </is>
      </c>
      <c r="G509" t="inlineStr">
        <is>
          <t>ROBERTSFORS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60225-2024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45642</v>
      </c>
      <c r="E510" s="1" t="n">
        <v>46253</v>
      </c>
      <c r="F510" t="inlineStr">
        <is>
          <t>VÄSTERBOTTENS LÄN</t>
        </is>
      </c>
      <c r="G510" t="inlineStr">
        <is>
          <t>ROBERTSFORS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30643-2024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45495</v>
      </c>
      <c r="E511" s="1" t="n">
        <v>46253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45792</v>
      </c>
      <c r="E512" s="1" t="n">
        <v>46253</v>
      </c>
      <c r="F512" t="inlineStr">
        <is>
          <t>VÄSTERBOTTENS LÄN</t>
        </is>
      </c>
      <c r="G512" t="inlineStr">
        <is>
          <t>ROBERTSFORS</t>
        </is>
      </c>
      <c r="I512" t="n">
        <v>10.1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46253</v>
      </c>
      <c r="F513" t="inlineStr">
        <is>
          <t>VÄSTERBOTTENS LÄN</t>
        </is>
      </c>
      <c r="G513" t="inlineStr">
        <is>
          <t>ROBERTSFORS</t>
        </is>
      </c>
      <c r="I513" t="n">
        <v>11.3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44372-2023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45188</v>
      </c>
      <c r="E514" s="1" t="n">
        <v>46253</v>
      </c>
      <c r="F514" t="inlineStr">
        <is>
          <t>VÄSTERBOTTENS LÄN</t>
        </is>
      </c>
      <c r="G514" t="inlineStr">
        <is>
          <t>ROBERTSFORS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45794</v>
      </c>
      <c r="E515" s="1" t="n">
        <v>46253</v>
      </c>
      <c r="F515" t="inlineStr">
        <is>
          <t>VÄSTERBOTTENS LÄN</t>
        </is>
      </c>
      <c r="G515" t="inlineStr">
        <is>
          <t>ROBERTSFORS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45761</v>
      </c>
      <c r="E516" s="1" t="n">
        <v>46253</v>
      </c>
      <c r="F516" t="inlineStr">
        <is>
          <t>VÄSTERBOTTENS LÄN</t>
        </is>
      </c>
      <c r="G516" t="inlineStr">
        <is>
          <t>ROBERTSFORS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46253</v>
      </c>
      <c r="F517" t="inlineStr">
        <is>
          <t>VÄSTERBOTTENS LÄN</t>
        </is>
      </c>
      <c r="G517" t="inlineStr">
        <is>
          <t>ROBERTSFORS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46253</v>
      </c>
      <c r="F518" t="inlineStr">
        <is>
          <t>VÄSTERBOTTENS LÄN</t>
        </is>
      </c>
      <c r="G518" t="inlineStr">
        <is>
          <t>ROBERTSFORS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25373-2025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46253</v>
      </c>
      <c r="F519" t="inlineStr">
        <is>
          <t>VÄSTERBOTTENS LÄN</t>
        </is>
      </c>
      <c r="G519" t="inlineStr">
        <is>
          <t>ROBERTSFORS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45803</v>
      </c>
      <c r="E520" s="1" t="n">
        <v>46253</v>
      </c>
      <c r="F520" t="inlineStr">
        <is>
          <t>VÄSTERBOTTENS LÄN</t>
        </is>
      </c>
      <c r="G520" t="inlineStr">
        <is>
          <t>ROBERTSFORS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45803</v>
      </c>
      <c r="E521" s="1" t="n">
        <v>46253</v>
      </c>
      <c r="F521" t="inlineStr">
        <is>
          <t>VÄSTERBOTTENS LÄN</t>
        </is>
      </c>
      <c r="G521" t="inlineStr">
        <is>
          <t>ROBERTSFORS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46253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46253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46253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46253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46253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46253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46253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46253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2026-08-19T01:49:51Z</dcterms:created>
  <dcterms:modified xmlns:dcterms="http://purl.org/dc/terms/" xmlns:xsi="http://www.w3.org/2001/XMLSchema-instance" xsi:type="dcterms:W3CDTF">2026-08-19T01:49:51Z</dcterms:modified>
</cp:coreProperties>
</file>