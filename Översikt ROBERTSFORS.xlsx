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46290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46290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46290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46290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46290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46290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46290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46290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46290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46290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46290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46290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46290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46290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34727-2025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45848</v>
      </c>
      <c r="E22" s="1" t="n">
        <v>46290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4.3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Ullticka
Spindelblomster</t>
        </is>
      </c>
      <c r="W22">
        <f>HYPERLINK("https://klasma.github.io/Logging_2409/artfynd/A 34727-2025 artfynd.xlsx", "A 34727-2025")</f>
        <v/>
      </c>
      <c r="X22">
        <f>HYPERLINK("https://klasma.github.io/Logging_2409/kartor/A 34727-2025 karta.png", "A 34727-2025")</f>
        <v/>
      </c>
      <c r="Y22">
        <f>HYPERLINK("https://klasma.github.io/Logging_2409/kartor_geotiff/A 34727-2025 georefererad karta.tif", "A 34727-2025")</f>
        <v/>
      </c>
      <c r="AA22">
        <f>HYPERLINK("https://klasma.github.io/Logging_2409/klagomål/A 34727-2025 FSC-klagomål.docx", "A 34727-2025")</f>
        <v/>
      </c>
      <c r="AB22">
        <f>HYPERLINK("https://klasma.github.io/Logging_2409/klagomålsmail/A 34727-2025 FSC-klagomål mail.docx", "A 34727-2025")</f>
        <v/>
      </c>
      <c r="AC22">
        <f>HYPERLINK("https://klasma.github.io/Logging_2409/tillsyn/A 34727-2025 tillsynsbegäran.docx", "A 34727-2025")</f>
        <v/>
      </c>
      <c r="AD22">
        <f>HYPERLINK("https://klasma.github.io/Logging_2409/tillsynsmail/A 34727-2025 tillsynsbegäran mail.docx", "A 34727-2025")</f>
        <v/>
      </c>
      <c r="AE22">
        <f>HYPERLINK("https://klasma.github.io/Logging_2409/fåglar/A 34727-2025 prioriterade fågelarter.docx", "A 34727-2025")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46290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41723-2024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46290</v>
      </c>
      <c r="F24" t="inlineStr">
        <is>
          <t>VÄSTERBOTTENS LÄN</t>
        </is>
      </c>
      <c r="G24" t="inlineStr">
        <is>
          <t>ROBERTSFORS</t>
        </is>
      </c>
      <c r="I24" t="n">
        <v>2.4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Tretåig hackspett
Spillkråka</t>
        </is>
      </c>
      <c r="W24">
        <f>HYPERLINK("https://klasma.github.io/Logging_2409/artfynd/A 41723-2024 artfynd.xlsx", "A 41723-2024")</f>
        <v/>
      </c>
      <c r="X24">
        <f>HYPERLINK("https://klasma.github.io/Logging_2409/kartor/A 41723-2024 karta.png", "A 41723-2024")</f>
        <v/>
      </c>
      <c r="Y24">
        <f>HYPERLINK("https://klasma.github.io/Logging_2409/kartor_geotiff/A 41723-2024 georefererad karta.tif", "A 41723-2024")</f>
        <v/>
      </c>
      <c r="AA24">
        <f>HYPERLINK("https://klasma.github.io/Logging_2409/klagomål/A 41723-2024 FSC-klagomål.docx", "A 41723-2024")</f>
        <v/>
      </c>
      <c r="AB24">
        <f>HYPERLINK("https://klasma.github.io/Logging_2409/klagomålsmail/A 41723-2024 FSC-klagomål mail.docx", "A 41723-2024")</f>
        <v/>
      </c>
      <c r="AC24">
        <f>HYPERLINK("https://klasma.github.io/Logging_2409/tillsyn/A 41723-2024 tillsynsbegäran.docx", "A 41723-2024")</f>
        <v/>
      </c>
      <c r="AD24">
        <f>HYPERLINK("https://klasma.github.io/Logging_2409/tillsynsmail/A 41723-2024 tillsynsbegäran mail.docx", "A 41723-2024")</f>
        <v/>
      </c>
      <c r="AE24">
        <f>HYPERLINK("https://klasma.github.io/Logging_2409/fåglar/A 41723-2024 prioriterade fågelarter.docx", "A 41723-2024")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46290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46290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41962-2023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45177</v>
      </c>
      <c r="E27" s="1" t="n">
        <v>46290</v>
      </c>
      <c r="F27" t="inlineStr">
        <is>
          <t>VÄSTERBOTTENS LÄN</t>
        </is>
      </c>
      <c r="G27" t="inlineStr">
        <is>
          <t>ROBERTSFORS</t>
        </is>
      </c>
      <c r="I27" t="n">
        <v>0.3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Ullticka
Vedticka</t>
        </is>
      </c>
      <c r="W27">
        <f>HYPERLINK("https://klasma.github.io/Logging_2409/artfynd/A 41962-2023 artfynd.xlsx", "A 41962-2023")</f>
        <v/>
      </c>
      <c r="X27">
        <f>HYPERLINK("https://klasma.github.io/Logging_2409/kartor/A 41962-2023 karta.png", "A 41962-2023")</f>
        <v/>
      </c>
      <c r="Y27">
        <f>HYPERLINK("https://klasma.github.io/Logging_2409/kartor_geotiff/A 41962-2023 georefererad karta.tif", "A 41962-2023")</f>
        <v/>
      </c>
      <c r="AA27">
        <f>HYPERLINK("https://klasma.github.io/Logging_2409/klagomål/A 41962-2023 FSC-klagomål.docx", "A 41962-2023")</f>
        <v/>
      </c>
      <c r="AB27">
        <f>HYPERLINK("https://klasma.github.io/Logging_2409/klagomålsmail/A 41962-2023 FSC-klagomål mail.docx", "A 41962-2023")</f>
        <v/>
      </c>
      <c r="AC27">
        <f>HYPERLINK("https://klasma.github.io/Logging_2409/tillsyn/A 41962-2023 tillsynsbegäran.docx", "A 41962-2023")</f>
        <v/>
      </c>
      <c r="AD27">
        <f>HYPERLINK("https://klasma.github.io/Logging_2409/tillsynsmail/A 41962-2023 tillsynsbegäran mail.docx", "A 41962-2023")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46290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46290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46290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46290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46290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43094-2023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46290</v>
      </c>
      <c r="F33" t="inlineStr">
        <is>
          <t>VÄSTERBOTTENS LÄN</t>
        </is>
      </c>
      <c r="G33" t="inlineStr">
        <is>
          <t>ROBERTSFORS</t>
        </is>
      </c>
      <c r="I33" t="n">
        <v>7.7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flugsnappare
Ärtsångare</t>
        </is>
      </c>
      <c r="W33">
        <f>HYPERLINK("https://klasma.github.io/Logging_2409/artfynd/A 43094-2023 artfynd.xlsx", "A 43094-2023")</f>
        <v/>
      </c>
      <c r="X33">
        <f>HYPERLINK("https://klasma.github.io/Logging_2409/kartor/A 43094-2023 karta.png", "A 43094-2023")</f>
        <v/>
      </c>
      <c r="Y33">
        <f>HYPERLINK("https://klasma.github.io/Logging_2409/kartor_geotiff/A 43094-2023 georefererad karta.tif", "A 43094-2023")</f>
        <v/>
      </c>
      <c r="AA33">
        <f>HYPERLINK("https://klasma.github.io/Logging_2409/klagomål/A 43094-2023 FSC-klagomål.docx", "A 43094-2023")</f>
        <v/>
      </c>
      <c r="AB33">
        <f>HYPERLINK("https://klasma.github.io/Logging_2409/klagomålsmail/A 43094-2023 FSC-klagomål mail.docx", "A 43094-2023")</f>
        <v/>
      </c>
      <c r="AC33">
        <f>HYPERLINK("https://klasma.github.io/Logging_2409/tillsyn/A 43094-2023 tillsynsbegäran.docx", "A 43094-2023")</f>
        <v/>
      </c>
      <c r="AD33">
        <f>HYPERLINK("https://klasma.github.io/Logging_2409/tillsynsmail/A 43094-2023 tillsynsbegäran mail.docx", "A 43094-2023")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46290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43097-2023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46290</v>
      </c>
      <c r="F35" t="inlineStr">
        <is>
          <t>VÄSTERBOTTENS LÄN</t>
        </is>
      </c>
      <c r="G35" t="inlineStr">
        <is>
          <t>ROBERTSFORS</t>
        </is>
      </c>
      <c r="I35" t="n">
        <v>3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Talltita</t>
        </is>
      </c>
      <c r="W35">
        <f>HYPERLINK("https://klasma.github.io/Logging_2409/artfynd/A 43097-2023 artfynd.xlsx", "A 43097-2023")</f>
        <v/>
      </c>
      <c r="X35">
        <f>HYPERLINK("https://klasma.github.io/Logging_2409/kartor/A 43097-2023 karta.png", "A 43097-2023")</f>
        <v/>
      </c>
      <c r="Y35">
        <f>HYPERLINK("https://klasma.github.io/Logging_2409/kartor_geotiff/A 43097-2023 georefererad karta.tif", "A 43097-2023")</f>
        <v/>
      </c>
      <c r="AA35">
        <f>HYPERLINK("https://klasma.github.io/Logging_2409/klagomål/A 43097-2023 FSC-klagomål.docx", "A 43097-2023")</f>
        <v/>
      </c>
      <c r="AB35">
        <f>HYPERLINK("https://klasma.github.io/Logging_2409/klagomålsmail/A 43097-2023 FSC-klagomål mail.docx", "A 43097-2023")</f>
        <v/>
      </c>
      <c r="AC35">
        <f>HYPERLINK("https://klasma.github.io/Logging_2409/tillsyn/A 43097-2023 tillsynsbegäran.docx", "A 43097-2023")</f>
        <v/>
      </c>
      <c r="AD35">
        <f>HYPERLINK("https://klasma.github.io/Logging_2409/tillsynsmail/A 43097-2023 tillsynsbegäran mail.docx", "A 43097-2023")</f>
        <v/>
      </c>
      <c r="AE35">
        <f>HYPERLINK("https://klasma.github.io/Logging_2409/fåglar/A 43097-2023 prioriterade fågelarter.docx", "A 43097-2023")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46290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46290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46290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46290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36703-2023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45153</v>
      </c>
      <c r="E42" s="1" t="n">
        <v>46290</v>
      </c>
      <c r="F42" t="inlineStr">
        <is>
          <t>VÄSTERBOTTENS LÄN</t>
        </is>
      </c>
      <c r="G42" t="inlineStr">
        <is>
          <t>ROBERTSFORS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Tallkötticka</t>
        </is>
      </c>
      <c r="W42">
        <f>HYPERLINK("https://klasma.github.io/Logging_2409/artfynd/A 36703-2023 artfynd.xlsx", "A 36703-2023")</f>
        <v/>
      </c>
      <c r="X42">
        <f>HYPERLINK("https://klasma.github.io/Logging_2409/kartor/A 36703-2023 karta.png", "A 36703-2023")</f>
        <v/>
      </c>
      <c r="Y42">
        <f>HYPERLINK("https://klasma.github.io/Logging_2409/kartor_geotiff/A 36703-2023 georefererad karta.tif", "A 36703-2023")</f>
        <v/>
      </c>
      <c r="AA42">
        <f>HYPERLINK("https://klasma.github.io/Logging_2409/klagomål/A 36703-2023 FSC-klagomål.docx", "A 36703-2023")</f>
        <v/>
      </c>
      <c r="AB42">
        <f>HYPERLINK("https://klasma.github.io/Logging_2409/klagomålsmail/A 36703-2023 FSC-klagomål mail.docx", "A 36703-2023")</f>
        <v/>
      </c>
      <c r="AC42">
        <f>HYPERLINK("https://klasma.github.io/Logging_2409/tillsyn/A 36703-2023 tillsynsbegäran.docx", "A 36703-2023")</f>
        <v/>
      </c>
      <c r="AD42">
        <f>HYPERLINK("https://klasma.github.io/Logging_2409/tillsynsmail/A 36703-2023 tillsynsbegäran mail.docx", "A 36703-2023")</f>
        <v/>
      </c>
    </row>
    <row r="43" ht="15" customHeight="1">
      <c r="A43" t="inlineStr">
        <is>
          <t>A 54484-2023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46290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3</v>
      </c>
      <c r="U43" t="n">
        <v>1</v>
      </c>
      <c r="V43" s="2" t="inlineStr">
        <is>
          <t>Dropptaggsvamp</t>
        </is>
      </c>
      <c r="W43">
        <f>HYPERLINK("https://klasma.github.io/Logging_2409/artfynd/A 54484-2023 artfynd.xlsx", "A 54484-2023")</f>
        <v/>
      </c>
      <c r="X43">
        <f>HYPERLINK("https://klasma.github.io/Logging_2409/kartor/A 54484-2023 karta.png", "A 54484-2023")</f>
        <v/>
      </c>
      <c r="Y43">
        <f>HYPERLINK("https://klasma.github.io/Logging_2409/kartor_geotiff/A 54484-2023 georefererad karta.tif", "A 54484-2023")</f>
        <v/>
      </c>
      <c r="AA43">
        <f>HYPERLINK("https://klasma.github.io/Logging_2409/klagomål/A 54484-2023 FSC-klagomål.docx", "A 54484-2023")</f>
        <v/>
      </c>
      <c r="AB43">
        <f>HYPERLINK("https://klasma.github.io/Logging_2409/klagomålsmail/A 54484-2023 FSC-klagomål mail.docx", "A 54484-2023")</f>
        <v/>
      </c>
      <c r="AC43">
        <f>HYPERLINK("https://klasma.github.io/Logging_2409/tillsyn/A 54484-2023 tillsynsbegäran.docx", "A 54484-2023")</f>
        <v/>
      </c>
      <c r="AD43">
        <f>HYPERLINK("https://klasma.github.io/Logging_2409/tillsynsmail/A 54484-2023 tillsynsbegäran mail.docx", "A 54484-2023")</f>
        <v/>
      </c>
    </row>
    <row r="44" ht="15" customHeight="1">
      <c r="A44" t="inlineStr">
        <is>
          <t>A 57284-2023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45245</v>
      </c>
      <c r="E44" s="1" t="n">
        <v>46290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6.8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Tallticka</t>
        </is>
      </c>
      <c r="W44">
        <f>HYPERLINK("https://klasma.github.io/Logging_2409/artfynd/A 57284-2023 artfynd.xlsx", "A 57284-2023")</f>
        <v/>
      </c>
      <c r="X44">
        <f>HYPERLINK("https://klasma.github.io/Logging_2409/kartor/A 57284-2023 karta.png", "A 57284-2023")</f>
        <v/>
      </c>
      <c r="Y44">
        <f>HYPERLINK("https://klasma.github.io/Logging_2409/kartor_geotiff/A 57284-2023 georefererad karta.tif", "A 57284-2023")</f>
        <v/>
      </c>
      <c r="AA44">
        <f>HYPERLINK("https://klasma.github.io/Logging_2409/klagomål/A 57284-2023 FSC-klagomål.docx", "A 57284-2023")</f>
        <v/>
      </c>
      <c r="AB44">
        <f>HYPERLINK("https://klasma.github.io/Logging_2409/klagomålsmail/A 57284-2023 FSC-klagomål mail.docx", "A 57284-2023")</f>
        <v/>
      </c>
      <c r="AC44">
        <f>HYPERLINK("https://klasma.github.io/Logging_2409/tillsyn/A 57284-2023 tillsynsbegäran.docx", "A 57284-2023")</f>
        <v/>
      </c>
      <c r="AD44">
        <f>HYPERLINK("https://klasma.github.io/Logging_2409/tillsynsmail/A 57284-2023 tillsynsbegäran mail.docx", "A 57284-2023")</f>
        <v/>
      </c>
    </row>
    <row r="45" ht="15" customHeight="1">
      <c r="A45" t="inlineStr">
        <is>
          <t>A 32023-2024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45510</v>
      </c>
      <c r="E45" s="1" t="n">
        <v>46290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Dropptaggsvamp</t>
        </is>
      </c>
      <c r="W45">
        <f>HYPERLINK("https://klasma.github.io/Logging_2409/artfynd/A 32023-2024 artfynd.xlsx", "A 32023-2024")</f>
        <v/>
      </c>
      <c r="X45">
        <f>HYPERLINK("https://klasma.github.io/Logging_2409/kartor/A 32023-2024 karta.png", "A 32023-2024")</f>
        <v/>
      </c>
      <c r="Y45">
        <f>HYPERLINK("https://klasma.github.io/Logging_2409/kartor_geotiff/A 32023-2024 georefererad karta.tif", "A 32023-2024")</f>
        <v/>
      </c>
      <c r="AA45">
        <f>HYPERLINK("https://klasma.github.io/Logging_2409/klagomål/A 32023-2024 FSC-klagomål.docx", "A 32023-2024")</f>
        <v/>
      </c>
      <c r="AB45">
        <f>HYPERLINK("https://klasma.github.io/Logging_2409/klagomålsmail/A 32023-2024 FSC-klagomål mail.docx", "A 32023-2024")</f>
        <v/>
      </c>
      <c r="AC45">
        <f>HYPERLINK("https://klasma.github.io/Logging_2409/tillsyn/A 32023-2024 tillsynsbegäran.docx", "A 32023-2024")</f>
        <v/>
      </c>
      <c r="AD45">
        <f>HYPERLINK("https://klasma.github.io/Logging_2409/tillsynsmail/A 32023-2024 tillsynsbegäran mail.docx", "A 32023-2024")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46290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40600-2022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46290</v>
      </c>
      <c r="F47" t="inlineStr">
        <is>
          <t>VÄSTERBOTTENS LÄN</t>
        </is>
      </c>
      <c r="G47" t="inlineStr">
        <is>
          <t>ROBERTSFORS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Fiskgjuse</t>
        </is>
      </c>
      <c r="W47">
        <f>HYPERLINK("https://klasma.github.io/Logging_2409/artfynd/A 40600-2022 artfynd.xlsx", "A 40600-2022")</f>
        <v/>
      </c>
      <c r="X47">
        <f>HYPERLINK("https://klasma.github.io/Logging_2409/kartor/A 40600-2022 karta.png", "A 40600-2022")</f>
        <v/>
      </c>
      <c r="Y47">
        <f>HYPERLINK("https://klasma.github.io/Logging_2409/kartor_geotiff/A 40600-2022 georefererad karta.tif", "A 40600-2022")</f>
        <v/>
      </c>
      <c r="AA47">
        <f>HYPERLINK("https://klasma.github.io/Logging_2409/klagomål/A 40600-2022 FSC-klagomål.docx", "A 40600-2022")</f>
        <v/>
      </c>
      <c r="AB47">
        <f>HYPERLINK("https://klasma.github.io/Logging_2409/klagomålsmail/A 40600-2022 FSC-klagomål mail.docx", "A 40600-2022")</f>
        <v/>
      </c>
      <c r="AC47">
        <f>HYPERLINK("https://klasma.github.io/Logging_2409/tillsyn/A 40600-2022 tillsynsbegäran.docx", "A 40600-2022")</f>
        <v/>
      </c>
      <c r="AD47">
        <f>HYPERLINK("https://klasma.github.io/Logging_2409/tillsynsmail/A 40600-2022 tillsynsbegäran mail.docx", "A 40600-2022")</f>
        <v/>
      </c>
      <c r="AE47">
        <f>HYPERLINK("https://klasma.github.io/Logging_2409/fåglar/A 40600-2022 prioriterade fågelarter.docx", "A 40600-2022")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46290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46290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32876-2023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45124</v>
      </c>
      <c r="E50" s="1" t="n">
        <v>46290</v>
      </c>
      <c r="F50" t="inlineStr">
        <is>
          <t>VÄSTERBOTTENS LÄN</t>
        </is>
      </c>
      <c r="G50" t="inlineStr">
        <is>
          <t>ROBERTSFORS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HYPERLINK("https://klasma.github.io/Logging_2409/artfynd/A 32876-2023 artfynd.xlsx", "A 32876-2023")</f>
        <v/>
      </c>
      <c r="X50">
        <f>HYPERLINK("https://klasma.github.io/Logging_2409/kartor/A 32876-2023 karta.png", "A 32876-2023")</f>
        <v/>
      </c>
      <c r="Y50">
        <f>HYPERLINK("https://klasma.github.io/Logging_2409/kartor_geotiff/A 32876-2023 georefererad karta.tif", "A 32876-2023")</f>
        <v/>
      </c>
      <c r="AA50">
        <f>HYPERLINK("https://klasma.github.io/Logging_2409/klagomål/A 32876-2023 FSC-klagomål.docx", "A 32876-2023")</f>
        <v/>
      </c>
      <c r="AB50">
        <f>HYPERLINK("https://klasma.github.io/Logging_2409/klagomålsmail/A 32876-2023 FSC-klagomål mail.docx", "A 32876-2023")</f>
        <v/>
      </c>
      <c r="AC50">
        <f>HYPERLINK("https://klasma.github.io/Logging_2409/tillsyn/A 32876-2023 tillsynsbegäran.docx", "A 32876-2023")</f>
        <v/>
      </c>
      <c r="AD50">
        <f>HYPERLINK("https://klasma.github.io/Logging_2409/tillsynsmail/A 32876-2023 tillsynsbegäran mail.docx", "A 32876-2023")</f>
        <v/>
      </c>
    </row>
    <row r="51" ht="15" customHeight="1">
      <c r="A51" t="inlineStr">
        <is>
          <t>A 10145-2025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46290</v>
      </c>
      <c r="F51" t="inlineStr">
        <is>
          <t>VÄSTERBOTTENS LÄN</t>
        </is>
      </c>
      <c r="G51" t="inlineStr">
        <is>
          <t>ROBERTSFORS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HYPERLINK("https://klasma.github.io/Logging_2409/artfynd/A 10145-2025 artfynd.xlsx", "A 10145-2025")</f>
        <v/>
      </c>
      <c r="X51">
        <f>HYPERLINK("https://klasma.github.io/Logging_2409/kartor/A 10145-2025 karta.png", "A 10145-2025")</f>
        <v/>
      </c>
      <c r="Y51">
        <f>HYPERLINK("https://klasma.github.io/Logging_2409/kartor_geotiff/A 10145-2025 georefererad karta.tif", "A 10145-2025")</f>
        <v/>
      </c>
      <c r="AA51">
        <f>HYPERLINK("https://klasma.github.io/Logging_2409/klagomål/A 10145-2025 FSC-klagomål.docx", "A 10145-2025")</f>
        <v/>
      </c>
      <c r="AB51">
        <f>HYPERLINK("https://klasma.github.io/Logging_2409/klagomålsmail/A 10145-2025 FSC-klagomål mail.docx", "A 10145-2025")</f>
        <v/>
      </c>
      <c r="AC51">
        <f>HYPERLINK("https://klasma.github.io/Logging_2409/tillsyn/A 10145-2025 tillsynsbegäran.docx", "A 10145-2025")</f>
        <v/>
      </c>
      <c r="AD51">
        <f>HYPERLINK("https://klasma.github.io/Logging_2409/tillsynsmail/A 10145-2025 tillsynsbegäran mail.docx", "A 10145-2025")</f>
        <v/>
      </c>
    </row>
    <row r="52" ht="15" customHeight="1">
      <c r="A52" t="inlineStr">
        <is>
          <t>A 38777-2023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45163</v>
      </c>
      <c r="E52" s="1" t="n">
        <v>46290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5.9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Talltita</t>
        </is>
      </c>
      <c r="W52">
        <f>HYPERLINK("https://klasma.github.io/Logging_2409/artfynd/A 38777-2023 artfynd.xlsx", "A 38777-2023")</f>
        <v/>
      </c>
      <c r="X52">
        <f>HYPERLINK("https://klasma.github.io/Logging_2409/kartor/A 38777-2023 karta.png", "A 38777-2023")</f>
        <v/>
      </c>
      <c r="Y52">
        <f>HYPERLINK("https://klasma.github.io/Logging_2409/kartor_geotiff/A 38777-2023 georefererad karta.tif", "A 38777-2023")</f>
        <v/>
      </c>
      <c r="AA52">
        <f>HYPERLINK("https://klasma.github.io/Logging_2409/klagomål/A 38777-2023 FSC-klagomål.docx", "A 38777-2023")</f>
        <v/>
      </c>
      <c r="AB52">
        <f>HYPERLINK("https://klasma.github.io/Logging_2409/klagomålsmail/A 38777-2023 FSC-klagomål mail.docx", "A 38777-2023")</f>
        <v/>
      </c>
      <c r="AC52">
        <f>HYPERLINK("https://klasma.github.io/Logging_2409/tillsyn/A 38777-2023 tillsynsbegäran.docx", "A 38777-2023")</f>
        <v/>
      </c>
      <c r="AD52">
        <f>HYPERLINK("https://klasma.github.io/Logging_2409/tillsynsmail/A 38777-2023 tillsynsbegäran mail.docx", "A 38777-2023")</f>
        <v/>
      </c>
      <c r="AE52">
        <f>HYPERLINK("https://klasma.github.io/Logging_2409/fåglar/A 38777-2023 prioriterade fågelarter.docx", "A 38777-2023")</f>
        <v/>
      </c>
    </row>
    <row r="53" ht="15" customHeight="1">
      <c r="A53" t="inlineStr">
        <is>
          <t>A 57653-2024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46290</v>
      </c>
      <c r="F53" t="inlineStr">
        <is>
          <t>VÄSTERBOTTENS LÄN</t>
        </is>
      </c>
      <c r="G53" t="inlineStr">
        <is>
          <t>ROBERTSFORS</t>
        </is>
      </c>
      <c r="I53" t="n">
        <v>6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Blå kärrhök</t>
        </is>
      </c>
      <c r="W53">
        <f>HYPERLINK("https://klasma.github.io/Logging_2409/artfynd/A 57653-2024 artfynd.xlsx", "A 57653-2024")</f>
        <v/>
      </c>
      <c r="X53">
        <f>HYPERLINK("https://klasma.github.io/Logging_2409/kartor/A 57653-2024 karta.png", "A 57653-2024")</f>
        <v/>
      </c>
      <c r="Y53">
        <f>HYPERLINK("https://klasma.github.io/Logging_2409/kartor_geotiff/A 57653-2024 georefererad karta.tif", "A 57653-2024")</f>
        <v/>
      </c>
      <c r="AA53">
        <f>HYPERLINK("https://klasma.github.io/Logging_2409/klagomål/A 57653-2024 FSC-klagomål.docx", "A 57653-2024")</f>
        <v/>
      </c>
      <c r="AB53">
        <f>HYPERLINK("https://klasma.github.io/Logging_2409/klagomålsmail/A 57653-2024 FSC-klagomål mail.docx", "A 57653-2024")</f>
        <v/>
      </c>
      <c r="AC53">
        <f>HYPERLINK("https://klasma.github.io/Logging_2409/tillsyn/A 57653-2024 tillsynsbegäran.docx", "A 57653-2024")</f>
        <v/>
      </c>
      <c r="AD53">
        <f>HYPERLINK("https://klasma.github.io/Logging_2409/tillsynsmail/A 57653-2024 tillsynsbegäran mail.docx", "A 57653-2024")</f>
        <v/>
      </c>
      <c r="AE53">
        <f>HYPERLINK("https://klasma.github.io/Logging_2409/fåglar/A 57653-2024 prioriterade fågelarter.docx", "A 57653-2024")</f>
        <v/>
      </c>
    </row>
    <row r="54" ht="15" customHeight="1">
      <c r="A54" t="inlineStr">
        <is>
          <t>A 5285-2026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46290</v>
      </c>
      <c r="F54" t="inlineStr">
        <is>
          <t>VÄSTERBOTTENS LÄN</t>
        </is>
      </c>
      <c r="G54" t="inlineStr">
        <is>
          <t>ROBERTSFORS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HYPERLINK("https://klasma.github.io/Logging_2409/artfynd/A 5285-2026 artfynd.xlsx", "A 5285-2026")</f>
        <v/>
      </c>
      <c r="X54">
        <f>HYPERLINK("https://klasma.github.io/Logging_2409/kartor/A 5285-2026 karta.png", "A 5285-2026")</f>
        <v/>
      </c>
      <c r="Y54">
        <f>HYPERLINK("https://klasma.github.io/Logging_2409/kartor_geotiff/A 5285-2026 georefererad karta.tif", "A 5285-2026")</f>
        <v/>
      </c>
      <c r="AA54">
        <f>HYPERLINK("https://klasma.github.io/Logging_2409/klagomål/A 5285-2026 FSC-klagomål.docx", "A 5285-2026")</f>
        <v/>
      </c>
      <c r="AB54">
        <f>HYPERLINK("https://klasma.github.io/Logging_2409/klagomålsmail/A 5285-2026 FSC-klagomål mail.docx", "A 5285-2026")</f>
        <v/>
      </c>
      <c r="AC54">
        <f>HYPERLINK("https://klasma.github.io/Logging_2409/tillsyn/A 5285-2026 tillsynsbegäran.docx", "A 5285-2026")</f>
        <v/>
      </c>
      <c r="AD54">
        <f>HYPERLINK("https://klasma.github.io/Logging_2409/tillsynsmail/A 5285-2026 tillsynsbegäran mail.docx", "A 5285-2026")</f>
        <v/>
      </c>
      <c r="AE54">
        <f>HYPERLINK("https://klasma.github.io/Logging_2409/fåglar/A 5285-2026 prioriterade fågelarter.docx", "A 5285-2026")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46290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5284-2026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46290</v>
      </c>
      <c r="F56" t="inlineStr">
        <is>
          <t>VÄSTERBOTTENS LÄN</t>
        </is>
      </c>
      <c r="G56" t="inlineStr">
        <is>
          <t>ROBERTSFORS</t>
        </is>
      </c>
      <c r="I56" t="n">
        <v>3.1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Talltita</t>
        </is>
      </c>
      <c r="W56">
        <f>HYPERLINK("https://klasma.github.io/Logging_2409/artfynd/A 5284-2026 artfynd.xlsx", "A 5284-2026")</f>
        <v/>
      </c>
      <c r="X56">
        <f>HYPERLINK("https://klasma.github.io/Logging_2409/kartor/A 5284-2026 karta.png", "A 5284-2026")</f>
        <v/>
      </c>
      <c r="Y56">
        <f>HYPERLINK("https://klasma.github.io/Logging_2409/kartor_geotiff/A 5284-2026 georefererad karta.tif", "A 5284-2026")</f>
        <v/>
      </c>
      <c r="AA56">
        <f>HYPERLINK("https://klasma.github.io/Logging_2409/klagomål/A 5284-2026 FSC-klagomål.docx", "A 5284-2026")</f>
        <v/>
      </c>
      <c r="AB56">
        <f>HYPERLINK("https://klasma.github.io/Logging_2409/klagomålsmail/A 5284-2026 FSC-klagomål mail.docx", "A 5284-2026")</f>
        <v/>
      </c>
      <c r="AC56">
        <f>HYPERLINK("https://klasma.github.io/Logging_2409/tillsyn/A 5284-2026 tillsynsbegäran.docx", "A 5284-2026")</f>
        <v/>
      </c>
      <c r="AD56">
        <f>HYPERLINK("https://klasma.github.io/Logging_2409/tillsynsmail/A 5284-2026 tillsynsbegäran mail.docx", "A 5284-2026")</f>
        <v/>
      </c>
      <c r="AE56">
        <f>HYPERLINK("https://klasma.github.io/Logging_2409/fåglar/A 5284-2026 prioriterade fågelarter.docx", "A 5284-2026")</f>
        <v/>
      </c>
    </row>
    <row r="57" ht="15" customHeight="1">
      <c r="A57" t="inlineStr">
        <is>
          <t>A 52723-2025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46290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HYPERLINK("https://klasma.github.io/Logging_2409/artfynd/A 52723-2025 artfynd.xlsx", "A 52723-2025")</f>
        <v/>
      </c>
      <c r="X57">
        <f>HYPERLINK("https://klasma.github.io/Logging_2409/kartor/A 52723-2025 karta.png", "A 52723-2025")</f>
        <v/>
      </c>
      <c r="Y57">
        <f>HYPERLINK("https://klasma.github.io/Logging_2409/kartor_geotiff/A 52723-2025 georefererad karta.tif", "A 52723-2025")</f>
        <v/>
      </c>
      <c r="AA57">
        <f>HYPERLINK("https://klasma.github.io/Logging_2409/klagomål/A 52723-2025 FSC-klagomål.docx", "A 52723-2025")</f>
        <v/>
      </c>
      <c r="AB57">
        <f>HYPERLINK("https://klasma.github.io/Logging_2409/klagomålsmail/A 52723-2025 FSC-klagomål mail.docx", "A 52723-2025")</f>
        <v/>
      </c>
      <c r="AC57">
        <f>HYPERLINK("https://klasma.github.io/Logging_2409/tillsyn/A 52723-2025 tillsynsbegäran.docx", "A 52723-2025")</f>
        <v/>
      </c>
      <c r="AD57">
        <f>HYPERLINK("https://klasma.github.io/Logging_2409/tillsynsmail/A 52723-2025 tillsynsbegäran mail.docx", "A 52723-2025")</f>
        <v/>
      </c>
      <c r="AE57">
        <f>HYPERLINK("https://klasma.github.io/Logging_2409/fåglar/A 52723-2025 prioriterade fågelarter.docx", "A 52723-2025")</f>
        <v/>
      </c>
    </row>
    <row r="58" ht="15" customHeight="1">
      <c r="A58" t="inlineStr">
        <is>
          <t>A 57270-2023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45245</v>
      </c>
      <c r="E58" s="1" t="n">
        <v>46290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HYPERLINK("https://klasma.github.io/Logging_2409/artfynd/A 57270-2023 artfynd.xlsx", "A 57270-2023")</f>
        <v/>
      </c>
      <c r="X58">
        <f>HYPERLINK("https://klasma.github.io/Logging_2409/kartor/A 57270-2023 karta.png", "A 57270-2023")</f>
        <v/>
      </c>
      <c r="Y58">
        <f>HYPERLINK("https://klasma.github.io/Logging_2409/kartor_geotiff/A 57270-2023 georefererad karta.tif", "A 57270-2023")</f>
        <v/>
      </c>
      <c r="AA58">
        <f>HYPERLINK("https://klasma.github.io/Logging_2409/klagomål/A 57270-2023 FSC-klagomål.docx", "A 57270-2023")</f>
        <v/>
      </c>
      <c r="AB58">
        <f>HYPERLINK("https://klasma.github.io/Logging_2409/klagomålsmail/A 57270-2023 FSC-klagomål mail.docx", "A 57270-2023")</f>
        <v/>
      </c>
      <c r="AC58">
        <f>HYPERLINK("https://klasma.github.io/Logging_2409/tillsyn/A 57270-2023 tillsynsbegäran.docx", "A 57270-2023")</f>
        <v/>
      </c>
      <c r="AD58">
        <f>HYPERLINK("https://klasma.github.io/Logging_2409/tillsynsmail/A 57270-2023 tillsynsbegäran mail.docx", "A 57270-2023")</f>
        <v/>
      </c>
    </row>
    <row r="59" ht="15" customHeight="1">
      <c r="A59" t="inlineStr">
        <is>
          <t>A 28750-2026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46290</v>
      </c>
      <c r="F59" t="inlineStr">
        <is>
          <t>VÄSTERBOTTENS LÄN</t>
        </is>
      </c>
      <c r="G59" t="inlineStr">
        <is>
          <t>ROBERTSFORS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Nordfladdermus</t>
        </is>
      </c>
      <c r="W59">
        <f>HYPERLINK("https://klasma.github.io/Logging_2409/artfynd/A 28750-2026 artfynd.xlsx", "A 28750-2026")</f>
        <v/>
      </c>
      <c r="X59">
        <f>HYPERLINK("https://klasma.github.io/Logging_2409/kartor/A 28750-2026 karta.png", "A 28750-2026")</f>
        <v/>
      </c>
      <c r="Y59">
        <f>HYPERLINK("https://klasma.github.io/Logging_2409/kartor_geotiff/A 28750-2026 georefererad karta.tif", "A 28750-2026")</f>
        <v/>
      </c>
      <c r="AA59">
        <f>HYPERLINK("https://klasma.github.io/Logging_2409/klagomål/A 28750-2026 FSC-klagomål.docx", "A 28750-2026")</f>
        <v/>
      </c>
      <c r="AB59">
        <f>HYPERLINK("https://klasma.github.io/Logging_2409/klagomålsmail/A 28750-2026 FSC-klagomål mail.docx", "A 28750-2026")</f>
        <v/>
      </c>
      <c r="AC59">
        <f>HYPERLINK("https://klasma.github.io/Logging_2409/tillsyn/A 28750-2026 tillsynsbegäran.docx", "A 28750-2026")</f>
        <v/>
      </c>
      <c r="AD59">
        <f>HYPERLINK("https://klasma.github.io/Logging_2409/tillsynsmail/A 28750-2026 tillsynsbegäran mail.docx", "A 28750-2026")</f>
        <v/>
      </c>
    </row>
    <row r="60" ht="15" customHeight="1">
      <c r="A60" t="inlineStr">
        <is>
          <t>A 29583-2026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46290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SCA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Björksplintborre</t>
        </is>
      </c>
      <c r="W60">
        <f>HYPERLINK("https://klasma.github.io/Logging_2409/artfynd/A 29583-2026 artfynd.xlsx", "A 29583-2026")</f>
        <v/>
      </c>
      <c r="X60">
        <f>HYPERLINK("https://klasma.github.io/Logging_2409/kartor/A 29583-2026 karta.png", "A 29583-2026")</f>
        <v/>
      </c>
      <c r="Y60">
        <f>HYPERLINK("https://klasma.github.io/Logging_2409/kartor_geotiff/A 29583-2026 georefererad karta.tif", "A 29583-2026")</f>
        <v/>
      </c>
      <c r="AA60">
        <f>HYPERLINK("https://klasma.github.io/Logging_2409/klagomål/A 29583-2026 FSC-klagomål.docx", "A 29583-2026")</f>
        <v/>
      </c>
      <c r="AB60">
        <f>HYPERLINK("https://klasma.github.io/Logging_2409/klagomålsmail/A 29583-2026 FSC-klagomål mail.docx", "A 29583-2026")</f>
        <v/>
      </c>
      <c r="AC60">
        <f>HYPERLINK("https://klasma.github.io/Logging_2409/tillsyn/A 29583-2026 tillsynsbegäran.docx", "A 29583-2026")</f>
        <v/>
      </c>
      <c r="AD60">
        <f>HYPERLINK("https://klasma.github.io/Logging_2409/tillsynsmail/A 29583-2026 tillsynsbegäran mail.docx", "A 29583-2026")</f>
        <v/>
      </c>
    </row>
    <row r="61" ht="15" customHeight="1">
      <c r="A61" t="inlineStr">
        <is>
          <t>A 5969-2025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45695</v>
      </c>
      <c r="E61" s="1" t="n">
        <v>46290</v>
      </c>
      <c r="F61" t="inlineStr">
        <is>
          <t>VÄSTERBOTTENS LÄN</t>
        </is>
      </c>
      <c r="G61" t="inlineStr">
        <is>
          <t>ROBERTSFORS</t>
        </is>
      </c>
      <c r="I61" t="n">
        <v>18.1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Tretåig hackspett</t>
        </is>
      </c>
      <c r="W61">
        <f>HYPERLINK("https://klasma.github.io/Logging_2409/artfynd/A 5969-2025 artfynd.xlsx", "A 5969-2025")</f>
        <v/>
      </c>
      <c r="X61">
        <f>HYPERLINK("https://klasma.github.io/Logging_2409/kartor/A 5969-2025 karta.png", "A 5969-2025")</f>
        <v/>
      </c>
      <c r="Y61">
        <f>HYPERLINK("https://klasma.github.io/Logging_2409/kartor_geotiff/A 5969-2025 georefererad karta.tif", "A 5969-2025")</f>
        <v/>
      </c>
      <c r="AA61">
        <f>HYPERLINK("https://klasma.github.io/Logging_2409/klagomål/A 5969-2025 FSC-klagomål.docx", "A 5969-2025")</f>
        <v/>
      </c>
      <c r="AB61">
        <f>HYPERLINK("https://klasma.github.io/Logging_2409/klagomålsmail/A 5969-2025 FSC-klagomål mail.docx", "A 5969-2025")</f>
        <v/>
      </c>
      <c r="AC61">
        <f>HYPERLINK("https://klasma.github.io/Logging_2409/tillsyn/A 5969-2025 tillsynsbegäran.docx", "A 5969-2025")</f>
        <v/>
      </c>
      <c r="AD61">
        <f>HYPERLINK("https://klasma.github.io/Logging_2409/tillsynsmail/A 5969-2025 tillsynsbegäran mail.docx", "A 5969-2025")</f>
        <v/>
      </c>
      <c r="AE61">
        <f>HYPERLINK("https://klasma.github.io/Logging_2409/fåglar/A 5969-2025 prioriterade fågelarter.docx", "A 5969-2025")</f>
        <v/>
      </c>
    </row>
    <row r="62" ht="15" customHeight="1">
      <c r="A62" t="inlineStr">
        <is>
          <t>A 8753-2025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45712</v>
      </c>
      <c r="E62" s="1" t="n">
        <v>46290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Kommuner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Nattviol</t>
        </is>
      </c>
      <c r="W62">
        <f>HYPERLINK("https://klasma.github.io/Logging_2409/artfynd/A 8753-2025 artfynd.xlsx", "A 8753-2025")</f>
        <v/>
      </c>
      <c r="X62">
        <f>HYPERLINK("https://klasma.github.io/Logging_2409/kartor/A 8753-2025 karta.png", "A 8753-2025")</f>
        <v/>
      </c>
      <c r="Y62">
        <f>HYPERLINK("https://klasma.github.io/Logging_2409/kartor_geotiff/A 8753-2025 georefererad karta.tif", "A 8753-2025")</f>
        <v/>
      </c>
      <c r="AA62">
        <f>HYPERLINK("https://klasma.github.io/Logging_2409/klagomål/A 8753-2025 FSC-klagomål.docx", "A 8753-2025")</f>
        <v/>
      </c>
      <c r="AB62">
        <f>HYPERLINK("https://klasma.github.io/Logging_2409/klagomålsmail/A 8753-2025 FSC-klagomål mail.docx", "A 8753-2025")</f>
        <v/>
      </c>
      <c r="AC62">
        <f>HYPERLINK("https://klasma.github.io/Logging_2409/tillsyn/A 8753-2025 tillsynsbegäran.docx", "A 8753-2025")</f>
        <v/>
      </c>
      <c r="AD62">
        <f>HYPERLINK("https://klasma.github.io/Logging_2409/tillsynsmail/A 8753-2025 tillsynsbegäran mail.docx", "A 8753-2025")</f>
        <v/>
      </c>
    </row>
    <row r="63" ht="15" customHeight="1">
      <c r="A63" t="inlineStr">
        <is>
          <t>A 36504-2026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46269</v>
      </c>
      <c r="E63" s="1" t="n">
        <v>46290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8.800000000000001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Blanksvart spiklav</t>
        </is>
      </c>
      <c r="W63">
        <f>HYPERLINK("https://klasma.github.io/Logging_2409/artfynd/A 36504-2026 artfynd.xlsx", "A 36504-2026")</f>
        <v/>
      </c>
      <c r="X63">
        <f>HYPERLINK("https://klasma.github.io/Logging_2409/kartor/A 36504-2026 karta.png", "A 36504-2026")</f>
        <v/>
      </c>
      <c r="Y63">
        <f>HYPERLINK("https://klasma.github.io/Logging_2409/kartor_geotiff/A 36504-2026 georefererad karta.tif", "A 36504-2026")</f>
        <v/>
      </c>
      <c r="AA63">
        <f>HYPERLINK("https://klasma.github.io/Logging_2409/klagomål/A 36504-2026 FSC-klagomål.docx", "A 36504-2026")</f>
        <v/>
      </c>
      <c r="AB63">
        <f>HYPERLINK("https://klasma.github.io/Logging_2409/klagomålsmail/A 36504-2026 FSC-klagomål mail.docx", "A 36504-2026")</f>
        <v/>
      </c>
      <c r="AC63">
        <f>HYPERLINK("https://klasma.github.io/Logging_2409/tillsyn/A 36504-2026 tillsynsbegäran.docx", "A 36504-2026")</f>
        <v/>
      </c>
      <c r="AD63">
        <f>HYPERLINK("https://klasma.github.io/Logging_2409/tillsynsmail/A 36504-2026 tillsynsbegäran mail.docx", "A 36504-2026")</f>
        <v/>
      </c>
    </row>
    <row r="64" ht="15" customHeight="1">
      <c r="A64" t="inlineStr">
        <is>
          <t>A 41767-2023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46290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0.8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41767-2023 artfynd.xlsx", "A 41767-2023")</f>
        <v/>
      </c>
      <c r="X64">
        <f>HYPERLINK("https://klasma.github.io/Logging_2409/kartor/A 41767-2023 karta.png", "A 41767-2023")</f>
        <v/>
      </c>
      <c r="Y64">
        <f>HYPERLINK("https://klasma.github.io/Logging_2409/kartor_geotiff/A 41767-2023 georefererad karta.tif", "A 41767-2023")</f>
        <v/>
      </c>
      <c r="AA64">
        <f>HYPERLINK("https://klasma.github.io/Logging_2409/klagomål/A 41767-2023 FSC-klagomål.docx", "A 41767-2023")</f>
        <v/>
      </c>
      <c r="AB64">
        <f>HYPERLINK("https://klasma.github.io/Logging_2409/klagomålsmail/A 41767-2023 FSC-klagomål mail.docx", "A 41767-2023")</f>
        <v/>
      </c>
      <c r="AC64">
        <f>HYPERLINK("https://klasma.github.io/Logging_2409/tillsyn/A 41767-2023 tillsynsbegäran.docx", "A 41767-2023")</f>
        <v/>
      </c>
      <c r="AD64">
        <f>HYPERLINK("https://klasma.github.io/Logging_2409/tillsynsmail/A 41767-2023 tillsynsbegäran mail.docx", "A 41767-2023")</f>
        <v/>
      </c>
    </row>
    <row r="65" ht="15" customHeight="1">
      <c r="A65" t="inlineStr">
        <is>
          <t>A 30344-2025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46290</v>
      </c>
      <c r="F65" t="inlineStr">
        <is>
          <t>VÄSTERBOTTENS LÄN</t>
        </is>
      </c>
      <c r="G65" t="inlineStr">
        <is>
          <t>ROBERTSFORS</t>
        </is>
      </c>
      <c r="I65" t="n">
        <v>22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HYPERLINK("https://klasma.github.io/Logging_2409/artfynd/A 30344-2025 artfynd.xlsx", "A 30344-2025")</f>
        <v/>
      </c>
      <c r="X65">
        <f>HYPERLINK("https://klasma.github.io/Logging_2409/kartor/A 30344-2025 karta.png", "A 30344-2025")</f>
        <v/>
      </c>
      <c r="Y65">
        <f>HYPERLINK("https://klasma.github.io/Logging_2409/kartor_geotiff/A 30344-2025 georefererad karta.tif", "A 30344-2025")</f>
        <v/>
      </c>
      <c r="AA65">
        <f>HYPERLINK("https://klasma.github.io/Logging_2409/klagomål/A 30344-2025 FSC-klagomål.docx", "A 30344-2025")</f>
        <v/>
      </c>
      <c r="AB65">
        <f>HYPERLINK("https://klasma.github.io/Logging_2409/klagomålsmail/A 30344-2025 FSC-klagomål mail.docx", "A 30344-2025")</f>
        <v/>
      </c>
      <c r="AC65">
        <f>HYPERLINK("https://klasma.github.io/Logging_2409/tillsyn/A 30344-2025 tillsynsbegäran.docx", "A 30344-2025")</f>
        <v/>
      </c>
      <c r="AD65">
        <f>HYPERLINK("https://klasma.github.io/Logging_2409/tillsynsmail/A 30344-2025 tillsynsbegäran mail.docx", "A 30344-2025")</f>
        <v/>
      </c>
      <c r="AE65">
        <f>HYPERLINK("https://klasma.github.io/Logging_2409/fåglar/A 30344-2025 prioriterade fågelarter.docx", "A 30344-2025")</f>
        <v/>
      </c>
    </row>
    <row r="66" ht="15" customHeight="1">
      <c r="A66" t="inlineStr">
        <is>
          <t>A 32263-2025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46290</v>
      </c>
      <c r="F66" t="inlineStr">
        <is>
          <t>VÄSTERBOTTENS LÄN</t>
        </is>
      </c>
      <c r="G66" t="inlineStr">
        <is>
          <t>ROBERTSFORS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Gullviva</t>
        </is>
      </c>
      <c r="W66">
        <f>HYPERLINK("https://klasma.github.io/Logging_2409/artfynd/A 32263-2025 artfynd.xlsx", "A 32263-2025")</f>
        <v/>
      </c>
      <c r="X66">
        <f>HYPERLINK("https://klasma.github.io/Logging_2409/kartor/A 32263-2025 karta.png", "A 32263-2025")</f>
        <v/>
      </c>
      <c r="Y66">
        <f>HYPERLINK("https://klasma.github.io/Logging_2409/kartor_geotiff/A 32263-2025 georefererad karta.tif", "A 32263-2025")</f>
        <v/>
      </c>
      <c r="AA66">
        <f>HYPERLINK("https://klasma.github.io/Logging_2409/klagomål/A 32263-2025 FSC-klagomål.docx", "A 32263-2025")</f>
        <v/>
      </c>
      <c r="AB66">
        <f>HYPERLINK("https://klasma.github.io/Logging_2409/klagomålsmail/A 32263-2025 FSC-klagomål mail.docx", "A 32263-2025")</f>
        <v/>
      </c>
      <c r="AC66">
        <f>HYPERLINK("https://klasma.github.io/Logging_2409/tillsyn/A 32263-2025 tillsynsbegäran.docx", "A 32263-2025")</f>
        <v/>
      </c>
      <c r="AD66">
        <f>HYPERLINK("https://klasma.github.io/Logging_2409/tillsynsmail/A 32263-2025 tillsynsbegäran mail.docx", "A 32263-2025")</f>
        <v/>
      </c>
    </row>
    <row r="67" ht="15" customHeight="1">
      <c r="A67" t="inlineStr">
        <is>
          <t>A 34007-2025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45844</v>
      </c>
      <c r="E67" s="1" t="n">
        <v>46290</v>
      </c>
      <c r="F67" t="inlineStr">
        <is>
          <t>VÄSTERBOTTENS LÄN</t>
        </is>
      </c>
      <c r="G67" t="inlineStr">
        <is>
          <t>ROBERTSFORS</t>
        </is>
      </c>
      <c r="I67" t="n">
        <v>1.3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Harticka</t>
        </is>
      </c>
      <c r="W67">
        <f>HYPERLINK("https://klasma.github.io/Logging_2409/artfynd/A 34007-2025 artfynd.xlsx", "A 34007-2025")</f>
        <v/>
      </c>
      <c r="X67">
        <f>HYPERLINK("https://klasma.github.io/Logging_2409/kartor/A 34007-2025 karta.png", "A 34007-2025")</f>
        <v/>
      </c>
      <c r="Y67">
        <f>HYPERLINK("https://klasma.github.io/Logging_2409/kartor_geotiff/A 34007-2025 georefererad karta.tif", "A 34007-2025")</f>
        <v/>
      </c>
      <c r="AA67">
        <f>HYPERLINK("https://klasma.github.io/Logging_2409/klagomål/A 34007-2025 FSC-klagomål.docx", "A 34007-2025")</f>
        <v/>
      </c>
      <c r="AB67">
        <f>HYPERLINK("https://klasma.github.io/Logging_2409/klagomålsmail/A 34007-2025 FSC-klagomål mail.docx", "A 34007-2025")</f>
        <v/>
      </c>
      <c r="AC67">
        <f>HYPERLINK("https://klasma.github.io/Logging_2409/tillsyn/A 34007-2025 tillsynsbegäran.docx", "A 34007-2025")</f>
        <v/>
      </c>
      <c r="AD67">
        <f>HYPERLINK("https://klasma.github.io/Logging_2409/tillsynsmail/A 34007-2025 tillsynsbegäran mail.docx", "A 34007-2025")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46290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46290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46290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46290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46290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46290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46290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46290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46290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46290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46290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46290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46290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46290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46290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46290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46290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46290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46290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46290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46290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46290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46290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46290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46290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46290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44571</v>
      </c>
      <c r="E94" s="1" t="n">
        <v>46290</v>
      </c>
      <c r="F94" t="inlineStr">
        <is>
          <t>VÄSTERBOTTENS LÄN</t>
        </is>
      </c>
      <c r="G94" t="inlineStr">
        <is>
          <t>ROBERTSFORS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46290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46290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46290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46290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46290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46290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46290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46290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46290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46290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46290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46290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46290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46290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46290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46290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46290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46290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46290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46290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46290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46290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46290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46290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46290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46290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46290</v>
      </c>
      <c r="F121" t="inlineStr">
        <is>
          <t>VÄSTERBOTTENS LÄN</t>
        </is>
      </c>
      <c r="G121" t="inlineStr">
        <is>
          <t>ROBERTSFORS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45033</v>
      </c>
      <c r="E122" s="1" t="n">
        <v>46290</v>
      </c>
      <c r="F122" t="inlineStr">
        <is>
          <t>VÄSTERBOTTENS LÄN</t>
        </is>
      </c>
      <c r="G122" t="inlineStr">
        <is>
          <t>ROBERTSFORS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46290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46290</v>
      </c>
      <c r="F124" t="inlineStr">
        <is>
          <t>VÄSTERBOTTENS LÄN</t>
        </is>
      </c>
      <c r="G124" t="inlineStr">
        <is>
          <t>ROBERTSFORS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46290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45537</v>
      </c>
      <c r="E126" s="1" t="n">
        <v>46290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45537</v>
      </c>
      <c r="E127" s="1" t="n">
        <v>46290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46290</v>
      </c>
      <c r="F128" t="inlineStr">
        <is>
          <t>VÄSTERBOTTENS LÄN</t>
        </is>
      </c>
      <c r="G128" t="inlineStr">
        <is>
          <t>ROBERTSFORS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45048</v>
      </c>
      <c r="E129" s="1" t="n">
        <v>46290</v>
      </c>
      <c r="F129" t="inlineStr">
        <is>
          <t>VÄSTERBOTTENS LÄN</t>
        </is>
      </c>
      <c r="G129" t="inlineStr">
        <is>
          <t>ROBERTSFORS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45197</v>
      </c>
      <c r="E130" s="1" t="n">
        <v>46290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46290</v>
      </c>
      <c r="F131" t="inlineStr">
        <is>
          <t>VÄSTERBOTTENS LÄN</t>
        </is>
      </c>
      <c r="G131" t="inlineStr">
        <is>
          <t>ROBERTSFORS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45622</v>
      </c>
      <c r="E132" s="1" t="n">
        <v>46290</v>
      </c>
      <c r="F132" t="inlineStr">
        <is>
          <t>VÄSTERBOTTENS LÄN</t>
        </is>
      </c>
      <c r="G132" t="inlineStr">
        <is>
          <t>ROBERTSFORS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46290</v>
      </c>
      <c r="F133" t="inlineStr">
        <is>
          <t>VÄSTERBOTTENS LÄN</t>
        </is>
      </c>
      <c r="G133" t="inlineStr">
        <is>
          <t>ROBERTSFORS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46290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46290</v>
      </c>
      <c r="F135" t="inlineStr">
        <is>
          <t>VÄSTERBOTTENS LÄN</t>
        </is>
      </c>
      <c r="G135" t="inlineStr">
        <is>
          <t>ROBERTSFORS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15294-2023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45019</v>
      </c>
      <c r="E136" s="1" t="n">
        <v>46290</v>
      </c>
      <c r="F136" t="inlineStr">
        <is>
          <t>VÄSTERBOTTENS LÄN</t>
        </is>
      </c>
      <c r="G136" t="inlineStr">
        <is>
          <t>ROBERTSFORS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46290</v>
      </c>
      <c r="F137" t="inlineStr">
        <is>
          <t>VÄSTERBOTTENS LÄN</t>
        </is>
      </c>
      <c r="G137" t="inlineStr">
        <is>
          <t>ROBERTSFORS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45184</v>
      </c>
      <c r="E138" s="1" t="n">
        <v>46290</v>
      </c>
      <c r="F138" t="inlineStr">
        <is>
          <t>VÄSTERBOTTENS LÄN</t>
        </is>
      </c>
      <c r="G138" t="inlineStr">
        <is>
          <t>ROBERTSFORS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54366-2024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45617</v>
      </c>
      <c r="E139" s="1" t="n">
        <v>46290</v>
      </c>
      <c r="F139" t="inlineStr">
        <is>
          <t>VÄSTERBOTTENS LÄN</t>
        </is>
      </c>
      <c r="G139" t="inlineStr">
        <is>
          <t>ROBERTSFORS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45484</v>
      </c>
      <c r="E140" s="1" t="n">
        <v>46290</v>
      </c>
      <c r="F140" t="inlineStr">
        <is>
          <t>VÄSTERBOTTENS LÄN</t>
        </is>
      </c>
      <c r="G140" t="inlineStr">
        <is>
          <t>ROBERTSFORS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46290</v>
      </c>
      <c r="F141" t="inlineStr">
        <is>
          <t>VÄSTERBOTTENS LÄN</t>
        </is>
      </c>
      <c r="G141" t="inlineStr">
        <is>
          <t>ROBERTSFORS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45572</v>
      </c>
      <c r="E142" s="1" t="n">
        <v>46290</v>
      </c>
      <c r="F142" t="inlineStr">
        <is>
          <t>VÄSTERBOTTENS LÄN</t>
        </is>
      </c>
      <c r="G142" t="inlineStr">
        <is>
          <t>ROBERTSFORS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46290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45559</v>
      </c>
      <c r="E144" s="1" t="n">
        <v>46290</v>
      </c>
      <c r="F144" t="inlineStr">
        <is>
          <t>VÄSTERBOTTENS LÄN</t>
        </is>
      </c>
      <c r="G144" t="inlineStr">
        <is>
          <t>ROBERTSFORS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44894</v>
      </c>
      <c r="E145" s="1" t="n">
        <v>46290</v>
      </c>
      <c r="F145" t="inlineStr">
        <is>
          <t>VÄSTERBOTTENS LÄN</t>
        </is>
      </c>
      <c r="G145" t="inlineStr">
        <is>
          <t>ROBERTSFORS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45659</v>
      </c>
      <c r="E146" s="1" t="n">
        <v>46290</v>
      </c>
      <c r="F146" t="inlineStr">
        <is>
          <t>VÄSTERBOTTENS LÄN</t>
        </is>
      </c>
      <c r="G146" t="inlineStr">
        <is>
          <t>ROBERTSFORS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46290</v>
      </c>
      <c r="F147" t="inlineStr">
        <is>
          <t>VÄSTERBOTTENS LÄN</t>
        </is>
      </c>
      <c r="G147" t="inlineStr">
        <is>
          <t>ROBERTSFORS</t>
        </is>
      </c>
      <c r="I147" t="n">
        <v>14.3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44904</v>
      </c>
      <c r="E148" s="1" t="n">
        <v>46290</v>
      </c>
      <c r="F148" t="inlineStr">
        <is>
          <t>VÄSTERBOTTENS LÄN</t>
        </is>
      </c>
      <c r="G148" t="inlineStr">
        <is>
          <t>ROBERTSFORS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46290</v>
      </c>
      <c r="F149" t="inlineStr">
        <is>
          <t>VÄSTERBOTTENS LÄN</t>
        </is>
      </c>
      <c r="G149" t="inlineStr">
        <is>
          <t>ROBERTSFORS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30722-2024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45496</v>
      </c>
      <c r="E150" s="1" t="n">
        <v>46290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46290</v>
      </c>
      <c r="F151" t="inlineStr">
        <is>
          <t>VÄSTERBOTTENS LÄN</t>
        </is>
      </c>
      <c r="G151" t="inlineStr">
        <is>
          <t>ROBERTSFORS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45446</v>
      </c>
      <c r="E152" s="1" t="n">
        <v>46290</v>
      </c>
      <c r="F152" t="inlineStr">
        <is>
          <t>VÄSTERBOTTENS LÄN</t>
        </is>
      </c>
      <c r="G152" t="inlineStr">
        <is>
          <t>ROBERTSFORS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44960</v>
      </c>
      <c r="E153" s="1" t="n">
        <v>46290</v>
      </c>
      <c r="F153" t="inlineStr">
        <is>
          <t>VÄSTERBOTTENS LÄN</t>
        </is>
      </c>
      <c r="G153" t="inlineStr">
        <is>
          <t>ROBERTSFORS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44960</v>
      </c>
      <c r="E154" s="1" t="n">
        <v>46290</v>
      </c>
      <c r="F154" t="inlineStr">
        <is>
          <t>VÄSTERBOTTENS LÄN</t>
        </is>
      </c>
      <c r="G154" t="inlineStr">
        <is>
          <t>ROBERTSFORS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60738-2022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44913</v>
      </c>
      <c r="E155" s="1" t="n">
        <v>46290</v>
      </c>
      <c r="F155" t="inlineStr">
        <is>
          <t>VÄSTERBOTTENS LÄN</t>
        </is>
      </c>
      <c r="G155" t="inlineStr">
        <is>
          <t>ROBERTSFORS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45070</v>
      </c>
      <c r="E156" s="1" t="n">
        <v>46290</v>
      </c>
      <c r="F156" t="inlineStr">
        <is>
          <t>VÄSTERBOTTENS LÄN</t>
        </is>
      </c>
      <c r="G156" t="inlineStr">
        <is>
          <t>ROBERTSFORS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46290</v>
      </c>
      <c r="F157" t="inlineStr">
        <is>
          <t>VÄSTERBOTTENS LÄN</t>
        </is>
      </c>
      <c r="G157" t="inlineStr">
        <is>
          <t>ROBERTSFORS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45251</v>
      </c>
      <c r="E158" s="1" t="n">
        <v>46290</v>
      </c>
      <c r="F158" t="inlineStr">
        <is>
          <t>VÄSTERBOTTENS LÄN</t>
        </is>
      </c>
      <c r="G158" t="inlineStr">
        <is>
          <t>ROBERTSFORS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46290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49146-2022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46290</v>
      </c>
      <c r="F160" t="inlineStr">
        <is>
          <t>VÄSTERBOTTENS LÄN</t>
        </is>
      </c>
      <c r="G160" t="inlineStr">
        <is>
          <t>ROBERTSFORS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46290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45030</v>
      </c>
      <c r="E162" s="1" t="n">
        <v>46290</v>
      </c>
      <c r="F162" t="inlineStr">
        <is>
          <t>VÄSTERBOTTENS LÄN</t>
        </is>
      </c>
      <c r="G162" t="inlineStr">
        <is>
          <t>ROBERTSFORS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46290</v>
      </c>
      <c r="F163" t="inlineStr">
        <is>
          <t>VÄSTERBOTTENS LÄN</t>
        </is>
      </c>
      <c r="G163" t="inlineStr">
        <is>
          <t>ROBERTSFORS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45033</v>
      </c>
      <c r="E164" s="1" t="n">
        <v>46290</v>
      </c>
      <c r="F164" t="inlineStr">
        <is>
          <t>VÄSTERBOTTENS LÄN</t>
        </is>
      </c>
      <c r="G164" t="inlineStr">
        <is>
          <t>ROBERTSFORS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44805</v>
      </c>
      <c r="E165" s="1" t="n">
        <v>46290</v>
      </c>
      <c r="F165" t="inlineStr">
        <is>
          <t>VÄSTERBOTTENS LÄN</t>
        </is>
      </c>
      <c r="G165" t="inlineStr">
        <is>
          <t>ROBERTSFORS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46290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SCA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46290</v>
      </c>
      <c r="F167" t="inlineStr">
        <is>
          <t>VÄSTERBOTTENS LÄN</t>
        </is>
      </c>
      <c r="G167" t="inlineStr">
        <is>
          <t>ROBERTSFORS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45090</v>
      </c>
      <c r="E168" s="1" t="n">
        <v>46290</v>
      </c>
      <c r="F168" t="inlineStr">
        <is>
          <t>VÄSTERBOTTENS LÄN</t>
        </is>
      </c>
      <c r="G168" t="inlineStr">
        <is>
          <t>ROBERTSFORS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45202</v>
      </c>
      <c r="E169" s="1" t="n">
        <v>46290</v>
      </c>
      <c r="F169" t="inlineStr">
        <is>
          <t>VÄSTERBOTTENS LÄN</t>
        </is>
      </c>
      <c r="G169" t="inlineStr">
        <is>
          <t>ROBERTSFORS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45149</v>
      </c>
      <c r="E170" s="1" t="n">
        <v>46290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46290</v>
      </c>
      <c r="F171" t="inlineStr">
        <is>
          <t>VÄSTERBOTTENS LÄN</t>
        </is>
      </c>
      <c r="G171" t="inlineStr">
        <is>
          <t>ROBERTSFORS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45458</v>
      </c>
      <c r="E172" s="1" t="n">
        <v>46290</v>
      </c>
      <c r="F172" t="inlineStr">
        <is>
          <t>VÄSTERBOTTENS LÄN</t>
        </is>
      </c>
      <c r="G172" t="inlineStr">
        <is>
          <t>ROBERTSFORS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45205</v>
      </c>
      <c r="E173" s="1" t="n">
        <v>46290</v>
      </c>
      <c r="F173" t="inlineStr">
        <is>
          <t>VÄSTERBOTTENS LÄN</t>
        </is>
      </c>
      <c r="G173" t="inlineStr">
        <is>
          <t>ROBERTSFORS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46290</v>
      </c>
      <c r="F174" t="inlineStr">
        <is>
          <t>VÄSTERBOTTENS LÄN</t>
        </is>
      </c>
      <c r="G174" t="inlineStr">
        <is>
          <t>ROBERTSFORS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46290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54395-2024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45617</v>
      </c>
      <c r="E176" s="1" t="n">
        <v>46290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45458</v>
      </c>
      <c r="E177" s="1" t="n">
        <v>46290</v>
      </c>
      <c r="F177" t="inlineStr">
        <is>
          <t>VÄSTERBOTTENS LÄN</t>
        </is>
      </c>
      <c r="G177" t="inlineStr">
        <is>
          <t>ROBERTSFORS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46290</v>
      </c>
      <c r="F178" t="inlineStr">
        <is>
          <t>VÄSTERBOTTENS LÄN</t>
        </is>
      </c>
      <c r="G178" t="inlineStr">
        <is>
          <t>ROBERTSFORS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36594-2025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45870</v>
      </c>
      <c r="E179" s="1" t="n">
        <v>46290</v>
      </c>
      <c r="F179" t="inlineStr">
        <is>
          <t>VÄSTERBOTTENS LÄN</t>
        </is>
      </c>
      <c r="G179" t="inlineStr">
        <is>
          <t>ROBERTSFORS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19730-2026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46135</v>
      </c>
      <c r="E180" s="1" t="n">
        <v>46290</v>
      </c>
      <c r="F180" t="inlineStr">
        <is>
          <t>VÄSTERBOTTENS LÄN</t>
        </is>
      </c>
      <c r="G180" t="inlineStr">
        <is>
          <t>ROBERTSFORS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46135</v>
      </c>
      <c r="E181" s="1" t="n">
        <v>46290</v>
      </c>
      <c r="F181" t="inlineStr">
        <is>
          <t>VÄSTERBOTTENS LÄN</t>
        </is>
      </c>
      <c r="G181" t="inlineStr">
        <is>
          <t>ROBERTSFORS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45873</v>
      </c>
      <c r="E182" s="1" t="n">
        <v>46290</v>
      </c>
      <c r="F182" t="inlineStr">
        <is>
          <t>VÄSTERBOTTENS LÄN</t>
        </is>
      </c>
      <c r="G182" t="inlineStr">
        <is>
          <t>ROBERTSFORS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45502</v>
      </c>
      <c r="E183" s="1" t="n">
        <v>46290</v>
      </c>
      <c r="F183" t="inlineStr">
        <is>
          <t>VÄSTERBOTTENS LÄN</t>
        </is>
      </c>
      <c r="G183" t="inlineStr">
        <is>
          <t>ROBERTSFORS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45029</v>
      </c>
      <c r="E184" s="1" t="n">
        <v>46290</v>
      </c>
      <c r="F184" t="inlineStr">
        <is>
          <t>VÄSTERBOTTENS LÄN</t>
        </is>
      </c>
      <c r="G184" t="inlineStr">
        <is>
          <t>ROBERTSFORS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46290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44516</v>
      </c>
      <c r="E186" s="1" t="n">
        <v>46290</v>
      </c>
      <c r="F186" t="inlineStr">
        <is>
          <t>VÄSTERBOTTENS LÄN</t>
        </is>
      </c>
      <c r="G186" t="inlineStr">
        <is>
          <t>ROBERTSFORS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46290</v>
      </c>
      <c r="F187" t="inlineStr">
        <is>
          <t>VÄSTERBOTTENS LÄN</t>
        </is>
      </c>
      <c r="G187" t="inlineStr">
        <is>
          <t>ROBERTSFORS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28906-2024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45480</v>
      </c>
      <c r="E188" s="1" t="n">
        <v>46290</v>
      </c>
      <c r="F188" t="inlineStr">
        <is>
          <t>VÄSTERBOTTENS LÄN</t>
        </is>
      </c>
      <c r="G188" t="inlineStr">
        <is>
          <t>ROBERTSFORS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46290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45661</v>
      </c>
      <c r="E190" s="1" t="n">
        <v>46290</v>
      </c>
      <c r="F190" t="inlineStr">
        <is>
          <t>VÄSTERBOTTENS LÄN</t>
        </is>
      </c>
      <c r="G190" t="inlineStr">
        <is>
          <t>ROBERTSFORS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46290</v>
      </c>
      <c r="F191" t="inlineStr">
        <is>
          <t>VÄSTERBOTTENS LÄN</t>
        </is>
      </c>
      <c r="G191" t="inlineStr">
        <is>
          <t>ROBERTSFORS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65772-2021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44516</v>
      </c>
      <c r="E192" s="1" t="n">
        <v>46290</v>
      </c>
      <c r="F192" t="inlineStr">
        <is>
          <t>VÄSTERBOTTENS LÄN</t>
        </is>
      </c>
      <c r="G192" t="inlineStr">
        <is>
          <t>ROBERTSFORS</t>
        </is>
      </c>
      <c r="I192" t="n">
        <v>18.2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45890</v>
      </c>
      <c r="E193" s="1" t="n">
        <v>46290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64625-2023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46290</v>
      </c>
      <c r="F194" t="inlineStr">
        <is>
          <t>VÄSTERBOTTENS LÄN</t>
        </is>
      </c>
      <c r="G194" t="inlineStr">
        <is>
          <t>ROBERTSFORS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46290</v>
      </c>
      <c r="F195" t="inlineStr">
        <is>
          <t>VÄSTERBOTTENS LÄN</t>
        </is>
      </c>
      <c r="G195" t="inlineStr">
        <is>
          <t>ROBERTSFORS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39982-2025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45893</v>
      </c>
      <c r="E196" s="1" t="n">
        <v>46290</v>
      </c>
      <c r="F196" t="inlineStr">
        <is>
          <t>VÄSTERBOTTENS LÄN</t>
        </is>
      </c>
      <c r="G196" t="inlineStr">
        <is>
          <t>ROBERTSFORS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46290</v>
      </c>
      <c r="F197" t="inlineStr">
        <is>
          <t>VÄSTERBOTTENS LÄN</t>
        </is>
      </c>
      <c r="G197" t="inlineStr">
        <is>
          <t>ROBERTSFORS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46290</v>
      </c>
      <c r="F198" t="inlineStr">
        <is>
          <t>VÄSTERBOTTENS LÄN</t>
        </is>
      </c>
      <c r="G198" t="inlineStr">
        <is>
          <t>ROBERTSFORS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46290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44838</v>
      </c>
      <c r="E200" s="1" t="n">
        <v>46290</v>
      </c>
      <c r="F200" t="inlineStr">
        <is>
          <t>VÄSTERBOTTENS LÄN</t>
        </is>
      </c>
      <c r="G200" t="inlineStr">
        <is>
          <t>ROBERTSFORS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46290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46290</v>
      </c>
      <c r="F202" t="inlineStr">
        <is>
          <t>VÄSTERBOTTENS LÄN</t>
        </is>
      </c>
      <c r="G202" t="inlineStr">
        <is>
          <t>ROBERTSFORS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45653</v>
      </c>
      <c r="E203" s="1" t="n">
        <v>46290</v>
      </c>
      <c r="F203" t="inlineStr">
        <is>
          <t>VÄSTERBOTTENS LÄN</t>
        </is>
      </c>
      <c r="G203" t="inlineStr">
        <is>
          <t>ROBERTSFORS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44938</v>
      </c>
      <c r="E204" s="1" t="n">
        <v>46290</v>
      </c>
      <c r="F204" t="inlineStr">
        <is>
          <t>VÄSTERBOTTENS LÄN</t>
        </is>
      </c>
      <c r="G204" t="inlineStr">
        <is>
          <t>ROBERTSFORS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44945</v>
      </c>
      <c r="E205" s="1" t="n">
        <v>46290</v>
      </c>
      <c r="F205" t="inlineStr">
        <is>
          <t>VÄSTERBOTTENS LÄN</t>
        </is>
      </c>
      <c r="G205" t="inlineStr">
        <is>
          <t>ROBERTSFORS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57979-2021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44487</v>
      </c>
      <c r="E206" s="1" t="n">
        <v>46290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46290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46290</v>
      </c>
      <c r="F208" t="inlineStr">
        <is>
          <t>VÄSTERBOTTENS LÄN</t>
        </is>
      </c>
      <c r="G208" t="inlineStr">
        <is>
          <t>ROBERTSFORS</t>
        </is>
      </c>
      <c r="I208" t="n">
        <v>12.7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46290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45544</v>
      </c>
      <c r="E210" s="1" t="n">
        <v>46290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SCA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46290</v>
      </c>
      <c r="F211" t="inlineStr">
        <is>
          <t>VÄSTERBOTTENS LÄN</t>
        </is>
      </c>
      <c r="G211" t="inlineStr">
        <is>
          <t>ROBERTSFORS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59877-2022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46290</v>
      </c>
      <c r="F212" t="inlineStr">
        <is>
          <t>VÄSTERBOTTENS LÄN</t>
        </is>
      </c>
      <c r="G212" t="inlineStr">
        <is>
          <t>ROBERTSFORS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44130-2025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45915</v>
      </c>
      <c r="E213" s="1" t="n">
        <v>46290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46290</v>
      </c>
      <c r="F214" t="inlineStr">
        <is>
          <t>VÄSTERBOTTENS LÄN</t>
        </is>
      </c>
      <c r="G214" t="inlineStr">
        <is>
          <t>ROBERTSFORS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46290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45919</v>
      </c>
      <c r="E216" s="1" t="n">
        <v>46290</v>
      </c>
      <c r="F216" t="inlineStr">
        <is>
          <t>VÄSTERBOTTENS LÄN</t>
        </is>
      </c>
      <c r="G216" t="inlineStr">
        <is>
          <t>ROBERTSFORS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5902-2024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45335</v>
      </c>
      <c r="E217" s="1" t="n">
        <v>46290</v>
      </c>
      <c r="F217" t="inlineStr">
        <is>
          <t>VÄSTERBOTTENS LÄN</t>
        </is>
      </c>
      <c r="G217" t="inlineStr">
        <is>
          <t>ROBERTSFORS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45671</v>
      </c>
      <c r="E218" s="1" t="n">
        <v>46290</v>
      </c>
      <c r="F218" t="inlineStr">
        <is>
          <t>VÄSTERBOTTENS LÄN</t>
        </is>
      </c>
      <c r="G218" t="inlineStr">
        <is>
          <t>ROBERTSFORS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46168-2025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45924</v>
      </c>
      <c r="E219" s="1" t="n">
        <v>46290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46290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46290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46290</v>
      </c>
      <c r="F222" t="inlineStr">
        <is>
          <t>VÄSTERBOTTENS LÄN</t>
        </is>
      </c>
      <c r="G222" t="inlineStr">
        <is>
          <t>ROBERTSFORS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46290</v>
      </c>
      <c r="F223" t="inlineStr">
        <is>
          <t>VÄSTERBOTTENS LÄN</t>
        </is>
      </c>
      <c r="G223" t="inlineStr">
        <is>
          <t>ROBERTSFORS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46290</v>
      </c>
      <c r="F224" t="inlineStr">
        <is>
          <t>VÄSTERBOTTENS LÄN</t>
        </is>
      </c>
      <c r="G224" t="inlineStr">
        <is>
          <t>ROBERTSFORS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46139</v>
      </c>
      <c r="E225" s="1" t="n">
        <v>46290</v>
      </c>
      <c r="F225" t="inlineStr">
        <is>
          <t>VÄSTERBOTTENS LÄN</t>
        </is>
      </c>
      <c r="G225" t="inlineStr">
        <is>
          <t>ROBERTSFORS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45005</v>
      </c>
      <c r="E226" s="1" t="n">
        <v>46290</v>
      </c>
      <c r="F226" t="inlineStr">
        <is>
          <t>VÄSTERBOTTENS LÄN</t>
        </is>
      </c>
      <c r="G226" t="inlineStr">
        <is>
          <t>ROBERTSFORS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46290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44580</v>
      </c>
      <c r="E228" s="1" t="n">
        <v>46290</v>
      </c>
      <c r="F228" t="inlineStr">
        <is>
          <t>VÄSTERBOTTENS LÄN</t>
        </is>
      </c>
      <c r="G228" t="inlineStr">
        <is>
          <t>ROBERTSFORS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45020</v>
      </c>
      <c r="E229" s="1" t="n">
        <v>46290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46290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46290</v>
      </c>
      <c r="F231" t="inlineStr">
        <is>
          <t>VÄSTERBOTTENS LÄN</t>
        </is>
      </c>
      <c r="G231" t="inlineStr">
        <is>
          <t>ROBERTSFORS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62187-2021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44502</v>
      </c>
      <c r="E232" s="1" t="n">
        <v>46290</v>
      </c>
      <c r="F232" t="inlineStr">
        <is>
          <t>VÄSTERBOTTENS LÄN</t>
        </is>
      </c>
      <c r="G232" t="inlineStr">
        <is>
          <t>ROBERTSFORS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46290</v>
      </c>
      <c r="F233" t="inlineStr">
        <is>
          <t>VÄSTERBOTTENS LÄN</t>
        </is>
      </c>
      <c r="G233" t="inlineStr">
        <is>
          <t>ROBERTSFORS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45734</v>
      </c>
      <c r="E234" s="1" t="n">
        <v>46290</v>
      </c>
      <c r="F234" t="inlineStr">
        <is>
          <t>VÄSTERBOTTENS LÄN</t>
        </is>
      </c>
      <c r="G234" t="inlineStr">
        <is>
          <t>ROBERTSFORS</t>
        </is>
      </c>
      <c r="I234" t="n">
        <v>24.4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46290</v>
      </c>
      <c r="F235" t="inlineStr">
        <is>
          <t>VÄSTERBOTTENS LÄN</t>
        </is>
      </c>
      <c r="G235" t="inlineStr">
        <is>
          <t>ROBERTSFORS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46290</v>
      </c>
      <c r="F236" t="inlineStr">
        <is>
          <t>VÄSTERBOTTENS LÄN</t>
        </is>
      </c>
      <c r="G236" t="inlineStr">
        <is>
          <t>ROBERTSFORS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45246</v>
      </c>
      <c r="E237" s="1" t="n">
        <v>46290</v>
      </c>
      <c r="F237" t="inlineStr">
        <is>
          <t>VÄSTERBOTTENS LÄN</t>
        </is>
      </c>
      <c r="G237" t="inlineStr">
        <is>
          <t>ROBERTSFORS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46290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46290</v>
      </c>
      <c r="F239" t="inlineStr">
        <is>
          <t>VÄSTERBOTTENS LÄN</t>
        </is>
      </c>
      <c r="G239" t="inlineStr">
        <is>
          <t>ROBERTSFORS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46290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53320-2025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45959</v>
      </c>
      <c r="E241" s="1" t="n">
        <v>46290</v>
      </c>
      <c r="F241" t="inlineStr">
        <is>
          <t>VÄSTERBOTTENS LÄN</t>
        </is>
      </c>
      <c r="G241" t="inlineStr">
        <is>
          <t>ROBERTSFORS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45251</v>
      </c>
      <c r="E242" s="1" t="n">
        <v>46290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13.9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45510</v>
      </c>
      <c r="E243" s="1" t="n">
        <v>46290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46290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45246</v>
      </c>
      <c r="E245" s="1" t="n">
        <v>46290</v>
      </c>
      <c r="F245" t="inlineStr">
        <is>
          <t>VÄSTERBOTTENS LÄN</t>
        </is>
      </c>
      <c r="G245" t="inlineStr">
        <is>
          <t>ROBERTSFORS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53806-2025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46290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46290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10234-2024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45365</v>
      </c>
      <c r="E248" s="1" t="n">
        <v>46290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46290</v>
      </c>
      <c r="F249" t="inlineStr">
        <is>
          <t>VÄSTERBOTTENS LÄN</t>
        </is>
      </c>
      <c r="G249" t="inlineStr">
        <is>
          <t>ROBERTSFORS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46290</v>
      </c>
      <c r="F250" t="inlineStr">
        <is>
          <t>VÄSTERBOTTENS LÄN</t>
        </is>
      </c>
      <c r="G250" t="inlineStr">
        <is>
          <t>ROBERTSFORS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46290</v>
      </c>
      <c r="F251" t="inlineStr">
        <is>
          <t>VÄSTERBOTTENS LÄN</t>
        </is>
      </c>
      <c r="G251" t="inlineStr">
        <is>
          <t>ROBERTSFORS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54311-2025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46290</v>
      </c>
      <c r="F252" t="inlineStr">
        <is>
          <t>VÄSTERBOTTENS LÄN</t>
        </is>
      </c>
      <c r="G252" t="inlineStr">
        <is>
          <t>ROBERTSFORS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46290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46290</v>
      </c>
      <c r="F254" t="inlineStr">
        <is>
          <t>VÄSTERBOTTENS LÄN</t>
        </is>
      </c>
      <c r="G254" t="inlineStr">
        <is>
          <t>ROBERTSFORS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9135-2024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45357</v>
      </c>
      <c r="E255" s="1" t="n">
        <v>46290</v>
      </c>
      <c r="F255" t="inlineStr">
        <is>
          <t>VÄSTERBOTTENS LÄN</t>
        </is>
      </c>
      <c r="G255" t="inlineStr">
        <is>
          <t>ROBERTSFORS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45712</v>
      </c>
      <c r="E256" s="1" t="n">
        <v>46290</v>
      </c>
      <c r="F256" t="inlineStr">
        <is>
          <t>VÄSTERBOTTENS LÄN</t>
        </is>
      </c>
      <c r="G256" t="inlineStr">
        <is>
          <t>ROBERTSFORS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46290</v>
      </c>
      <c r="F257" t="inlineStr">
        <is>
          <t>VÄSTERBOTTENS LÄN</t>
        </is>
      </c>
      <c r="G257" t="inlineStr">
        <is>
          <t>ROBERTSFORS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45587</v>
      </c>
      <c r="E258" s="1" t="n">
        <v>46290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46290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45013</v>
      </c>
      <c r="E260" s="1" t="n">
        <v>46290</v>
      </c>
      <c r="F260" t="inlineStr">
        <is>
          <t>VÄSTERBOTTENS LÄN</t>
        </is>
      </c>
      <c r="G260" t="inlineStr">
        <is>
          <t>ROBERTSFORS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46290</v>
      </c>
      <c r="F261" t="inlineStr">
        <is>
          <t>VÄSTERBOTTENS LÄN</t>
        </is>
      </c>
      <c r="G261" t="inlineStr">
        <is>
          <t>ROBERTSFORS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46290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46290</v>
      </c>
      <c r="F263" t="inlineStr">
        <is>
          <t>VÄSTERBOTTENS LÄN</t>
        </is>
      </c>
      <c r="G263" t="inlineStr">
        <is>
          <t>ROBERTSFORS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46290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46290</v>
      </c>
      <c r="F265" t="inlineStr">
        <is>
          <t>VÄSTERBOTTENS LÄN</t>
        </is>
      </c>
      <c r="G265" t="inlineStr">
        <is>
          <t>ROBERTSFORS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45042</v>
      </c>
      <c r="E266" s="1" t="n">
        <v>46290</v>
      </c>
      <c r="F266" t="inlineStr">
        <is>
          <t>VÄSTERBOTTENS LÄN</t>
        </is>
      </c>
      <c r="G266" t="inlineStr">
        <is>
          <t>ROBERTSFORS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45679</v>
      </c>
      <c r="E267" s="1" t="n">
        <v>46290</v>
      </c>
      <c r="F267" t="inlineStr">
        <is>
          <t>VÄSTERBOTTENS LÄN</t>
        </is>
      </c>
      <c r="G267" t="inlineStr">
        <is>
          <t>ROBERTSFORS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45146</v>
      </c>
      <c r="E268" s="1" t="n">
        <v>46290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53271-2021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44467</v>
      </c>
      <c r="E269" s="1" t="n">
        <v>46290</v>
      </c>
      <c r="F269" t="inlineStr">
        <is>
          <t>VÄSTERBOTTENS LÄN</t>
        </is>
      </c>
      <c r="G269" t="inlineStr">
        <is>
          <t>ROBERTSFORS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34844-2023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45141</v>
      </c>
      <c r="E270" s="1" t="n">
        <v>46290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45987</v>
      </c>
      <c r="E271" s="1" t="n">
        <v>46290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46290</v>
      </c>
      <c r="F272" t="inlineStr">
        <is>
          <t>VÄSTERBOTTENS LÄN</t>
        </is>
      </c>
      <c r="G272" t="inlineStr">
        <is>
          <t>ROBERTSFORS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46146</v>
      </c>
      <c r="E273" s="1" t="n">
        <v>46290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21030-2026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46290</v>
      </c>
      <c r="F274" t="inlineStr">
        <is>
          <t>VÄSTERBOTTENS LÄN</t>
        </is>
      </c>
      <c r="G274" t="inlineStr">
        <is>
          <t>ROBERTSFORS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21512-2026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46148</v>
      </c>
      <c r="E275" s="1" t="n">
        <v>46290</v>
      </c>
      <c r="F275" t="inlineStr">
        <is>
          <t>VÄSTERBOTTENS LÄN</t>
        </is>
      </c>
      <c r="G275" t="inlineStr">
        <is>
          <t>ROBERTSFORS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46290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21907-2026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46150</v>
      </c>
      <c r="E277" s="1" t="n">
        <v>46290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44936</v>
      </c>
      <c r="E278" s="1" t="n">
        <v>46290</v>
      </c>
      <c r="F278" t="inlineStr">
        <is>
          <t>VÄSTERBOTTENS LÄN</t>
        </is>
      </c>
      <c r="G278" t="inlineStr">
        <is>
          <t>ROBERTSFORS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44734</v>
      </c>
      <c r="E279" s="1" t="n">
        <v>46290</v>
      </c>
      <c r="F279" t="inlineStr">
        <is>
          <t>VÄSTERBOTTENS LÄN</t>
        </is>
      </c>
      <c r="G279" t="inlineStr">
        <is>
          <t>ROBERTSFORS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46290</v>
      </c>
      <c r="F280" t="inlineStr">
        <is>
          <t>VÄSTERBOTTENS LÄN</t>
        </is>
      </c>
      <c r="G280" t="inlineStr">
        <is>
          <t>ROBERTSFORS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46290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46290</v>
      </c>
      <c r="F282" t="inlineStr">
        <is>
          <t>VÄSTERBOTTENS LÄN</t>
        </is>
      </c>
      <c r="G282" t="inlineStr">
        <is>
          <t>ROBERTSFORS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45996</v>
      </c>
      <c r="E283" s="1" t="n">
        <v>46290</v>
      </c>
      <c r="F283" t="inlineStr">
        <is>
          <t>VÄSTERBOTTENS LÄN</t>
        </is>
      </c>
      <c r="G283" t="inlineStr">
        <is>
          <t>ROBERTSFORS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48259-2023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45205</v>
      </c>
      <c r="E284" s="1" t="n">
        <v>46290</v>
      </c>
      <c r="F284" t="inlineStr">
        <is>
          <t>VÄSTERBOTTENS LÄN</t>
        </is>
      </c>
      <c r="G284" t="inlineStr">
        <is>
          <t>ROBERTSFORS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46290</v>
      </c>
      <c r="F285" t="inlineStr">
        <is>
          <t>VÄSTERBOTTENS LÄN</t>
        </is>
      </c>
      <c r="G285" t="inlineStr">
        <is>
          <t>ROBERTSFORS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46290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Sveaskog</t>
        </is>
      </c>
      <c r="I286" t="n">
        <v>9.199999999999999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22436-2026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46155</v>
      </c>
      <c r="E287" s="1" t="n">
        <v>46290</v>
      </c>
      <c r="F287" t="inlineStr">
        <is>
          <t>VÄSTERBOTTENS LÄN</t>
        </is>
      </c>
      <c r="G287" t="inlineStr">
        <is>
          <t>ROBERTSFORS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24136-2023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45076</v>
      </c>
      <c r="E288" s="1" t="n">
        <v>46290</v>
      </c>
      <c r="F288" t="inlineStr">
        <is>
          <t>VÄSTERBOTTENS LÄN</t>
        </is>
      </c>
      <c r="G288" t="inlineStr">
        <is>
          <t>ROBERTSFORS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45020</v>
      </c>
      <c r="E289" s="1" t="n">
        <v>46290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Sveaskog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55469-2021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44475</v>
      </c>
      <c r="E290" s="1" t="n">
        <v>46290</v>
      </c>
      <c r="F290" t="inlineStr">
        <is>
          <t>VÄSTERBOTTENS LÄN</t>
        </is>
      </c>
      <c r="G290" t="inlineStr">
        <is>
          <t>ROBERTSFORS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45502</v>
      </c>
      <c r="E291" s="1" t="n">
        <v>46290</v>
      </c>
      <c r="F291" t="inlineStr">
        <is>
          <t>VÄSTERBOTTENS LÄN</t>
        </is>
      </c>
      <c r="G291" t="inlineStr">
        <is>
          <t>ROBERTSFORS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46290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45002</v>
      </c>
      <c r="E293" s="1" t="n">
        <v>46290</v>
      </c>
      <c r="F293" t="inlineStr">
        <is>
          <t>VÄSTERBOTTENS LÄN</t>
        </is>
      </c>
      <c r="G293" t="inlineStr">
        <is>
          <t>ROBERTSFORS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46160</v>
      </c>
      <c r="E294" s="1" t="n">
        <v>46290</v>
      </c>
      <c r="F294" t="inlineStr">
        <is>
          <t>VÄSTERBOTTENS LÄN</t>
        </is>
      </c>
      <c r="G294" t="inlineStr">
        <is>
          <t>ROBERTSFORS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22929-2026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46160</v>
      </c>
      <c r="E295" s="1" t="n">
        <v>46290</v>
      </c>
      <c r="F295" t="inlineStr">
        <is>
          <t>VÄSTERBOTTENS LÄN</t>
        </is>
      </c>
      <c r="G295" t="inlineStr">
        <is>
          <t>ROBERTSFORS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46160</v>
      </c>
      <c r="E296" s="1" t="n">
        <v>46290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45129</v>
      </c>
      <c r="E297" s="1" t="n">
        <v>46290</v>
      </c>
      <c r="F297" t="inlineStr">
        <is>
          <t>VÄSTERBOTTENS LÄN</t>
        </is>
      </c>
      <c r="G297" t="inlineStr">
        <is>
          <t>ROBERTSFORS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43027-2023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45182</v>
      </c>
      <c r="E298" s="1" t="n">
        <v>46290</v>
      </c>
      <c r="F298" t="inlineStr">
        <is>
          <t>VÄSTERBOTTENS LÄN</t>
        </is>
      </c>
      <c r="G298" t="inlineStr">
        <is>
          <t>ROBERTSFORS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46290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45404</v>
      </c>
      <c r="E300" s="1" t="n">
        <v>46290</v>
      </c>
      <c r="F300" t="inlineStr">
        <is>
          <t>VÄSTERBOTTENS LÄN</t>
        </is>
      </c>
      <c r="G300" t="inlineStr">
        <is>
          <t>ROBERTSFORS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46290</v>
      </c>
      <c r="F301" t="inlineStr">
        <is>
          <t>VÄSTERBOTTENS LÄN</t>
        </is>
      </c>
      <c r="G301" t="inlineStr">
        <is>
          <t>ROBERTSFORS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46290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45302</v>
      </c>
      <c r="E303" s="1" t="n">
        <v>46290</v>
      </c>
      <c r="F303" t="inlineStr">
        <is>
          <t>VÄSTERBOTTENS LÄN</t>
        </is>
      </c>
      <c r="G303" t="inlineStr">
        <is>
          <t>ROBERTSFORS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46290</v>
      </c>
      <c r="F304" t="inlineStr">
        <is>
          <t>VÄSTERBOTTENS LÄN</t>
        </is>
      </c>
      <c r="G304" t="inlineStr">
        <is>
          <t>ROBERTSFORS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45580</v>
      </c>
      <c r="E305" s="1" t="n">
        <v>46290</v>
      </c>
      <c r="F305" t="inlineStr">
        <is>
          <t>VÄSTERBOTTENS LÄN</t>
        </is>
      </c>
      <c r="G305" t="inlineStr">
        <is>
          <t>ROBERTSFORS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46290</v>
      </c>
      <c r="F306" t="inlineStr">
        <is>
          <t>VÄSTERBOTTENS LÄN</t>
        </is>
      </c>
      <c r="G306" t="inlineStr">
        <is>
          <t>ROBERTSFORS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45475</v>
      </c>
      <c r="E307" s="1" t="n">
        <v>46290</v>
      </c>
      <c r="F307" t="inlineStr">
        <is>
          <t>VÄSTERBOTTENS LÄN</t>
        </is>
      </c>
      <c r="G307" t="inlineStr">
        <is>
          <t>ROBERTSFORS</t>
        </is>
      </c>
      <c r="I307" t="n">
        <v>10.5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45160</v>
      </c>
      <c r="E308" s="1" t="n">
        <v>46290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46290</v>
      </c>
      <c r="F309" t="inlineStr">
        <is>
          <t>VÄSTERBOTTENS LÄN</t>
        </is>
      </c>
      <c r="G309" t="inlineStr">
        <is>
          <t>ROBERTSFORS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58712-2024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45635</v>
      </c>
      <c r="E310" s="1" t="n">
        <v>46290</v>
      </c>
      <c r="F310" t="inlineStr">
        <is>
          <t>VÄSTERBOTTENS LÄN</t>
        </is>
      </c>
      <c r="G310" t="inlineStr">
        <is>
          <t>ROBERTSFORS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45458</v>
      </c>
      <c r="E311" s="1" t="n">
        <v>46290</v>
      </c>
      <c r="F311" t="inlineStr">
        <is>
          <t>VÄSTERBOTTENS LÄN</t>
        </is>
      </c>
      <c r="G311" t="inlineStr">
        <is>
          <t>ROBERTSFORS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46290</v>
      </c>
      <c r="F312" t="inlineStr">
        <is>
          <t>VÄSTERBOTTENS LÄN</t>
        </is>
      </c>
      <c r="G312" t="inlineStr">
        <is>
          <t>ROBERTSFORS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45041</v>
      </c>
      <c r="E313" s="1" t="n">
        <v>46290</v>
      </c>
      <c r="F313" t="inlineStr">
        <is>
          <t>VÄSTERBOTTENS LÄN</t>
        </is>
      </c>
      <c r="G313" t="inlineStr">
        <is>
          <t>ROBERTSFORS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46290</v>
      </c>
      <c r="F314" t="inlineStr">
        <is>
          <t>VÄSTERBOTTENS LÄN</t>
        </is>
      </c>
      <c r="G314" t="inlineStr">
        <is>
          <t>ROBERTSFORS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46290</v>
      </c>
      <c r="F315" t="inlineStr">
        <is>
          <t>VÄSTERBOTTENS LÄN</t>
        </is>
      </c>
      <c r="G315" t="inlineStr">
        <is>
          <t>ROBERTSFORS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46290</v>
      </c>
      <c r="F316" t="inlineStr">
        <is>
          <t>VÄSTERBOTTENS LÄN</t>
        </is>
      </c>
      <c r="G316" t="inlineStr">
        <is>
          <t>ROBERTSFORS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33821-2023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45133</v>
      </c>
      <c r="E317" s="1" t="n">
        <v>46290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46290</v>
      </c>
      <c r="F318" t="inlineStr">
        <is>
          <t>VÄSTERBOTTENS LÄN</t>
        </is>
      </c>
      <c r="G318" t="inlineStr">
        <is>
          <t>ROBERTSFORS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46290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46290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46169</v>
      </c>
      <c r="E321" s="1" t="n">
        <v>46290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15.9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46290</v>
      </c>
      <c r="F322" t="inlineStr">
        <is>
          <t>VÄSTERBOTTENS LÄN</t>
        </is>
      </c>
      <c r="G322" t="inlineStr">
        <is>
          <t>ROBERTSFORS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39437-2024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45551</v>
      </c>
      <c r="E323" s="1" t="n">
        <v>46290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46290</v>
      </c>
      <c r="F324" t="inlineStr">
        <is>
          <t>VÄSTERBOTTENS LÄN</t>
        </is>
      </c>
      <c r="G324" t="inlineStr">
        <is>
          <t>ROBERTSFORS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45268</v>
      </c>
      <c r="E325" s="1" t="n">
        <v>46290</v>
      </c>
      <c r="F325" t="inlineStr">
        <is>
          <t>VÄSTERBOTTENS LÄN</t>
        </is>
      </c>
      <c r="G325" t="inlineStr">
        <is>
          <t>ROBERTSFORS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46290</v>
      </c>
      <c r="F326" t="inlineStr">
        <is>
          <t>VÄSTERBOTTENS LÄN</t>
        </is>
      </c>
      <c r="G326" t="inlineStr">
        <is>
          <t>ROBERTSFORS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45307</v>
      </c>
      <c r="E327" s="1" t="n">
        <v>46290</v>
      </c>
      <c r="F327" t="inlineStr">
        <is>
          <t>VÄSTERBOTTENS LÄN</t>
        </is>
      </c>
      <c r="G327" t="inlineStr">
        <is>
          <t>ROBERTSFORS</t>
        </is>
      </c>
      <c r="I327" t="n">
        <v>12.1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46290</v>
      </c>
      <c r="F328" t="inlineStr">
        <is>
          <t>VÄSTERBOTTENS LÄN</t>
        </is>
      </c>
      <c r="G328" t="inlineStr">
        <is>
          <t>ROBERTSFORS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24647-2026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46171</v>
      </c>
      <c r="E329" s="1" t="n">
        <v>46290</v>
      </c>
      <c r="F329" t="inlineStr">
        <is>
          <t>VÄSTERBOTTENS LÄN</t>
        </is>
      </c>
      <c r="G329" t="inlineStr">
        <is>
          <t>ROBERTSFORS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46290</v>
      </c>
      <c r="F330" t="inlineStr">
        <is>
          <t>VÄSTERBOTTENS LÄN</t>
        </is>
      </c>
      <c r="G330" t="inlineStr">
        <is>
          <t>ROBERTSFORS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46290</v>
      </c>
      <c r="F331" t="inlineStr">
        <is>
          <t>VÄSTERBOTTENS LÄN</t>
        </is>
      </c>
      <c r="G331" t="inlineStr">
        <is>
          <t>ROBERTSFORS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46290</v>
      </c>
      <c r="F332" t="inlineStr">
        <is>
          <t>VÄSTERBOTTENS LÄN</t>
        </is>
      </c>
      <c r="G332" t="inlineStr">
        <is>
          <t>ROBERTSFORS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45470</v>
      </c>
      <c r="E333" s="1" t="n">
        <v>46290</v>
      </c>
      <c r="F333" t="inlineStr">
        <is>
          <t>VÄSTERBOTTENS LÄN</t>
        </is>
      </c>
      <c r="G333" t="inlineStr">
        <is>
          <t>ROBERTSFORS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45301</v>
      </c>
      <c r="E334" s="1" t="n">
        <v>46290</v>
      </c>
      <c r="F334" t="inlineStr">
        <is>
          <t>VÄSTERBOTTENS LÄN</t>
        </is>
      </c>
      <c r="G334" t="inlineStr">
        <is>
          <t>ROBERTSFORS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46290</v>
      </c>
      <c r="F335" t="inlineStr">
        <is>
          <t>VÄSTERBOTTENS LÄN</t>
        </is>
      </c>
      <c r="G335" t="inlineStr">
        <is>
          <t>ROBERTSFORS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13164-2024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45386</v>
      </c>
      <c r="E336" s="1" t="n">
        <v>46290</v>
      </c>
      <c r="F336" t="inlineStr">
        <is>
          <t>VÄSTERBOTTENS LÄN</t>
        </is>
      </c>
      <c r="G336" t="inlineStr">
        <is>
          <t>ROBERTSFORS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61553-2023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46290</v>
      </c>
      <c r="F337" t="inlineStr">
        <is>
          <t>VÄSTERBOTTENS LÄN</t>
        </is>
      </c>
      <c r="G337" t="inlineStr">
        <is>
          <t>ROBERTSFORS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46290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8.9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45617</v>
      </c>
      <c r="E339" s="1" t="n">
        <v>46290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45160</v>
      </c>
      <c r="E340" s="1" t="n">
        <v>46290</v>
      </c>
      <c r="F340" t="inlineStr">
        <is>
          <t>VÄSTERBOTTENS LÄN</t>
        </is>
      </c>
      <c r="G340" t="inlineStr">
        <is>
          <t>ROBERTSFORS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46290</v>
      </c>
      <c r="F341" t="inlineStr">
        <is>
          <t>VÄSTERBOTTENS LÄN</t>
        </is>
      </c>
      <c r="G341" t="inlineStr">
        <is>
          <t>ROBERTSFORS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46171</v>
      </c>
      <c r="E342" s="1" t="n">
        <v>46290</v>
      </c>
      <c r="F342" t="inlineStr">
        <is>
          <t>VÄSTERBOTTENS LÄN</t>
        </is>
      </c>
      <c r="G342" t="inlineStr">
        <is>
          <t>ROBERTSFORS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46083</v>
      </c>
      <c r="E343" s="1" t="n">
        <v>46290</v>
      </c>
      <c r="F343" t="inlineStr">
        <is>
          <t>VÄSTERBOTTENS LÄN</t>
        </is>
      </c>
      <c r="G343" t="inlineStr">
        <is>
          <t>ROBERTSFORS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46290</v>
      </c>
      <c r="F344" t="inlineStr">
        <is>
          <t>VÄSTERBOTTENS LÄN</t>
        </is>
      </c>
      <c r="G344" t="inlineStr">
        <is>
          <t>ROBERTSFORS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46176</v>
      </c>
      <c r="E345" s="1" t="n">
        <v>46290</v>
      </c>
      <c r="F345" t="inlineStr">
        <is>
          <t>VÄSTERBOTTENS LÄN</t>
        </is>
      </c>
      <c r="G345" t="inlineStr">
        <is>
          <t>ROBERTSFORS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41850-2023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45176</v>
      </c>
      <c r="E346" s="1" t="n">
        <v>46290</v>
      </c>
      <c r="F346" t="inlineStr">
        <is>
          <t>VÄSTERBOTTENS LÄN</t>
        </is>
      </c>
      <c r="G346" t="inlineStr">
        <is>
          <t>ROBERTSFORS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10330-2024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46290</v>
      </c>
      <c r="F347" t="inlineStr">
        <is>
          <t>VÄSTERBOTTENS LÄN</t>
        </is>
      </c>
      <c r="G347" t="inlineStr">
        <is>
          <t>ROBERTSFORS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13397-2026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46290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45548</v>
      </c>
      <c r="E349" s="1" t="n">
        <v>46290</v>
      </c>
      <c r="F349" t="inlineStr">
        <is>
          <t>VÄSTERBOTTENS LÄN</t>
        </is>
      </c>
      <c r="G349" t="inlineStr">
        <is>
          <t>ROBERTSFORS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46290</v>
      </c>
      <c r="F350" t="inlineStr">
        <is>
          <t>VÄSTERBOTTENS LÄN</t>
        </is>
      </c>
      <c r="G350" t="inlineStr">
        <is>
          <t>ROBERTSFORS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46113</v>
      </c>
      <c r="E351" s="1" t="n">
        <v>46290</v>
      </c>
      <c r="F351" t="inlineStr">
        <is>
          <t>VÄSTERBOTTENS LÄN</t>
        </is>
      </c>
      <c r="G351" t="inlineStr">
        <is>
          <t>ROBERTSFORS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23647-2024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45454</v>
      </c>
      <c r="E352" s="1" t="n">
        <v>46290</v>
      </c>
      <c r="F352" t="inlineStr">
        <is>
          <t>VÄSTERBOTTENS LÄN</t>
        </is>
      </c>
      <c r="G352" t="inlineStr">
        <is>
          <t>ROBERTSFORS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45667</v>
      </c>
      <c r="E353" s="1" t="n">
        <v>46290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52832-2024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45610</v>
      </c>
      <c r="E354" s="1" t="n">
        <v>46290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SCA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46290</v>
      </c>
      <c r="F355" t="inlineStr">
        <is>
          <t>VÄSTERBOTTENS LÄN</t>
        </is>
      </c>
      <c r="G355" t="inlineStr">
        <is>
          <t>ROBERTSFORS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44580</v>
      </c>
      <c r="E356" s="1" t="n">
        <v>46290</v>
      </c>
      <c r="F356" t="inlineStr">
        <is>
          <t>VÄSTERBOTTENS LÄN</t>
        </is>
      </c>
      <c r="G356" t="inlineStr">
        <is>
          <t>ROBERTSFORS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45526</v>
      </c>
      <c r="E357" s="1" t="n">
        <v>46290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46290</v>
      </c>
      <c r="F358" t="inlineStr">
        <is>
          <t>VÄSTERBOTTENS LÄN</t>
        </is>
      </c>
      <c r="G358" t="inlineStr">
        <is>
          <t>ROBERTSFORS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25588-2026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46290</v>
      </c>
      <c r="F359" t="inlineStr">
        <is>
          <t>VÄSTERBOTTENS LÄN</t>
        </is>
      </c>
      <c r="G359" t="inlineStr">
        <is>
          <t>ROBERTSFORS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46290</v>
      </c>
      <c r="F360" t="inlineStr">
        <is>
          <t>VÄSTERBOTTENS LÄN</t>
        </is>
      </c>
      <c r="G360" t="inlineStr">
        <is>
          <t>ROBERTSFORS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46183</v>
      </c>
      <c r="E361" s="1" t="n">
        <v>46290</v>
      </c>
      <c r="F361" t="inlineStr">
        <is>
          <t>VÄSTERBOTTENS LÄN</t>
        </is>
      </c>
      <c r="G361" t="inlineStr">
        <is>
          <t>ROBERTSFORS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45432</v>
      </c>
      <c r="E362" s="1" t="n">
        <v>46290</v>
      </c>
      <c r="F362" t="inlineStr">
        <is>
          <t>VÄSTERBOTTENS LÄN</t>
        </is>
      </c>
      <c r="G362" t="inlineStr">
        <is>
          <t>ROBERTSFORS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15015-2026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46104</v>
      </c>
      <c r="E363" s="1" t="n">
        <v>46290</v>
      </c>
      <c r="F363" t="inlineStr">
        <is>
          <t>VÄSTERBOTTENS LÄN</t>
        </is>
      </c>
      <c r="G363" t="inlineStr">
        <is>
          <t>ROBERTSFORS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26949-2026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46185</v>
      </c>
      <c r="E364" s="1" t="n">
        <v>46290</v>
      </c>
      <c r="F364" t="inlineStr">
        <is>
          <t>VÄSTERBOTTENS LÄN</t>
        </is>
      </c>
      <c r="G364" t="inlineStr">
        <is>
          <t>ROBERTSFORS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46185</v>
      </c>
      <c r="E365" s="1" t="n">
        <v>46290</v>
      </c>
      <c r="F365" t="inlineStr">
        <is>
          <t>VÄSTERBOTTENS LÄN</t>
        </is>
      </c>
      <c r="G365" t="inlineStr">
        <is>
          <t>ROBERTSFORS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27315-2026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46290</v>
      </c>
      <c r="F366" t="inlineStr">
        <is>
          <t>VÄSTERBOTTENS LÄN</t>
        </is>
      </c>
      <c r="G366" t="inlineStr">
        <is>
          <t>ROBERTSFORS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46290</v>
      </c>
      <c r="F367" t="inlineStr">
        <is>
          <t>VÄSTERBOTTENS LÄN</t>
        </is>
      </c>
      <c r="G367" t="inlineStr">
        <is>
          <t>ROBERTSFORS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46290</v>
      </c>
      <c r="F368" t="inlineStr">
        <is>
          <t>VÄSTERBOTTENS LÄN</t>
        </is>
      </c>
      <c r="G368" t="inlineStr">
        <is>
          <t>ROBERTSFORS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46290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46290</v>
      </c>
      <c r="F370" t="inlineStr">
        <is>
          <t>VÄSTERBOTTENS LÄN</t>
        </is>
      </c>
      <c r="G370" t="inlineStr">
        <is>
          <t>ROBERTSFORS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46290</v>
      </c>
      <c r="F371" t="inlineStr">
        <is>
          <t>VÄSTERBOTTENS LÄN</t>
        </is>
      </c>
      <c r="G371" t="inlineStr">
        <is>
          <t>ROBERTSFORS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59032-2024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45636</v>
      </c>
      <c r="E372" s="1" t="n">
        <v>46290</v>
      </c>
      <c r="F372" t="inlineStr">
        <is>
          <t>VÄSTERBOTTENS LÄN</t>
        </is>
      </c>
      <c r="G372" t="inlineStr">
        <is>
          <t>ROBERTSFORS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60882-2024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45644</v>
      </c>
      <c r="E373" s="1" t="n">
        <v>46290</v>
      </c>
      <c r="F373" t="inlineStr">
        <is>
          <t>VÄSTERBOTTENS LÄN</t>
        </is>
      </c>
      <c r="G373" t="inlineStr">
        <is>
          <t>ROBERTSFORS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50448-2024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45601</v>
      </c>
      <c r="E374" s="1" t="n">
        <v>46290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46112</v>
      </c>
      <c r="E375" s="1" t="n">
        <v>46290</v>
      </c>
      <c r="F375" t="inlineStr">
        <is>
          <t>VÄSTERBOTTENS LÄN</t>
        </is>
      </c>
      <c r="G375" t="inlineStr">
        <is>
          <t>ROBERTSFORS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53984-2022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44876</v>
      </c>
      <c r="E376" s="1" t="n">
        <v>46290</v>
      </c>
      <c r="F376" t="inlineStr">
        <is>
          <t>VÄSTERBOTTENS LÄN</t>
        </is>
      </c>
      <c r="G376" t="inlineStr">
        <is>
          <t>ROBERTSFORS</t>
        </is>
      </c>
      <c r="I376" t="n">
        <v>7.5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17765-2026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46122</v>
      </c>
      <c r="E377" s="1" t="n">
        <v>46290</v>
      </c>
      <c r="F377" t="inlineStr">
        <is>
          <t>VÄSTERBOTTENS LÄN</t>
        </is>
      </c>
      <c r="G377" t="inlineStr">
        <is>
          <t>ROBERTSFORS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46290</v>
      </c>
      <c r="F378" t="inlineStr">
        <is>
          <t>VÄSTERBOTTENS LÄN</t>
        </is>
      </c>
      <c r="G378" t="inlineStr">
        <is>
          <t>ROBERTSFORS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45463</v>
      </c>
      <c r="E379" s="1" t="n">
        <v>46290</v>
      </c>
      <c r="F379" t="inlineStr">
        <is>
          <t>VÄSTERBOTTENS LÄN</t>
        </is>
      </c>
      <c r="G379" t="inlineStr">
        <is>
          <t>ROBERTSFORS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46126</v>
      </c>
      <c r="E380" s="1" t="n">
        <v>46290</v>
      </c>
      <c r="F380" t="inlineStr">
        <is>
          <t>VÄSTERBOTTENS LÄN</t>
        </is>
      </c>
      <c r="G380" t="inlineStr">
        <is>
          <t>ROBERTSFORS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45029</v>
      </c>
      <c r="E381" s="1" t="n">
        <v>46290</v>
      </c>
      <c r="F381" t="inlineStr">
        <is>
          <t>VÄSTERBOTTENS LÄN</t>
        </is>
      </c>
      <c r="G381" t="inlineStr">
        <is>
          <t>ROBERTSFORS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18289-2026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46126</v>
      </c>
      <c r="E382" s="1" t="n">
        <v>46290</v>
      </c>
      <c r="F382" t="inlineStr">
        <is>
          <t>VÄSTERBOTTENS LÄN</t>
        </is>
      </c>
      <c r="G382" t="inlineStr">
        <is>
          <t>ROBERTSFORS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46126</v>
      </c>
      <c r="E383" s="1" t="n">
        <v>46290</v>
      </c>
      <c r="F383" t="inlineStr">
        <is>
          <t>VÄSTERBOTTENS LÄN</t>
        </is>
      </c>
      <c r="G383" t="inlineStr">
        <is>
          <t>ROBERTSFORS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27894-2026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46191</v>
      </c>
      <c r="E384" s="1" t="n">
        <v>46290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54968-2024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45620</v>
      </c>
      <c r="E385" s="1" t="n">
        <v>46290</v>
      </c>
      <c r="F385" t="inlineStr">
        <is>
          <t>VÄSTERBOTTENS LÄN</t>
        </is>
      </c>
      <c r="G385" t="inlineStr">
        <is>
          <t>ROBERTSFORS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19077-2026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46132</v>
      </c>
      <c r="E386" s="1" t="n">
        <v>46290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45565</v>
      </c>
      <c r="E387" s="1" t="n">
        <v>46290</v>
      </c>
      <c r="F387" t="inlineStr">
        <is>
          <t>VÄSTERBOTTENS LÄN</t>
        </is>
      </c>
      <c r="G387" t="inlineStr">
        <is>
          <t>ROBERTSFORS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45627</v>
      </c>
      <c r="E388" s="1" t="n">
        <v>46290</v>
      </c>
      <c r="F388" t="inlineStr">
        <is>
          <t>VÄSTERBOTTENS LÄN</t>
        </is>
      </c>
      <c r="G388" t="inlineStr">
        <is>
          <t>ROBERTSFORS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46290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46290</v>
      </c>
      <c r="F390" t="inlineStr">
        <is>
          <t>VÄSTERBOTTENS LÄN</t>
        </is>
      </c>
      <c r="G390" t="inlineStr">
        <is>
          <t>ROBERTSFORS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19828-2026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46135</v>
      </c>
      <c r="E391" s="1" t="n">
        <v>46290</v>
      </c>
      <c r="F391" t="inlineStr">
        <is>
          <t>VÄSTERBOTTENS LÄN</t>
        </is>
      </c>
      <c r="G391" t="inlineStr">
        <is>
          <t>ROBERTSFORS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50187-2023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45215</v>
      </c>
      <c r="E392" s="1" t="n">
        <v>46290</v>
      </c>
      <c r="F392" t="inlineStr">
        <is>
          <t>VÄSTERBOTTENS LÄN</t>
        </is>
      </c>
      <c r="G392" t="inlineStr">
        <is>
          <t>ROBERTSFORS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46290</v>
      </c>
      <c r="F393" t="inlineStr">
        <is>
          <t>VÄSTERBOTTENS LÄN</t>
        </is>
      </c>
      <c r="G393" t="inlineStr">
        <is>
          <t>ROBERTSFORS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46290</v>
      </c>
      <c r="F394" t="inlineStr">
        <is>
          <t>VÄSTERBOTTENS LÄN</t>
        </is>
      </c>
      <c r="G394" t="inlineStr">
        <is>
          <t>ROBERTSFORS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45049</v>
      </c>
      <c r="E395" s="1" t="n">
        <v>46290</v>
      </c>
      <c r="F395" t="inlineStr">
        <is>
          <t>VÄSTERBOTTENS LÄN</t>
        </is>
      </c>
      <c r="G395" t="inlineStr">
        <is>
          <t>ROBERTSFORS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58426-2022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44901</v>
      </c>
      <c r="E396" s="1" t="n">
        <v>46290</v>
      </c>
      <c r="F396" t="inlineStr">
        <is>
          <t>VÄSTERBOTTENS LÄN</t>
        </is>
      </c>
      <c r="G396" t="inlineStr">
        <is>
          <t>ROBERTSFORS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50046-2024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45600</v>
      </c>
      <c r="E397" s="1" t="n">
        <v>46290</v>
      </c>
      <c r="F397" t="inlineStr">
        <is>
          <t>VÄSTERBOTTENS LÄN</t>
        </is>
      </c>
      <c r="G397" t="inlineStr">
        <is>
          <t>ROBERTSFORS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45250</v>
      </c>
      <c r="E398" s="1" t="n">
        <v>46290</v>
      </c>
      <c r="F398" t="inlineStr">
        <is>
          <t>VÄSTERBOTTENS LÄN</t>
        </is>
      </c>
      <c r="G398" t="inlineStr">
        <is>
          <t>ROBERTSFORS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52833-2024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45610</v>
      </c>
      <c r="E399" s="1" t="n">
        <v>46290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SCA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45583</v>
      </c>
      <c r="E400" s="1" t="n">
        <v>46290</v>
      </c>
      <c r="F400" t="inlineStr">
        <is>
          <t>VÄSTERBOTTENS LÄN</t>
        </is>
      </c>
      <c r="G400" t="inlineStr">
        <is>
          <t>ROBERTSFORS</t>
        </is>
      </c>
      <c r="I400" t="n">
        <v>9.6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29272-2026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46202</v>
      </c>
      <c r="E401" s="1" t="n">
        <v>46290</v>
      </c>
      <c r="F401" t="inlineStr">
        <is>
          <t>VÄSTERBOTTENS LÄN</t>
        </is>
      </c>
      <c r="G401" t="inlineStr">
        <is>
          <t>ROBERTSFORS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46290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SCA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44571</v>
      </c>
      <c r="E403" s="1" t="n">
        <v>46290</v>
      </c>
      <c r="F403" t="inlineStr">
        <is>
          <t>VÄSTERBOTTENS LÄN</t>
        </is>
      </c>
      <c r="G403" t="inlineStr">
        <is>
          <t>ROBERTSFORS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58790-2022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44895</v>
      </c>
      <c r="E404" s="1" t="n">
        <v>46290</v>
      </c>
      <c r="F404" t="inlineStr">
        <is>
          <t>VÄSTERBOTTENS LÄN</t>
        </is>
      </c>
      <c r="G404" t="inlineStr">
        <is>
          <t>ROBERTSFORS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29459-2026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46203</v>
      </c>
      <c r="E405" s="1" t="n">
        <v>46290</v>
      </c>
      <c r="F405" t="inlineStr">
        <is>
          <t>VÄSTERBOTTENS LÄN</t>
        </is>
      </c>
      <c r="G405" t="inlineStr">
        <is>
          <t>ROBERTSFORS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26368-2024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45468</v>
      </c>
      <c r="E406" s="1" t="n">
        <v>46290</v>
      </c>
      <c r="F406" t="inlineStr">
        <is>
          <t>VÄSTERBOTTENS LÄN</t>
        </is>
      </c>
      <c r="G406" t="inlineStr">
        <is>
          <t>ROBERTSFORS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45545</v>
      </c>
      <c r="E407" s="1" t="n">
        <v>46290</v>
      </c>
      <c r="F407" t="inlineStr">
        <is>
          <t>VÄSTERBOTTENS LÄN</t>
        </is>
      </c>
      <c r="G407" t="inlineStr">
        <is>
          <t>ROBERTSFORS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45664</v>
      </c>
      <c r="E408" s="1" t="n">
        <v>46290</v>
      </c>
      <c r="F408" t="inlineStr">
        <is>
          <t>VÄSTERBOTTENS LÄN</t>
        </is>
      </c>
      <c r="G408" t="inlineStr">
        <is>
          <t>ROBERTSFORS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30081-2026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46206</v>
      </c>
      <c r="E409" s="1" t="n">
        <v>46290</v>
      </c>
      <c r="F409" t="inlineStr">
        <is>
          <t>VÄSTERBOTTENS LÄN</t>
        </is>
      </c>
      <c r="G409" t="inlineStr">
        <is>
          <t>ROBERTSFORS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45708</v>
      </c>
      <c r="E410" s="1" t="n">
        <v>46290</v>
      </c>
      <c r="F410" t="inlineStr">
        <is>
          <t>VÄSTERBOTTENS LÄN</t>
        </is>
      </c>
      <c r="G410" t="inlineStr">
        <is>
          <t>ROBERTSFORS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29958-2026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46290</v>
      </c>
      <c r="F411" t="inlineStr">
        <is>
          <t>VÄSTERBOTTENS LÄN</t>
        </is>
      </c>
      <c r="G411" t="inlineStr">
        <is>
          <t>ROBERTSFORS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29964-2026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46290</v>
      </c>
      <c r="F412" t="inlineStr">
        <is>
          <t>VÄSTERBOTTENS LÄN</t>
        </is>
      </c>
      <c r="G412" t="inlineStr">
        <is>
          <t>ROBERTSFORS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45496</v>
      </c>
      <c r="E413" s="1" t="n">
        <v>46290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10173-2022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44622</v>
      </c>
      <c r="E414" s="1" t="n">
        <v>46290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25572-2023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45082</v>
      </c>
      <c r="E415" s="1" t="n">
        <v>46290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60604-2024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45644</v>
      </c>
      <c r="E416" s="1" t="n">
        <v>46290</v>
      </c>
      <c r="F416" t="inlineStr">
        <is>
          <t>VÄSTERBOTTENS LÄN</t>
        </is>
      </c>
      <c r="G416" t="inlineStr">
        <is>
          <t>ROBERTSFORS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4016-2023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44952</v>
      </c>
      <c r="E417" s="1" t="n">
        <v>46290</v>
      </c>
      <c r="F417" t="inlineStr">
        <is>
          <t>VÄSTERBOTTENS LÄN</t>
        </is>
      </c>
      <c r="G417" t="inlineStr">
        <is>
          <t>ROBERTSFORS</t>
        </is>
      </c>
      <c r="I417" t="n">
        <v>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44980</v>
      </c>
      <c r="E418" s="1" t="n">
        <v>46290</v>
      </c>
      <c r="F418" t="inlineStr">
        <is>
          <t>VÄSTERBOTTENS LÄN</t>
        </is>
      </c>
      <c r="G418" t="inlineStr">
        <is>
          <t>ROBERTSFORS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45708</v>
      </c>
      <c r="E419" s="1" t="n">
        <v>46290</v>
      </c>
      <c r="F419" t="inlineStr">
        <is>
          <t>VÄSTERBOTTENS LÄN</t>
        </is>
      </c>
      <c r="G419" t="inlineStr">
        <is>
          <t>ROBERTSFORS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34403-2026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46254</v>
      </c>
      <c r="E420" s="1" t="n">
        <v>46290</v>
      </c>
      <c r="F420" t="inlineStr">
        <is>
          <t>VÄSTERBOTTENS LÄN</t>
        </is>
      </c>
      <c r="G420" t="inlineStr">
        <is>
          <t>ROBERTSFORS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45184</v>
      </c>
      <c r="E421" s="1" t="n">
        <v>46290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46290</v>
      </c>
      <c r="F422" t="inlineStr">
        <is>
          <t>VÄSTERBOTTENS LÄN</t>
        </is>
      </c>
      <c r="G422" t="inlineStr">
        <is>
          <t>ROBERTSFORS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46290</v>
      </c>
      <c r="F423" t="inlineStr">
        <is>
          <t>VÄSTERBOTTENS LÄN</t>
        </is>
      </c>
      <c r="G423" t="inlineStr">
        <is>
          <t>ROBERTSFORS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46290</v>
      </c>
      <c r="F424" t="inlineStr">
        <is>
          <t>VÄSTERBOTTENS LÄN</t>
        </is>
      </c>
      <c r="G424" t="inlineStr">
        <is>
          <t>ROBERTSFORS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45659</v>
      </c>
      <c r="E425" s="1" t="n">
        <v>46290</v>
      </c>
      <c r="F425" t="inlineStr">
        <is>
          <t>VÄSTERBOTTENS LÄN</t>
        </is>
      </c>
      <c r="G425" t="inlineStr">
        <is>
          <t>ROBERTSFORS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44980</v>
      </c>
      <c r="E426" s="1" t="n">
        <v>46290</v>
      </c>
      <c r="F426" t="inlineStr">
        <is>
          <t>VÄSTERBOTTENS LÄN</t>
        </is>
      </c>
      <c r="G426" t="inlineStr">
        <is>
          <t>ROBERTSFORS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43095-2023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46290</v>
      </c>
      <c r="F427" t="inlineStr">
        <is>
          <t>VÄSTERBOTTENS LÄN</t>
        </is>
      </c>
      <c r="G427" t="inlineStr">
        <is>
          <t>ROBERTSFORS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35011-2026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46259</v>
      </c>
      <c r="E428" s="1" t="n">
        <v>46290</v>
      </c>
      <c r="F428" t="inlineStr">
        <is>
          <t>VÄSTERBOTTENS LÄN</t>
        </is>
      </c>
      <c r="G428" t="inlineStr">
        <is>
          <t>ROBERTSFORS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58030-2024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45631</v>
      </c>
      <c r="E429" s="1" t="n">
        <v>46290</v>
      </c>
      <c r="F429" t="inlineStr">
        <is>
          <t>VÄSTERBOTTENS LÄN</t>
        </is>
      </c>
      <c r="G429" t="inlineStr">
        <is>
          <t>ROBERTSFORS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46258</v>
      </c>
      <c r="E430" s="1" t="n">
        <v>46290</v>
      </c>
      <c r="F430" t="inlineStr">
        <is>
          <t>VÄSTERBOTTENS LÄN</t>
        </is>
      </c>
      <c r="G430" t="inlineStr">
        <is>
          <t>ROBERTSFORS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34808-2026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46290</v>
      </c>
      <c r="F431" t="inlineStr">
        <is>
          <t>VÄSTERBOTTENS LÄN</t>
        </is>
      </c>
      <c r="G431" t="inlineStr">
        <is>
          <t>ROBERTSFORS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35276-2026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46261</v>
      </c>
      <c r="E432" s="1" t="n">
        <v>46290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46261</v>
      </c>
      <c r="E433" s="1" t="n">
        <v>46290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45135</v>
      </c>
      <c r="E434" s="1" t="n">
        <v>46290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46290</v>
      </c>
      <c r="F435" t="inlineStr">
        <is>
          <t>VÄSTERBOTTENS LÄN</t>
        </is>
      </c>
      <c r="G435" t="inlineStr">
        <is>
          <t>ROBERTSFORS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46262</v>
      </c>
      <c r="E436" s="1" t="n">
        <v>46290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45636</v>
      </c>
      <c r="E437" s="1" t="n">
        <v>46290</v>
      </c>
      <c r="F437" t="inlineStr">
        <is>
          <t>VÄSTERBOTTENS LÄN</t>
        </is>
      </c>
      <c r="G437" t="inlineStr">
        <is>
          <t>ROBERTSFORS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46266</v>
      </c>
      <c r="E438" s="1" t="n">
        <v>46290</v>
      </c>
      <c r="F438" t="inlineStr">
        <is>
          <t>VÄSTERBOTTENS LÄN</t>
        </is>
      </c>
      <c r="G438" t="inlineStr">
        <is>
          <t>ROBERTSFORS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18143-2023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45040</v>
      </c>
      <c r="E439" s="1" t="n">
        <v>46290</v>
      </c>
      <c r="F439" t="inlineStr">
        <is>
          <t>VÄSTERBOTTENS LÄN</t>
        </is>
      </c>
      <c r="G439" t="inlineStr">
        <is>
          <t>ROBERTSFORS</t>
        </is>
      </c>
      <c r="I439" t="n">
        <v>11.5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31665-2026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46225</v>
      </c>
      <c r="E440" s="1" t="n">
        <v>46290</v>
      </c>
      <c r="F440" t="inlineStr">
        <is>
          <t>VÄSTERBOTTENS LÄN</t>
        </is>
      </c>
      <c r="G440" t="inlineStr">
        <is>
          <t>ROBERTSFORS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46225</v>
      </c>
      <c r="E441" s="1" t="n">
        <v>46290</v>
      </c>
      <c r="F441" t="inlineStr">
        <is>
          <t>VÄSTERBOTTENS LÄN</t>
        </is>
      </c>
      <c r="G441" t="inlineStr">
        <is>
          <t>ROBERTSFORS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31664-2026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46225</v>
      </c>
      <c r="E442" s="1" t="n">
        <v>46290</v>
      </c>
      <c r="F442" t="inlineStr">
        <is>
          <t>VÄSTERBOTTENS LÄN</t>
        </is>
      </c>
      <c r="G442" t="inlineStr">
        <is>
          <t>ROBERTSFORS</t>
        </is>
      </c>
      <c r="I442" t="n">
        <v>10.4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35859-2026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46266</v>
      </c>
      <c r="E443" s="1" t="n">
        <v>46290</v>
      </c>
      <c r="F443" t="inlineStr">
        <is>
          <t>VÄSTERBOTTENS LÄN</t>
        </is>
      </c>
      <c r="G443" t="inlineStr">
        <is>
          <t>ROBERTSFORS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17848-2022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44683</v>
      </c>
      <c r="E444" s="1" t="n">
        <v>46290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36427-2026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46269</v>
      </c>
      <c r="E445" s="1" t="n">
        <v>46290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45530</v>
      </c>
      <c r="E446" s="1" t="n">
        <v>46290</v>
      </c>
      <c r="F446" t="inlineStr">
        <is>
          <t>VÄSTERBOTTENS LÄN</t>
        </is>
      </c>
      <c r="G446" t="inlineStr">
        <is>
          <t>ROBERTSFORS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5689-2023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44960</v>
      </c>
      <c r="E447" s="1" t="n">
        <v>46290</v>
      </c>
      <c r="F447" t="inlineStr">
        <is>
          <t>VÄSTERBOTTENS LÄN</t>
        </is>
      </c>
      <c r="G447" t="inlineStr">
        <is>
          <t>ROBERTSFORS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46268</v>
      </c>
      <c r="E448" s="1" t="n">
        <v>46290</v>
      </c>
      <c r="F448" t="inlineStr">
        <is>
          <t>VÄSTERBOTTENS LÄN</t>
        </is>
      </c>
      <c r="G448" t="inlineStr">
        <is>
          <t>ROBERTSFORS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46269</v>
      </c>
      <c r="E449" s="1" t="n">
        <v>46290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4376-2022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44588</v>
      </c>
      <c r="E450" s="1" t="n">
        <v>46290</v>
      </c>
      <c r="F450" t="inlineStr">
        <is>
          <t>VÄSTERBOTTENS LÄN</t>
        </is>
      </c>
      <c r="G450" t="inlineStr">
        <is>
          <t>ROBERTSFORS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36500-2026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46269</v>
      </c>
      <c r="E451" s="1" t="n">
        <v>46290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Sveaskog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46290</v>
      </c>
      <c r="F452" t="inlineStr">
        <is>
          <t>VÄSTERBOTTENS LÄN</t>
        </is>
      </c>
      <c r="G452" t="inlineStr">
        <is>
          <t>ROBERTSFORS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45659</v>
      </c>
      <c r="E453" s="1" t="n">
        <v>46290</v>
      </c>
      <c r="F453" t="inlineStr">
        <is>
          <t>VÄSTERBOTTENS LÄN</t>
        </is>
      </c>
      <c r="G453" t="inlineStr">
        <is>
          <t>ROBERTSFORS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46290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Sveaskog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31806-2026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46230</v>
      </c>
      <c r="E455" s="1" t="n">
        <v>46290</v>
      </c>
      <c r="F455" t="inlineStr">
        <is>
          <t>VÄSTERBOTTENS LÄN</t>
        </is>
      </c>
      <c r="G455" t="inlineStr">
        <is>
          <t>ROBERTSFORS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46269</v>
      </c>
      <c r="E456" s="1" t="n">
        <v>46290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Sveaskog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36532-2026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46269</v>
      </c>
      <c r="E457" s="1" t="n">
        <v>46290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Sveaskog</t>
        </is>
      </c>
      <c r="I457" t="n">
        <v>12.7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46273</v>
      </c>
      <c r="E458" s="1" t="n">
        <v>46290</v>
      </c>
      <c r="F458" t="inlineStr">
        <is>
          <t>VÄSTERBOTTENS LÄN</t>
        </is>
      </c>
      <c r="G458" t="inlineStr">
        <is>
          <t>ROBERTSFORS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34434-2024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45525</v>
      </c>
      <c r="E459" s="1" t="n">
        <v>46290</v>
      </c>
      <c r="F459" t="inlineStr">
        <is>
          <t>VÄSTERBOTTENS LÄN</t>
        </is>
      </c>
      <c r="G459" t="inlineStr">
        <is>
          <t>ROBERTSFORS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46290</v>
      </c>
      <c r="F460" t="inlineStr">
        <is>
          <t>VÄSTERBOTTENS LÄN</t>
        </is>
      </c>
      <c r="G460" t="inlineStr">
        <is>
          <t>ROBERTSFORS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45671</v>
      </c>
      <c r="E461" s="1" t="n">
        <v>46290</v>
      </c>
      <c r="F461" t="inlineStr">
        <is>
          <t>VÄSTERBOTTENS LÄN</t>
        </is>
      </c>
      <c r="G461" t="inlineStr">
        <is>
          <t>ROBERTSFORS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73557-2021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44551</v>
      </c>
      <c r="E462" s="1" t="n">
        <v>46290</v>
      </c>
      <c r="F462" t="inlineStr">
        <is>
          <t>VÄSTERBOTTENS LÄN</t>
        </is>
      </c>
      <c r="G462" t="inlineStr">
        <is>
          <t>ROBERTSFORS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46279</v>
      </c>
      <c r="E463" s="1" t="n">
        <v>46290</v>
      </c>
      <c r="F463" t="inlineStr">
        <is>
          <t>VÄSTERBOTTENS LÄN</t>
        </is>
      </c>
      <c r="G463" t="inlineStr">
        <is>
          <t>ROBERTSFORS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44732</v>
      </c>
      <c r="E464" s="1" t="n">
        <v>46290</v>
      </c>
      <c r="F464" t="inlineStr">
        <is>
          <t>VÄSTERBOTTENS LÄN</t>
        </is>
      </c>
      <c r="G464" t="inlineStr">
        <is>
          <t>ROBERTSFORS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46279</v>
      </c>
      <c r="E465" s="1" t="n">
        <v>46290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37613-2026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46276</v>
      </c>
      <c r="E466" s="1" t="n">
        <v>46290</v>
      </c>
      <c r="F466" t="inlineStr">
        <is>
          <t>VÄSTERBOTTENS LÄN</t>
        </is>
      </c>
      <c r="G466" t="inlineStr">
        <is>
          <t>ROBERTSFORS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38092-2022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44811</v>
      </c>
      <c r="E467" s="1" t="n">
        <v>46290</v>
      </c>
      <c r="F467" t="inlineStr">
        <is>
          <t>VÄSTERBOTTENS LÄN</t>
        </is>
      </c>
      <c r="G467" t="inlineStr">
        <is>
          <t>ROBERTSFORS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44699</v>
      </c>
      <c r="E468" s="1" t="n">
        <v>46290</v>
      </c>
      <c r="F468" t="inlineStr">
        <is>
          <t>VÄSTERBOTTENS LÄN</t>
        </is>
      </c>
      <c r="G468" t="inlineStr">
        <is>
          <t>ROBERTSFORS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46290</v>
      </c>
      <c r="F469" t="inlineStr">
        <is>
          <t>VÄSTERBOTTENS LÄN</t>
        </is>
      </c>
      <c r="G469" t="inlineStr">
        <is>
          <t>ROBERTSFORS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13533-2023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45005</v>
      </c>
      <c r="E470" s="1" t="n">
        <v>46290</v>
      </c>
      <c r="F470" t="inlineStr">
        <is>
          <t>VÄSTERBOTTENS LÄN</t>
        </is>
      </c>
      <c r="G470" t="inlineStr">
        <is>
          <t>ROBERTSFORS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46279</v>
      </c>
      <c r="E471" s="1" t="n">
        <v>46290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46279</v>
      </c>
      <c r="E472" s="1" t="n">
        <v>46290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46276</v>
      </c>
      <c r="E473" s="1" t="n">
        <v>46290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35787-2023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45148</v>
      </c>
      <c r="E474" s="1" t="n">
        <v>46290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46280</v>
      </c>
      <c r="E475" s="1" t="n">
        <v>46290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45670</v>
      </c>
      <c r="E476" s="1" t="n">
        <v>46290</v>
      </c>
      <c r="F476" t="inlineStr">
        <is>
          <t>VÄSTERBOTTENS LÄN</t>
        </is>
      </c>
      <c r="G476" t="inlineStr">
        <is>
          <t>ROBERTSFORS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45687</v>
      </c>
      <c r="E477" s="1" t="n">
        <v>46290</v>
      </c>
      <c r="F477" t="inlineStr">
        <is>
          <t>VÄSTERBOTTENS LÄN</t>
        </is>
      </c>
      <c r="G477" t="inlineStr">
        <is>
          <t>ROBERTSFORS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46280</v>
      </c>
      <c r="E478" s="1" t="n">
        <v>46290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32513-2026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46239</v>
      </c>
      <c r="E479" s="1" t="n">
        <v>46290</v>
      </c>
      <c r="F479" t="inlineStr">
        <is>
          <t>VÄSTERBOTTENS LÄN</t>
        </is>
      </c>
      <c r="G479" t="inlineStr">
        <is>
          <t>ROBERTSFORS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46239</v>
      </c>
      <c r="E480" s="1" t="n">
        <v>46290</v>
      </c>
      <c r="F480" t="inlineStr">
        <is>
          <t>VÄSTERBOTTENS LÄN</t>
        </is>
      </c>
      <c r="G480" t="inlineStr">
        <is>
          <t>ROBERTSFORS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45701</v>
      </c>
      <c r="E481" s="1" t="n">
        <v>46290</v>
      </c>
      <c r="F481" t="inlineStr">
        <is>
          <t>VÄSTERBOTTENS LÄN</t>
        </is>
      </c>
      <c r="G481" t="inlineStr">
        <is>
          <t>ROBERTSFORS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46240</v>
      </c>
      <c r="E482" s="1" t="n">
        <v>46290</v>
      </c>
      <c r="F482" t="inlineStr">
        <is>
          <t>VÄSTERBOTTENS LÄN</t>
        </is>
      </c>
      <c r="G482" t="inlineStr">
        <is>
          <t>ROBERTSFORS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46240</v>
      </c>
      <c r="E483" s="1" t="n">
        <v>46290</v>
      </c>
      <c r="F483" t="inlineStr">
        <is>
          <t>VÄSTERBOTTENS LÄN</t>
        </is>
      </c>
      <c r="G483" t="inlineStr">
        <is>
          <t>ROBERTSFORS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46240</v>
      </c>
      <c r="E484" s="1" t="n">
        <v>46290</v>
      </c>
      <c r="F484" t="inlineStr">
        <is>
          <t>VÄSTERBOTTENS LÄN</t>
        </is>
      </c>
      <c r="G484" t="inlineStr">
        <is>
          <t>ROBERTSFORS</t>
        </is>
      </c>
      <c r="I484" t="n">
        <v>7.9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46239</v>
      </c>
      <c r="E485" s="1" t="n">
        <v>46290</v>
      </c>
      <c r="F485" t="inlineStr">
        <is>
          <t>VÄSTERBOTTENS LÄN</t>
        </is>
      </c>
      <c r="G485" t="inlineStr">
        <is>
          <t>ROBERTSFORS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46282</v>
      </c>
      <c r="E486" s="1" t="n">
        <v>46290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46239</v>
      </c>
      <c r="E487" s="1" t="n">
        <v>46290</v>
      </c>
      <c r="F487" t="inlineStr">
        <is>
          <t>VÄSTERBOTTENS LÄN</t>
        </is>
      </c>
      <c r="G487" t="inlineStr">
        <is>
          <t>ROBERTSFORS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46240</v>
      </c>
      <c r="E488" s="1" t="n">
        <v>46290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46282</v>
      </c>
      <c r="E489" s="1" t="n">
        <v>46290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38352-2023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45161</v>
      </c>
      <c r="E490" s="1" t="n">
        <v>46290</v>
      </c>
      <c r="F490" t="inlineStr">
        <is>
          <t>VÄSTERBOTTENS LÄN</t>
        </is>
      </c>
      <c r="G490" t="inlineStr">
        <is>
          <t>ROBERTSFORS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46290</v>
      </c>
      <c r="F491" t="inlineStr">
        <is>
          <t>VÄSTERBOTTENS LÄN</t>
        </is>
      </c>
      <c r="G491" t="inlineStr">
        <is>
          <t>ROBERTSFORS</t>
        </is>
      </c>
      <c r="I491" t="n">
        <v>11.3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46290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8.300000000000001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45246</v>
      </c>
      <c r="E493" s="1" t="n">
        <v>46290</v>
      </c>
      <c r="F493" t="inlineStr">
        <is>
          <t>VÄSTERBOTTENS LÄN</t>
        </is>
      </c>
      <c r="G493" t="inlineStr">
        <is>
          <t>ROBERTSFORS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45246</v>
      </c>
      <c r="E494" s="1" t="n">
        <v>46290</v>
      </c>
      <c r="F494" t="inlineStr">
        <is>
          <t>VÄSTERBOTTENS LÄN</t>
        </is>
      </c>
      <c r="G494" t="inlineStr">
        <is>
          <t>ROBERTSFORS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46290</v>
      </c>
      <c r="F495" t="inlineStr">
        <is>
          <t>VÄSTERBOTTENS LÄN</t>
        </is>
      </c>
      <c r="G495" t="inlineStr">
        <is>
          <t>ROBERTSFORS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38083-2023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45160</v>
      </c>
      <c r="E496" s="1" t="n">
        <v>46290</v>
      </c>
      <c r="F496" t="inlineStr">
        <is>
          <t>VÄSTERBOTTENS LÄN</t>
        </is>
      </c>
      <c r="G496" t="inlineStr">
        <is>
          <t>ROBERTSFORS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60570-2024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45644</v>
      </c>
      <c r="E497" s="1" t="n">
        <v>46290</v>
      </c>
      <c r="F497" t="inlineStr">
        <is>
          <t>VÄSTERBOTTENS LÄN</t>
        </is>
      </c>
      <c r="G497" t="inlineStr">
        <is>
          <t>ROBERTSFORS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57008-2024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45628</v>
      </c>
      <c r="E498" s="1" t="n">
        <v>46290</v>
      </c>
      <c r="F498" t="inlineStr">
        <is>
          <t>VÄSTERBOTTENS LÄN</t>
        </is>
      </c>
      <c r="G498" t="inlineStr">
        <is>
          <t>ROBERTSFORS</t>
        </is>
      </c>
      <c r="I498" t="n">
        <v>12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32651-2026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46290</v>
      </c>
      <c r="F499" t="inlineStr">
        <is>
          <t>VÄSTERBOTTENS LÄN</t>
        </is>
      </c>
      <c r="G499" t="inlineStr">
        <is>
          <t>ROBERTSFORS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38925-2026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46286</v>
      </c>
      <c r="E500" s="1" t="n">
        <v>46290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46290</v>
      </c>
      <c r="F501" t="inlineStr">
        <is>
          <t>VÄSTERBOTTENS LÄN</t>
        </is>
      </c>
      <c r="G501" t="inlineStr">
        <is>
          <t>ROBERTSFORS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46286</v>
      </c>
      <c r="E502" s="1" t="n">
        <v>46290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32912-2026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46290</v>
      </c>
      <c r="F503" t="inlineStr">
        <is>
          <t>VÄSTERBOTTENS LÄN</t>
        </is>
      </c>
      <c r="G503" t="inlineStr">
        <is>
          <t>ROBERTSFORS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30643-2024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45495</v>
      </c>
      <c r="E504" s="1" t="n">
        <v>46290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60225-2024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45642</v>
      </c>
      <c r="E505" s="1" t="n">
        <v>46290</v>
      </c>
      <c r="F505" t="inlineStr">
        <is>
          <t>VÄSTERBOTTENS LÄN</t>
        </is>
      </c>
      <c r="G505" t="inlineStr">
        <is>
          <t>ROBERTSFORS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44372-2023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45188</v>
      </c>
      <c r="E506" s="1" t="n">
        <v>46290</v>
      </c>
      <c r="F506" t="inlineStr">
        <is>
          <t>VÄSTERBOTTENS LÄN</t>
        </is>
      </c>
      <c r="G506" t="inlineStr">
        <is>
          <t>ROBERTSFORS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46288</v>
      </c>
      <c r="E507" s="1" t="n">
        <v>46290</v>
      </c>
      <c r="F507" t="inlineStr">
        <is>
          <t>VÄSTERBOTTENS LÄN</t>
        </is>
      </c>
      <c r="G507" t="inlineStr">
        <is>
          <t>ROBERTSFORS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39696-2026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46290</v>
      </c>
      <c r="F508" t="inlineStr">
        <is>
          <t>VÄSTERBOTTENS LÄN</t>
        </is>
      </c>
      <c r="G508" t="inlineStr">
        <is>
          <t>ROBERTSFORS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46289</v>
      </c>
      <c r="E509" s="1" t="n">
        <v>46290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11.5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23961-2025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45794</v>
      </c>
      <c r="E510" s="1" t="n">
        <v>46290</v>
      </c>
      <c r="F510" t="inlineStr">
        <is>
          <t>VÄSTERBOTTENS LÄN</t>
        </is>
      </c>
      <c r="G510" t="inlineStr">
        <is>
          <t>ROBERTSFORS</t>
        </is>
      </c>
      <c r="I510" t="n">
        <v>7.3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45761</v>
      </c>
      <c r="E511" s="1" t="n">
        <v>46290</v>
      </c>
      <c r="F511" t="inlineStr">
        <is>
          <t>VÄSTERBOTTENS LÄN</t>
        </is>
      </c>
      <c r="G511" t="inlineStr">
        <is>
          <t>ROBERTSFORS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39256-2026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46288</v>
      </c>
      <c r="E512" s="1" t="n">
        <v>46290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46290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25373-2025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46290</v>
      </c>
      <c r="F514" t="inlineStr">
        <is>
          <t>VÄSTERBOTTENS LÄN</t>
        </is>
      </c>
      <c r="G514" t="inlineStr">
        <is>
          <t>ROBERTSFORS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32638-2026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46240</v>
      </c>
      <c r="E515" s="1" t="n">
        <v>46290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25333-2025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45800</v>
      </c>
      <c r="E516" s="1" t="n">
        <v>46290</v>
      </c>
      <c r="F516" t="inlineStr">
        <is>
          <t>VÄSTERBOTTENS LÄN</t>
        </is>
      </c>
      <c r="G516" t="inlineStr">
        <is>
          <t>ROBERTSFORS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45803</v>
      </c>
      <c r="E517" s="1" t="n">
        <v>46290</v>
      </c>
      <c r="F517" t="inlineStr">
        <is>
          <t>VÄSTERBOTTENS LÄN</t>
        </is>
      </c>
      <c r="G517" t="inlineStr">
        <is>
          <t>ROBERTSFORS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45803</v>
      </c>
      <c r="E518" s="1" t="n">
        <v>46290</v>
      </c>
      <c r="F518" t="inlineStr">
        <is>
          <t>VÄSTERBOTTENS LÄN</t>
        </is>
      </c>
      <c r="G518" t="inlineStr">
        <is>
          <t>ROBERTSFORS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45687</v>
      </c>
      <c r="E519" s="1" t="n">
        <v>46290</v>
      </c>
      <c r="F519" t="inlineStr">
        <is>
          <t>VÄSTERBOTTENS LÄN</t>
        </is>
      </c>
      <c r="G519" t="inlineStr">
        <is>
          <t>ROBERTSFORS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59028-2024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45636</v>
      </c>
      <c r="E520" s="1" t="n">
        <v>46290</v>
      </c>
      <c r="F520" t="inlineStr">
        <is>
          <t>VÄSTERBOTTENS LÄN</t>
        </is>
      </c>
      <c r="G520" t="inlineStr">
        <is>
          <t>ROBERTSFORS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27541-2025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45813</v>
      </c>
      <c r="E521" s="1" t="n">
        <v>46290</v>
      </c>
      <c r="F521" t="inlineStr">
        <is>
          <t>VÄSTERBOTTENS LÄN</t>
        </is>
      </c>
      <c r="G521" t="inlineStr">
        <is>
          <t>ROBERTSFORS</t>
        </is>
      </c>
      <c r="I521" t="n">
        <v>7.6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28330-2025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45818</v>
      </c>
      <c r="E522" s="1" t="n">
        <v>46290</v>
      </c>
      <c r="F522" t="inlineStr">
        <is>
          <t>VÄSTERBOTTENS LÄN</t>
        </is>
      </c>
      <c r="G522" t="inlineStr">
        <is>
          <t>ROBERTSFORS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30790-2025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46290</v>
      </c>
      <c r="F523" t="inlineStr">
        <is>
          <t>VÄSTERBOTTENS LÄN</t>
        </is>
      </c>
      <c r="G523" t="inlineStr">
        <is>
          <t>ROBERTSFORS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45832</v>
      </c>
      <c r="E524" s="1" t="n">
        <v>46290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32820-2025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46290</v>
      </c>
      <c r="F525" t="inlineStr">
        <is>
          <t>VÄSTERBOTTENS LÄN</t>
        </is>
      </c>
      <c r="G525" t="inlineStr">
        <is>
          <t>ROBERTSFORS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46290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45839</v>
      </c>
      <c r="E527" s="1" t="n">
        <v>46290</v>
      </c>
      <c r="F527" t="inlineStr">
        <is>
          <t>VÄSTERBOTTENS LÄN</t>
        </is>
      </c>
      <c r="G527" t="inlineStr">
        <is>
          <t>ROBERTSFORS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32814-2025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45839</v>
      </c>
      <c r="E528" s="1" t="n">
        <v>46290</v>
      </c>
      <c r="F528" t="inlineStr">
        <is>
          <t>VÄSTERBOTTENS LÄN</t>
        </is>
      </c>
      <c r="G528" t="inlineStr">
        <is>
          <t>ROBERTSFORS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46290</v>
      </c>
      <c r="F529" t="inlineStr">
        <is>
          <t>VÄSTERBOTTENS LÄN</t>
        </is>
      </c>
      <c r="G529" t="inlineStr">
        <is>
          <t>ROBERTSFORS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45839</v>
      </c>
      <c r="E530" s="1" t="n">
        <v>46290</v>
      </c>
      <c r="F530" t="inlineStr">
        <is>
          <t>VÄSTERBOTTENS LÄN</t>
        </is>
      </c>
      <c r="G530" t="inlineStr">
        <is>
          <t>ROBERTSFORS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32826-2025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45839</v>
      </c>
      <c r="E531" s="1" t="n">
        <v>46290</v>
      </c>
      <c r="F531" t="inlineStr">
        <is>
          <t>VÄSTERBOTTENS LÄN</t>
        </is>
      </c>
      <c r="G531" t="inlineStr">
        <is>
          <t>ROBERTSFORS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33368-2025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45841</v>
      </c>
      <c r="E532" s="1" t="n">
        <v>46290</v>
      </c>
      <c r="F532" t="inlineStr">
        <is>
          <t>VÄSTERBOTTENS LÄN</t>
        </is>
      </c>
      <c r="G532" t="inlineStr">
        <is>
          <t>ROBERTSFORS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33375-2025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45841</v>
      </c>
      <c r="E533" s="1" t="n">
        <v>46290</v>
      </c>
      <c r="F533" t="inlineStr">
        <is>
          <t>VÄSTERBOTTENS LÄN</t>
        </is>
      </c>
      <c r="G533" t="inlineStr">
        <is>
          <t>ROBERTSFORS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45856</v>
      </c>
      <c r="E534" s="1" t="n">
        <v>46290</v>
      </c>
      <c r="F534" t="inlineStr">
        <is>
          <t>VÄSTERBOTTENS LÄN</t>
        </is>
      </c>
      <c r="G534" t="inlineStr">
        <is>
          <t>ROBERTSFORS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45856</v>
      </c>
      <c r="E535" s="1" t="n">
        <v>46290</v>
      </c>
      <c r="F535" t="inlineStr">
        <is>
          <t>VÄSTERBOTTENS LÄN</t>
        </is>
      </c>
      <c r="G535" t="inlineStr">
        <is>
          <t>ROBERTSFORS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45856</v>
      </c>
      <c r="E536" s="1" t="n">
        <v>46290</v>
      </c>
      <c r="F536" t="inlineStr">
        <is>
          <t>VÄSTERBOTTENS LÄN</t>
        </is>
      </c>
      <c r="G536" t="inlineStr">
        <is>
          <t>ROBERTSFORS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45789</v>
      </c>
      <c r="E537" s="1" t="n">
        <v>46290</v>
      </c>
      <c r="F537" t="inlineStr">
        <is>
          <t>VÄSTERBOTTENS LÄN</t>
        </is>
      </c>
      <c r="G537" t="inlineStr">
        <is>
          <t>ROBERTSFORS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46290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46290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46290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46290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46290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46290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46290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46290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2026-09-25T02:06:03Z</dcterms:created>
  <dcterms:modified xmlns:dcterms="http://purl.org/dc/terms/" xmlns:xsi="http://www.w3.org/2001/XMLSchema-instance" xsi:type="dcterms:W3CDTF">2026-09-25T02:06:03Z</dcterms:modified>
</cp:coreProperties>
</file>