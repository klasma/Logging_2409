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45740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45740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45740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45740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45740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45740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45740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45740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45740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45740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45740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45740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45740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45740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45740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45740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45740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45740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45740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45740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45740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45740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45740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45740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45740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45740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45740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45740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44222-2022</t>
        </is>
      </c>
      <c r="B30" s="1" t="n">
        <v>44839</v>
      </c>
      <c r="C30" s="1" t="n">
        <v>45740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23.5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Kortskaftad ärgspik</t>
        </is>
      </c>
      <c r="S30">
        <f>HYPERLINK("https://klasma.github.io/Logging_2409/artfynd/A 44222-2022 artfynd.xlsx", "A 44222-2022")</f>
        <v/>
      </c>
      <c r="T30">
        <f>HYPERLINK("https://klasma.github.io/Logging_2409/kartor/A 44222-2022 karta.png", "A 44222-2022")</f>
        <v/>
      </c>
      <c r="V30">
        <f>HYPERLINK("https://klasma.github.io/Logging_2409/klagomål/A 44222-2022 FSC-klagomål.docx", "A 44222-2022")</f>
        <v/>
      </c>
      <c r="W30">
        <f>HYPERLINK("https://klasma.github.io/Logging_2409/klagomålsmail/A 44222-2022 FSC-klagomål mail.docx", "A 44222-2022")</f>
        <v/>
      </c>
      <c r="X30">
        <f>HYPERLINK("https://klasma.github.io/Logging_2409/tillsyn/A 44222-2022 tillsynsbegäran.docx", "A 44222-2022")</f>
        <v/>
      </c>
      <c r="Y30">
        <f>HYPERLINK("https://klasma.github.io/Logging_2409/tillsynsmail/A 44222-2022 tillsynsbegäran mail.docx", "A 44222-2022")</f>
        <v/>
      </c>
      <c r="Z30">
        <f>HYPERLINK("https://klasma.github.io/Logging_2409/fåglar/A 44222-2022 prioriterade fågelarter.docx", "A 44222-2022")</f>
        <v/>
      </c>
    </row>
    <row r="31" ht="15" customHeight="1">
      <c r="A31" t="inlineStr">
        <is>
          <t>A 469-2023</t>
        </is>
      </c>
      <c r="B31" s="1" t="n">
        <v>44929</v>
      </c>
      <c r="C31" s="1" t="n">
        <v>45740</v>
      </c>
      <c r="D31" t="inlineStr">
        <is>
          <t>VÄSTERBOTTENS LÄN</t>
        </is>
      </c>
      <c r="E31" t="inlineStr">
        <is>
          <t>ROBERTSFORS</t>
        </is>
      </c>
      <c r="G31" t="n">
        <v>13.8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469-2023 artfynd.xlsx", "A 469-2023")</f>
        <v/>
      </c>
      <c r="T31">
        <f>HYPERLINK("https://klasma.github.io/Logging_2409/kartor/A 469-2023 karta.png", "A 469-2023")</f>
        <v/>
      </c>
      <c r="V31">
        <f>HYPERLINK("https://klasma.github.io/Logging_2409/klagomål/A 469-2023 FSC-klagomål.docx", "A 469-2023")</f>
        <v/>
      </c>
      <c r="W31">
        <f>HYPERLINK("https://klasma.github.io/Logging_2409/klagomålsmail/A 469-2023 FSC-klagomål mail.docx", "A 469-2023")</f>
        <v/>
      </c>
      <c r="X31">
        <f>HYPERLINK("https://klasma.github.io/Logging_2409/tillsyn/A 469-2023 tillsynsbegäran.docx", "A 469-2023")</f>
        <v/>
      </c>
      <c r="Y31">
        <f>HYPERLINK("https://klasma.github.io/Logging_2409/tillsynsmail/A 469-2023 tillsynsbegäran mail.docx", "A 469-2023")</f>
        <v/>
      </c>
    </row>
    <row r="32" ht="15" customHeight="1">
      <c r="A32" t="inlineStr">
        <is>
          <t>A 26029-2023</t>
        </is>
      </c>
      <c r="B32" s="1" t="n">
        <v>45091</v>
      </c>
      <c r="C32" s="1" t="n">
        <v>45740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Granticka
Spillkråka</t>
        </is>
      </c>
      <c r="S32">
        <f>HYPERLINK("https://klasma.github.io/Logging_2409/artfynd/A 26029-2023 artfynd.xlsx", "A 26029-2023")</f>
        <v/>
      </c>
      <c r="T32">
        <f>HYPERLINK("https://klasma.github.io/Logging_2409/kartor/A 26029-2023 karta.png", "A 26029-2023")</f>
        <v/>
      </c>
      <c r="V32">
        <f>HYPERLINK("https://klasma.github.io/Logging_2409/klagomål/A 26029-2023 FSC-klagomål.docx", "A 26029-2023")</f>
        <v/>
      </c>
      <c r="W32">
        <f>HYPERLINK("https://klasma.github.io/Logging_2409/klagomålsmail/A 26029-2023 FSC-klagomål mail.docx", "A 26029-2023")</f>
        <v/>
      </c>
      <c r="X32">
        <f>HYPERLINK("https://klasma.github.io/Logging_2409/tillsyn/A 26029-2023 tillsynsbegäran.docx", "A 26029-2023")</f>
        <v/>
      </c>
      <c r="Y32">
        <f>HYPERLINK("https://klasma.github.io/Logging_2409/tillsynsmail/A 26029-2023 tillsynsbegäran mail.docx", "A 26029-2023")</f>
        <v/>
      </c>
      <c r="Z32">
        <f>HYPERLINK("https://klasma.github.io/Logging_2409/fåglar/A 26029-2023 prioriterade fågelarter.docx", "A 26029-2023")</f>
        <v/>
      </c>
    </row>
    <row r="33" ht="15" customHeight="1">
      <c r="A33" t="inlineStr">
        <is>
          <t>A 36561-2023</t>
        </is>
      </c>
      <c r="B33" s="1" t="n">
        <v>45153</v>
      </c>
      <c r="C33" s="1" t="n">
        <v>45740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2.2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36561-2023 artfynd.xlsx", "A 36561-2023")</f>
        <v/>
      </c>
      <c r="T33">
        <f>HYPERLINK("https://klasma.github.io/Logging_2409/kartor/A 36561-2023 karta.png", "A 36561-2023")</f>
        <v/>
      </c>
      <c r="V33">
        <f>HYPERLINK("https://klasma.github.io/Logging_2409/klagomål/A 36561-2023 FSC-klagomål.docx", "A 36561-2023")</f>
        <v/>
      </c>
      <c r="W33">
        <f>HYPERLINK("https://klasma.github.io/Logging_2409/klagomålsmail/A 36561-2023 FSC-klagomål mail.docx", "A 36561-2023")</f>
        <v/>
      </c>
      <c r="X33">
        <f>HYPERLINK("https://klasma.github.io/Logging_2409/tillsyn/A 36561-2023 tillsynsbegäran.docx", "A 36561-2023")</f>
        <v/>
      </c>
      <c r="Y33">
        <f>HYPERLINK("https://klasma.github.io/Logging_2409/tillsynsmail/A 36561-2023 tillsynsbegäran mail.docx", "A 36561-2023")</f>
        <v/>
      </c>
    </row>
    <row r="34" ht="15" customHeight="1">
      <c r="A34" t="inlineStr">
        <is>
          <t>A 39826-2023</t>
        </is>
      </c>
      <c r="B34" s="1" t="n">
        <v>45168</v>
      </c>
      <c r="C34" s="1" t="n">
        <v>45740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5.1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39826-2023 artfynd.xlsx", "A 39826-2023")</f>
        <v/>
      </c>
      <c r="T34">
        <f>HYPERLINK("https://klasma.github.io/Logging_2409/kartor/A 39826-2023 karta.png", "A 39826-2023")</f>
        <v/>
      </c>
      <c r="V34">
        <f>HYPERLINK("https://klasma.github.io/Logging_2409/klagomål/A 39826-2023 FSC-klagomål.docx", "A 39826-2023")</f>
        <v/>
      </c>
      <c r="W34">
        <f>HYPERLINK("https://klasma.github.io/Logging_2409/klagomålsmail/A 39826-2023 FSC-klagomål mail.docx", "A 39826-2023")</f>
        <v/>
      </c>
      <c r="X34">
        <f>HYPERLINK("https://klasma.github.io/Logging_2409/tillsyn/A 39826-2023 tillsynsbegäran.docx", "A 39826-2023")</f>
        <v/>
      </c>
      <c r="Y34">
        <f>HYPERLINK("https://klasma.github.io/Logging_2409/tillsynsmail/A 39826-2023 tillsynsbegäran mail.docx", "A 39826-2023")</f>
        <v/>
      </c>
    </row>
    <row r="35" ht="15" customHeight="1">
      <c r="A35" t="inlineStr">
        <is>
          <t>A 43094-2023</t>
        </is>
      </c>
      <c r="B35" s="1" t="n">
        <v>45182</v>
      </c>
      <c r="C35" s="1" t="n">
        <v>45740</v>
      </c>
      <c r="D35" t="inlineStr">
        <is>
          <t>VÄSTERBOTTENS LÄN</t>
        </is>
      </c>
      <c r="E35" t="inlineStr">
        <is>
          <t>ROBERTSFORS</t>
        </is>
      </c>
      <c r="G35" t="n">
        <v>7.7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Svartvit flugsnappare
Ärtsångare</t>
        </is>
      </c>
      <c r="S35">
        <f>HYPERLINK("https://klasma.github.io/Logging_2409/artfynd/A 43094-2023 artfynd.xlsx", "A 43094-2023")</f>
        <v/>
      </c>
      <c r="T35">
        <f>HYPERLINK("https://klasma.github.io/Logging_2409/kartor/A 43094-2023 karta.png", "A 43094-2023")</f>
        <v/>
      </c>
      <c r="V35">
        <f>HYPERLINK("https://klasma.github.io/Logging_2409/klagomål/A 43094-2023 FSC-klagomål.docx", "A 43094-2023")</f>
        <v/>
      </c>
      <c r="W35">
        <f>HYPERLINK("https://klasma.github.io/Logging_2409/klagomålsmail/A 43094-2023 FSC-klagomål mail.docx", "A 43094-2023")</f>
        <v/>
      </c>
      <c r="X35">
        <f>HYPERLINK("https://klasma.github.io/Logging_2409/tillsyn/A 43094-2023 tillsynsbegäran.docx", "A 43094-2023")</f>
        <v/>
      </c>
      <c r="Y35">
        <f>HYPERLINK("https://klasma.github.io/Logging_2409/tillsynsmail/A 43094-2023 tillsynsbegäran mail.docx", "A 43094-2023")</f>
        <v/>
      </c>
      <c r="Z35">
        <f>HYPERLINK("https://klasma.github.io/Logging_2409/fåglar/A 43094-2023 prioriterade fågelarter.docx", "A 43094-2023")</f>
        <v/>
      </c>
    </row>
    <row r="36" ht="15" customHeight="1">
      <c r="A36" t="inlineStr">
        <is>
          <t>A 57674-2023</t>
        </is>
      </c>
      <c r="B36" s="1" t="n">
        <v>45246</v>
      </c>
      <c r="C36" s="1" t="n">
        <v>45740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57674-2023 artfynd.xlsx", "A 57674-2023")</f>
        <v/>
      </c>
      <c r="T36">
        <f>HYPERLINK("https://klasma.github.io/Logging_2409/kartor/A 57674-2023 karta.png", "A 57674-2023")</f>
        <v/>
      </c>
      <c r="V36">
        <f>HYPERLINK("https://klasma.github.io/Logging_2409/klagomål/A 57674-2023 FSC-klagomål.docx", "A 57674-2023")</f>
        <v/>
      </c>
      <c r="W36">
        <f>HYPERLINK("https://klasma.github.io/Logging_2409/klagomålsmail/A 57674-2023 FSC-klagomål mail.docx", "A 57674-2023")</f>
        <v/>
      </c>
      <c r="X36">
        <f>HYPERLINK("https://klasma.github.io/Logging_2409/tillsyn/A 57674-2023 tillsynsbegäran.docx", "A 57674-2023")</f>
        <v/>
      </c>
      <c r="Y36">
        <f>HYPERLINK("https://klasma.github.io/Logging_2409/tillsynsmail/A 57674-2023 tillsynsbegäran mail.docx", "A 57674-2023")</f>
        <v/>
      </c>
    </row>
    <row r="37" ht="15" customHeight="1">
      <c r="A37" t="inlineStr">
        <is>
          <t>A 6839-2024</t>
        </is>
      </c>
      <c r="B37" s="1" t="n">
        <v>45342</v>
      </c>
      <c r="C37" s="1" t="n">
        <v>45740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6.6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6839-2024 artfynd.xlsx", "A 6839-2024")</f>
        <v/>
      </c>
      <c r="T37">
        <f>HYPERLINK("https://klasma.github.io/Logging_2409/kartor/A 6839-2024 karta.png", "A 6839-2024")</f>
        <v/>
      </c>
      <c r="V37">
        <f>HYPERLINK("https://klasma.github.io/Logging_2409/klagomål/A 6839-2024 FSC-klagomål.docx", "A 6839-2024")</f>
        <v/>
      </c>
      <c r="W37">
        <f>HYPERLINK("https://klasma.github.io/Logging_2409/klagomålsmail/A 6839-2024 FSC-klagomål mail.docx", "A 6839-2024")</f>
        <v/>
      </c>
      <c r="X37">
        <f>HYPERLINK("https://klasma.github.io/Logging_2409/tillsyn/A 6839-2024 tillsynsbegäran.docx", "A 6839-2024")</f>
        <v/>
      </c>
      <c r="Y37">
        <f>HYPERLINK("https://klasma.github.io/Logging_2409/tillsynsmail/A 6839-2024 tillsynsbegäran mail.docx", "A 6839-2024")</f>
        <v/>
      </c>
    </row>
    <row r="38" ht="15" customHeight="1">
      <c r="A38" t="inlineStr">
        <is>
          <t>A 31320-2024</t>
        </is>
      </c>
      <c r="B38" s="1" t="n">
        <v>45504</v>
      </c>
      <c r="C38" s="1" t="n">
        <v>45740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4.9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Vedflamlav</t>
        </is>
      </c>
      <c r="S38">
        <f>HYPERLINK("https://klasma.github.io/Logging_2409/artfynd/A 31320-2024 artfynd.xlsx", "A 31320-2024")</f>
        <v/>
      </c>
      <c r="T38">
        <f>HYPERLINK("https://klasma.github.io/Logging_2409/kartor/A 31320-2024 karta.png", "A 31320-2024")</f>
        <v/>
      </c>
      <c r="V38">
        <f>HYPERLINK("https://klasma.github.io/Logging_2409/klagomål/A 31320-2024 FSC-klagomål.docx", "A 31320-2024")</f>
        <v/>
      </c>
      <c r="W38">
        <f>HYPERLINK("https://klasma.github.io/Logging_2409/klagomålsmail/A 31320-2024 FSC-klagomål mail.docx", "A 31320-2024")</f>
        <v/>
      </c>
      <c r="X38">
        <f>HYPERLINK("https://klasma.github.io/Logging_2409/tillsyn/A 31320-2024 tillsynsbegäran.docx", "A 31320-2024")</f>
        <v/>
      </c>
      <c r="Y38">
        <f>HYPERLINK("https://klasma.github.io/Logging_2409/tillsynsmail/A 31320-2024 tillsynsbegäran mail.docx", "A 31320-2024")</f>
        <v/>
      </c>
    </row>
    <row r="39" ht="15" customHeight="1">
      <c r="A39" t="inlineStr">
        <is>
          <t>A 41723-2024</t>
        </is>
      </c>
      <c r="B39" s="1" t="n">
        <v>45560</v>
      </c>
      <c r="C39" s="1" t="n">
        <v>45740</v>
      </c>
      <c r="D39" t="inlineStr">
        <is>
          <t>VÄSTERBOTTENS LÄN</t>
        </is>
      </c>
      <c r="E39" t="inlineStr">
        <is>
          <t>ROBERTSFORS</t>
        </is>
      </c>
      <c r="G39" t="n">
        <v>2.4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Tretåig hackspett</t>
        </is>
      </c>
      <c r="S39">
        <f>HYPERLINK("https://klasma.github.io/Logging_2409/artfynd/A 41723-2024 artfynd.xlsx", "A 41723-2024")</f>
        <v/>
      </c>
      <c r="T39">
        <f>HYPERLINK("https://klasma.github.io/Logging_2409/kartor/A 41723-2024 karta.png", "A 41723-2024")</f>
        <v/>
      </c>
      <c r="V39">
        <f>HYPERLINK("https://klasma.github.io/Logging_2409/klagomål/A 41723-2024 FSC-klagomål.docx", "A 41723-2024")</f>
        <v/>
      </c>
      <c r="W39">
        <f>HYPERLINK("https://klasma.github.io/Logging_2409/klagomålsmail/A 41723-2024 FSC-klagomål mail.docx", "A 41723-2024")</f>
        <v/>
      </c>
      <c r="X39">
        <f>HYPERLINK("https://klasma.github.io/Logging_2409/tillsyn/A 41723-2024 tillsynsbegäran.docx", "A 41723-2024")</f>
        <v/>
      </c>
      <c r="Y39">
        <f>HYPERLINK("https://klasma.github.io/Logging_2409/tillsynsmail/A 41723-2024 tillsynsbegäran mail.docx", "A 41723-2024")</f>
        <v/>
      </c>
      <c r="Z39">
        <f>HYPERLINK("https://klasma.github.io/Logging_2409/fåglar/A 41723-2024 prioriterade fågelarter.docx", "A 41723-2024")</f>
        <v/>
      </c>
    </row>
    <row r="40" ht="15" customHeight="1">
      <c r="A40" t="inlineStr">
        <is>
          <t>A 59868-2024</t>
        </is>
      </c>
      <c r="B40" s="1" t="n">
        <v>45640</v>
      </c>
      <c r="C40" s="1" t="n">
        <v>45740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Harticka</t>
        </is>
      </c>
      <c r="S40">
        <f>HYPERLINK("https://klasma.github.io/Logging_2409/artfynd/A 59868-2024 artfynd.xlsx", "A 59868-2024")</f>
        <v/>
      </c>
      <c r="T40">
        <f>HYPERLINK("https://klasma.github.io/Logging_2409/kartor/A 59868-2024 karta.png", "A 59868-2024")</f>
        <v/>
      </c>
      <c r="V40">
        <f>HYPERLINK("https://klasma.github.io/Logging_2409/klagomål/A 59868-2024 FSC-klagomål.docx", "A 59868-2024")</f>
        <v/>
      </c>
      <c r="W40">
        <f>HYPERLINK("https://klasma.github.io/Logging_2409/klagomålsmail/A 59868-2024 FSC-klagomål mail.docx", "A 59868-2024")</f>
        <v/>
      </c>
      <c r="X40">
        <f>HYPERLINK("https://klasma.github.io/Logging_2409/tillsyn/A 59868-2024 tillsynsbegäran.docx", "A 59868-2024")</f>
        <v/>
      </c>
      <c r="Y40">
        <f>HYPERLINK("https://klasma.github.io/Logging_2409/tillsynsmail/A 59868-2024 tillsynsbegäran mail.docx", "A 59868-2024")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45740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45740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45740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45740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45740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45740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45740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45740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45740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45740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45740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45740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45740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45740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57284-2023</t>
        </is>
      </c>
      <c r="B55" s="1" t="n">
        <v>45245</v>
      </c>
      <c r="C55" s="1" t="n">
        <v>45740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HYPERLINK("https://klasma.github.io/Logging_2409/artfynd/A 57284-2023 artfynd.xlsx", "A 57284-2023")</f>
        <v/>
      </c>
      <c r="T55">
        <f>HYPERLINK("https://klasma.github.io/Logging_2409/kartor/A 57284-2023 karta.png", "A 57284-2023")</f>
        <v/>
      </c>
      <c r="V55">
        <f>HYPERLINK("https://klasma.github.io/Logging_2409/klagomål/A 57284-2023 FSC-klagomål.docx", "A 57284-2023")</f>
        <v/>
      </c>
      <c r="W55">
        <f>HYPERLINK("https://klasma.github.io/Logging_2409/klagomålsmail/A 57284-2023 FSC-klagomål mail.docx", "A 57284-2023")</f>
        <v/>
      </c>
      <c r="X55">
        <f>HYPERLINK("https://klasma.github.io/Logging_2409/tillsyn/A 57284-2023 tillsynsbegäran.docx", "A 57284-2023")</f>
        <v/>
      </c>
      <c r="Y55">
        <f>HYPERLINK("https://klasma.github.io/Logging_2409/tillsynsmail/A 57284-2023 tillsynsbegäran mail.docx", "A 57284-2023")</f>
        <v/>
      </c>
    </row>
    <row r="56" ht="15" customHeight="1">
      <c r="A56" t="inlineStr">
        <is>
          <t>A 63770-2023</t>
        </is>
      </c>
      <c r="B56" s="1" t="n">
        <v>45278</v>
      </c>
      <c r="C56" s="1" t="n">
        <v>45740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HYPERLINK("https://klasma.github.io/Logging_2409/artfynd/A 63770-2023 artfynd.xlsx", "A 63770-2023")</f>
        <v/>
      </c>
      <c r="T56">
        <f>HYPERLINK("https://klasma.github.io/Logging_2409/kartor/A 63770-2023 karta.png", "A 63770-2023")</f>
        <v/>
      </c>
      <c r="V56">
        <f>HYPERLINK("https://klasma.github.io/Logging_2409/klagomål/A 63770-2023 FSC-klagomål.docx", "A 63770-2023")</f>
        <v/>
      </c>
      <c r="W56">
        <f>HYPERLINK("https://klasma.github.io/Logging_2409/klagomålsmail/A 63770-2023 FSC-klagomål mail.docx", "A 63770-2023")</f>
        <v/>
      </c>
      <c r="X56">
        <f>HYPERLINK("https://klasma.github.io/Logging_2409/tillsyn/A 63770-2023 tillsynsbegäran.docx", "A 63770-2023")</f>
        <v/>
      </c>
      <c r="Y56">
        <f>HYPERLINK("https://klasma.github.io/Logging_2409/tillsynsmail/A 63770-2023 tillsynsbegäran mail.docx", "A 63770-2023")</f>
        <v/>
      </c>
    </row>
    <row r="57" ht="15" customHeight="1">
      <c r="A57" t="inlineStr">
        <is>
          <t>A 1830-2024</t>
        </is>
      </c>
      <c r="B57" s="1" t="n">
        <v>45307</v>
      </c>
      <c r="C57" s="1" t="n">
        <v>45740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 taggsvamp</t>
        </is>
      </c>
      <c r="S57">
        <f>HYPERLINK("https://klasma.github.io/Logging_2409/artfynd/A 1830-2024 artfynd.xlsx", "A 1830-2024")</f>
        <v/>
      </c>
      <c r="T57">
        <f>HYPERLINK("https://klasma.github.io/Logging_2409/kartor/A 1830-2024 karta.png", "A 1830-2024")</f>
        <v/>
      </c>
      <c r="V57">
        <f>HYPERLINK("https://klasma.github.io/Logging_2409/klagomål/A 1830-2024 FSC-klagomål.docx", "A 1830-2024")</f>
        <v/>
      </c>
      <c r="W57">
        <f>HYPERLINK("https://klasma.github.io/Logging_2409/klagomålsmail/A 1830-2024 FSC-klagomål mail.docx", "A 1830-2024")</f>
        <v/>
      </c>
      <c r="X57">
        <f>HYPERLINK("https://klasma.github.io/Logging_2409/tillsyn/A 1830-2024 tillsynsbegäran.docx", "A 1830-2024")</f>
        <v/>
      </c>
      <c r="Y57">
        <f>HYPERLINK("https://klasma.github.io/Logging_2409/tillsynsmail/A 1830-2024 tillsynsbegäran mail.docx", "A 1830-2024")</f>
        <v/>
      </c>
    </row>
    <row r="58" ht="15" customHeight="1">
      <c r="A58" t="inlineStr">
        <is>
          <t>A 7379-2024</t>
        </is>
      </c>
      <c r="B58" s="1" t="n">
        <v>45345</v>
      </c>
      <c r="C58" s="1" t="n">
        <v>45740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7379-2024 artfynd.xlsx", "A 7379-2024")</f>
        <v/>
      </c>
      <c r="T58">
        <f>HYPERLINK("https://klasma.github.io/Logging_2409/kartor/A 7379-2024 karta.png", "A 7379-2024")</f>
        <v/>
      </c>
      <c r="V58">
        <f>HYPERLINK("https://klasma.github.io/Logging_2409/klagomål/A 7379-2024 FSC-klagomål.docx", "A 7379-2024")</f>
        <v/>
      </c>
      <c r="W58">
        <f>HYPERLINK("https://klasma.github.io/Logging_2409/klagomålsmail/A 7379-2024 FSC-klagomål mail.docx", "A 7379-2024")</f>
        <v/>
      </c>
      <c r="X58">
        <f>HYPERLINK("https://klasma.github.io/Logging_2409/tillsyn/A 7379-2024 tillsynsbegäran.docx", "A 7379-2024")</f>
        <v/>
      </c>
      <c r="Y58">
        <f>HYPERLINK("https://klasma.github.io/Logging_2409/tillsynsmail/A 7379-2024 tillsynsbegäran mail.docx", "A 7379-2024")</f>
        <v/>
      </c>
    </row>
    <row r="59" ht="15" customHeight="1">
      <c r="A59" t="inlineStr">
        <is>
          <t>A 10315-2024</t>
        </is>
      </c>
      <c r="B59" s="1" t="n">
        <v>45365</v>
      </c>
      <c r="C59" s="1" t="n">
        <v>45740</v>
      </c>
      <c r="D59" t="inlineStr">
        <is>
          <t>VÄSTERBOTTENS LÄN</t>
        </is>
      </c>
      <c r="E59" t="inlineStr">
        <is>
          <t>ROBERTSFORS</t>
        </is>
      </c>
      <c r="G59" t="n">
        <v>11.8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HYPERLINK("https://klasma.github.io/Logging_2409/artfynd/A 10315-2024 artfynd.xlsx", "A 10315-2024")</f>
        <v/>
      </c>
      <c r="T59">
        <f>HYPERLINK("https://klasma.github.io/Logging_2409/kartor/A 10315-2024 karta.png", "A 10315-2024")</f>
        <v/>
      </c>
      <c r="V59">
        <f>HYPERLINK("https://klasma.github.io/Logging_2409/klagomål/A 10315-2024 FSC-klagomål.docx", "A 10315-2024")</f>
        <v/>
      </c>
      <c r="W59">
        <f>HYPERLINK("https://klasma.github.io/Logging_2409/klagomålsmail/A 10315-2024 FSC-klagomål mail.docx", "A 10315-2024")</f>
        <v/>
      </c>
      <c r="X59">
        <f>HYPERLINK("https://klasma.github.io/Logging_2409/tillsyn/A 10315-2024 tillsynsbegäran.docx", "A 10315-2024")</f>
        <v/>
      </c>
      <c r="Y59">
        <f>HYPERLINK("https://klasma.github.io/Logging_2409/tillsynsmail/A 10315-2024 tillsynsbegäran mail.docx", "A 10315-2024")</f>
        <v/>
      </c>
    </row>
    <row r="60" ht="15" customHeight="1">
      <c r="A60" t="inlineStr">
        <is>
          <t>A 26338-2024</t>
        </is>
      </c>
      <c r="B60" s="1" t="n">
        <v>45469</v>
      </c>
      <c r="C60" s="1" t="n">
        <v>45740</v>
      </c>
      <c r="D60" t="inlineStr">
        <is>
          <t>VÄSTERBOTTENS LÄN</t>
        </is>
      </c>
      <c r="E60" t="inlineStr">
        <is>
          <t>ROBERTSFORS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26338-2024 artfynd.xlsx", "A 26338-2024")</f>
        <v/>
      </c>
      <c r="T60">
        <f>HYPERLINK("https://klasma.github.io/Logging_2409/kartor/A 26338-2024 karta.png", "A 26338-2024")</f>
        <v/>
      </c>
      <c r="V60">
        <f>HYPERLINK("https://klasma.github.io/Logging_2409/klagomål/A 26338-2024 FSC-klagomål.docx", "A 26338-2024")</f>
        <v/>
      </c>
      <c r="W60">
        <f>HYPERLINK("https://klasma.github.io/Logging_2409/klagomålsmail/A 26338-2024 FSC-klagomål mail.docx", "A 26338-2024")</f>
        <v/>
      </c>
      <c r="X60">
        <f>HYPERLINK("https://klasma.github.io/Logging_2409/tillsyn/A 26338-2024 tillsynsbegäran.docx", "A 26338-2024")</f>
        <v/>
      </c>
      <c r="Y60">
        <f>HYPERLINK("https://klasma.github.io/Logging_2409/tillsynsmail/A 26338-2024 tillsynsbegäran mail.docx", "A 26338-2024")</f>
        <v/>
      </c>
    </row>
    <row r="61" ht="15" customHeight="1">
      <c r="A61" t="inlineStr">
        <is>
          <t>A 32023-2024</t>
        </is>
      </c>
      <c r="B61" s="1" t="n">
        <v>45510</v>
      </c>
      <c r="C61" s="1" t="n">
        <v>45740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HYPERLINK("https://klasma.github.io/Logging_2409/artfynd/A 32023-2024 artfynd.xlsx", "A 32023-2024")</f>
        <v/>
      </c>
      <c r="T61">
        <f>HYPERLINK("https://klasma.github.io/Logging_2409/kartor/A 32023-2024 karta.png", "A 32023-2024")</f>
        <v/>
      </c>
      <c r="V61">
        <f>HYPERLINK("https://klasma.github.io/Logging_2409/klagomål/A 32023-2024 FSC-klagomål.docx", "A 32023-2024")</f>
        <v/>
      </c>
      <c r="W61">
        <f>HYPERLINK("https://klasma.github.io/Logging_2409/klagomålsmail/A 32023-2024 FSC-klagomål mail.docx", "A 32023-2024")</f>
        <v/>
      </c>
      <c r="X61">
        <f>HYPERLINK("https://klasma.github.io/Logging_2409/tillsyn/A 32023-2024 tillsynsbegäran.docx", "A 32023-2024")</f>
        <v/>
      </c>
      <c r="Y61">
        <f>HYPERLINK("https://klasma.github.io/Logging_2409/tillsynsmail/A 32023-2024 tillsynsbegäran mail.docx", "A 32023-2024")</f>
        <v/>
      </c>
    </row>
    <row r="62" ht="15" customHeight="1">
      <c r="A62" t="inlineStr">
        <is>
          <t>A 36414-2024</t>
        </is>
      </c>
      <c r="B62" s="1" t="n">
        <v>45536</v>
      </c>
      <c r="C62" s="1" t="n">
        <v>45740</v>
      </c>
      <c r="D62" t="inlineStr">
        <is>
          <t>VÄSTERBOTTENS LÄN</t>
        </is>
      </c>
      <c r="E62" t="inlineStr">
        <is>
          <t>ROBERTSFORS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HYPERLINK("https://klasma.github.io/Logging_2409/artfynd/A 36414-2024 artfynd.xlsx", "A 36414-2024")</f>
        <v/>
      </c>
      <c r="T62">
        <f>HYPERLINK("https://klasma.github.io/Logging_2409/kartor/A 36414-2024 karta.png", "A 36414-2024")</f>
        <v/>
      </c>
      <c r="V62">
        <f>HYPERLINK("https://klasma.github.io/Logging_2409/klagomål/A 36414-2024 FSC-klagomål.docx", "A 36414-2024")</f>
        <v/>
      </c>
      <c r="W62">
        <f>HYPERLINK("https://klasma.github.io/Logging_2409/klagomålsmail/A 36414-2024 FSC-klagomål mail.docx", "A 36414-2024")</f>
        <v/>
      </c>
      <c r="X62">
        <f>HYPERLINK("https://klasma.github.io/Logging_2409/tillsyn/A 36414-2024 tillsynsbegäran.docx", "A 36414-2024")</f>
        <v/>
      </c>
      <c r="Y62">
        <f>HYPERLINK("https://klasma.github.io/Logging_2409/tillsynsmail/A 36414-2024 tillsynsbegäran mail.docx", "A 36414-2024")</f>
        <v/>
      </c>
    </row>
    <row r="63" ht="15" customHeight="1">
      <c r="A63" t="inlineStr">
        <is>
          <t>A 38810-2024</t>
        </is>
      </c>
      <c r="B63" s="1" t="n">
        <v>45547</v>
      </c>
      <c r="C63" s="1" t="n">
        <v>45740</v>
      </c>
      <c r="D63" t="inlineStr">
        <is>
          <t>VÄSTERBOTTENS LÄN</t>
        </is>
      </c>
      <c r="E63" t="inlineStr">
        <is>
          <t>ROBERTSFORS</t>
        </is>
      </c>
      <c r="G63" t="n">
        <v>11.5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38810-2024 artfynd.xlsx", "A 38810-2024")</f>
        <v/>
      </c>
      <c r="T63">
        <f>HYPERLINK("https://klasma.github.io/Logging_2409/kartor/A 38810-2024 karta.png", "A 38810-2024")</f>
        <v/>
      </c>
      <c r="V63">
        <f>HYPERLINK("https://klasma.github.io/Logging_2409/klagomål/A 38810-2024 FSC-klagomål.docx", "A 38810-2024")</f>
        <v/>
      </c>
      <c r="W63">
        <f>HYPERLINK("https://klasma.github.io/Logging_2409/klagomålsmail/A 38810-2024 FSC-klagomål mail.docx", "A 38810-2024")</f>
        <v/>
      </c>
      <c r="X63">
        <f>HYPERLINK("https://klasma.github.io/Logging_2409/tillsyn/A 38810-2024 tillsynsbegäran.docx", "A 38810-2024")</f>
        <v/>
      </c>
      <c r="Y63">
        <f>HYPERLINK("https://klasma.github.io/Logging_2409/tillsynsmail/A 38810-2024 tillsynsbegäran mail.docx", "A 38810-2024")</f>
        <v/>
      </c>
    </row>
    <row r="64" ht="15" customHeight="1">
      <c r="A64" t="inlineStr">
        <is>
          <t>A 39461-2024</t>
        </is>
      </c>
      <c r="B64" s="1" t="n">
        <v>45551</v>
      </c>
      <c r="C64" s="1" t="n">
        <v>45740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39461-2024 artfynd.xlsx", "A 39461-2024")</f>
        <v/>
      </c>
      <c r="T64">
        <f>HYPERLINK("https://klasma.github.io/Logging_2409/kartor/A 39461-2024 karta.png", "A 39461-2024")</f>
        <v/>
      </c>
      <c r="V64">
        <f>HYPERLINK("https://klasma.github.io/Logging_2409/klagomål/A 39461-2024 FSC-klagomål.docx", "A 39461-2024")</f>
        <v/>
      </c>
      <c r="W64">
        <f>HYPERLINK("https://klasma.github.io/Logging_2409/klagomålsmail/A 39461-2024 FSC-klagomål mail.docx", "A 39461-2024")</f>
        <v/>
      </c>
      <c r="X64">
        <f>HYPERLINK("https://klasma.github.io/Logging_2409/tillsyn/A 39461-2024 tillsynsbegäran.docx", "A 39461-2024")</f>
        <v/>
      </c>
      <c r="Y64">
        <f>HYPERLINK("https://klasma.github.io/Logging_2409/tillsynsmail/A 39461-2024 tillsynsbegäran mail.docx", "A 39461-2024")</f>
        <v/>
      </c>
    </row>
    <row r="65" ht="15" customHeight="1">
      <c r="A65" t="inlineStr">
        <is>
          <t>A 39462-2024</t>
        </is>
      </c>
      <c r="B65" s="1" t="n">
        <v>45551</v>
      </c>
      <c r="C65" s="1" t="n">
        <v>45740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6.1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39462-2024 artfynd.xlsx", "A 39462-2024")</f>
        <v/>
      </c>
      <c r="T65">
        <f>HYPERLINK("https://klasma.github.io/Logging_2409/kartor/A 39462-2024 karta.png", "A 39462-2024")</f>
        <v/>
      </c>
      <c r="V65">
        <f>HYPERLINK("https://klasma.github.io/Logging_2409/klagomål/A 39462-2024 FSC-klagomål.docx", "A 39462-2024")</f>
        <v/>
      </c>
      <c r="W65">
        <f>HYPERLINK("https://klasma.github.io/Logging_2409/klagomålsmail/A 39462-2024 FSC-klagomål mail.docx", "A 39462-2024")</f>
        <v/>
      </c>
      <c r="X65">
        <f>HYPERLINK("https://klasma.github.io/Logging_2409/tillsyn/A 39462-2024 tillsynsbegäran.docx", "A 39462-2024")</f>
        <v/>
      </c>
      <c r="Y65">
        <f>HYPERLINK("https://klasma.github.io/Logging_2409/tillsynsmail/A 39462-2024 tillsynsbegäran mail.docx", "A 39462-2024")</f>
        <v/>
      </c>
    </row>
    <row r="66" ht="15" customHeight="1">
      <c r="A66" t="inlineStr">
        <is>
          <t>A 41557-2024</t>
        </is>
      </c>
      <c r="B66" s="1" t="n">
        <v>45560</v>
      </c>
      <c r="C66" s="1" t="n">
        <v>45740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41557-2024 artfynd.xlsx", "A 41557-2024")</f>
        <v/>
      </c>
      <c r="T66">
        <f>HYPERLINK("https://klasma.github.io/Logging_2409/kartor/A 41557-2024 karta.png", "A 41557-2024")</f>
        <v/>
      </c>
      <c r="V66">
        <f>HYPERLINK("https://klasma.github.io/Logging_2409/klagomål/A 41557-2024 FSC-klagomål.docx", "A 41557-2024")</f>
        <v/>
      </c>
      <c r="W66">
        <f>HYPERLINK("https://klasma.github.io/Logging_2409/klagomålsmail/A 41557-2024 FSC-klagomål mail.docx", "A 41557-2024")</f>
        <v/>
      </c>
      <c r="X66">
        <f>HYPERLINK("https://klasma.github.io/Logging_2409/tillsyn/A 41557-2024 tillsynsbegäran.docx", "A 41557-2024")</f>
        <v/>
      </c>
      <c r="Y66">
        <f>HYPERLINK("https://klasma.github.io/Logging_2409/tillsynsmail/A 41557-2024 tillsynsbegäran mail.docx", "A 41557-2024")</f>
        <v/>
      </c>
    </row>
    <row r="67" ht="15" customHeight="1">
      <c r="A67" t="inlineStr">
        <is>
          <t>A 46305-2024</t>
        </is>
      </c>
      <c r="B67" s="1" t="n">
        <v>45581</v>
      </c>
      <c r="C67" s="1" t="n">
        <v>45740</v>
      </c>
      <c r="D67" t="inlineStr">
        <is>
          <t>VÄSTERBOTTENS LÄN</t>
        </is>
      </c>
      <c r="E67" t="inlineStr">
        <is>
          <t>ROBERTSFORS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HYPERLINK("https://klasma.github.io/Logging_2409/artfynd/A 46305-2024 artfynd.xlsx", "A 46305-2024")</f>
        <v/>
      </c>
      <c r="T67">
        <f>HYPERLINK("https://klasma.github.io/Logging_2409/kartor/A 46305-2024 karta.png", "A 46305-2024")</f>
        <v/>
      </c>
      <c r="V67">
        <f>HYPERLINK("https://klasma.github.io/Logging_2409/klagomål/A 46305-2024 FSC-klagomål.docx", "A 46305-2024")</f>
        <v/>
      </c>
      <c r="W67">
        <f>HYPERLINK("https://klasma.github.io/Logging_2409/klagomålsmail/A 46305-2024 FSC-klagomål mail.docx", "A 46305-2024")</f>
        <v/>
      </c>
      <c r="X67">
        <f>HYPERLINK("https://klasma.github.io/Logging_2409/tillsyn/A 46305-2024 tillsynsbegäran.docx", "A 46305-2024")</f>
        <v/>
      </c>
      <c r="Y67">
        <f>HYPERLINK("https://klasma.github.io/Logging_2409/tillsynsmail/A 46305-2024 tillsynsbegäran mail.docx", "A 46305-2024")</f>
        <v/>
      </c>
      <c r="Z67">
        <f>HYPERLINK("https://klasma.github.io/Logging_2409/fåglar/A 46305-2024 prioriterade fågelarter.docx", "A 46305-2024")</f>
        <v/>
      </c>
    </row>
    <row r="68" ht="15" customHeight="1">
      <c r="A68" t="inlineStr">
        <is>
          <t>A 54333-2024</t>
        </is>
      </c>
      <c r="B68" s="1" t="n">
        <v>45617</v>
      </c>
      <c r="C68" s="1" t="n">
        <v>45740</v>
      </c>
      <c r="D68" t="inlineStr">
        <is>
          <t>VÄSTERBOTTENS LÄN</t>
        </is>
      </c>
      <c r="E68" t="inlineStr">
        <is>
          <t>ROBERTSFORS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54333-2024 artfynd.xlsx", "A 54333-2024")</f>
        <v/>
      </c>
      <c r="T68">
        <f>HYPERLINK("https://klasma.github.io/Logging_2409/kartor/A 54333-2024 karta.png", "A 54333-2024")</f>
        <v/>
      </c>
      <c r="V68">
        <f>HYPERLINK("https://klasma.github.io/Logging_2409/klagomål/A 54333-2024 FSC-klagomål.docx", "A 54333-2024")</f>
        <v/>
      </c>
      <c r="W68">
        <f>HYPERLINK("https://klasma.github.io/Logging_2409/klagomålsmail/A 54333-2024 FSC-klagomål mail.docx", "A 54333-2024")</f>
        <v/>
      </c>
      <c r="X68">
        <f>HYPERLINK("https://klasma.github.io/Logging_2409/tillsyn/A 54333-2024 tillsynsbegäran.docx", "A 54333-2024")</f>
        <v/>
      </c>
      <c r="Y68">
        <f>HYPERLINK("https://klasma.github.io/Logging_2409/tillsynsmail/A 54333-2024 tillsynsbegäran mail.docx", "A 54333-2024")</f>
        <v/>
      </c>
    </row>
    <row r="69" ht="15" customHeight="1">
      <c r="A69" t="inlineStr">
        <is>
          <t>A 313-2025</t>
        </is>
      </c>
      <c r="B69" s="1" t="n">
        <v>45656</v>
      </c>
      <c r="C69" s="1" t="n">
        <v>45740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HYPERLINK("https://klasma.github.io/Logging_2409/artfynd/A 313-2025 artfynd.xlsx", "A 313-2025")</f>
        <v/>
      </c>
      <c r="T69">
        <f>HYPERLINK("https://klasma.github.io/Logging_2409/kartor/A 313-2025 karta.png", "A 313-2025")</f>
        <v/>
      </c>
      <c r="V69">
        <f>HYPERLINK("https://klasma.github.io/Logging_2409/klagomål/A 313-2025 FSC-klagomål.docx", "A 313-2025")</f>
        <v/>
      </c>
      <c r="W69">
        <f>HYPERLINK("https://klasma.github.io/Logging_2409/klagomålsmail/A 313-2025 FSC-klagomål mail.docx", "A 313-2025")</f>
        <v/>
      </c>
      <c r="X69">
        <f>HYPERLINK("https://klasma.github.io/Logging_2409/tillsyn/A 313-2025 tillsynsbegäran.docx", "A 313-2025")</f>
        <v/>
      </c>
      <c r="Y69">
        <f>HYPERLINK("https://klasma.github.io/Logging_2409/tillsynsmail/A 313-2025 tillsynsbegäran mail.docx", "A 313-2025")</f>
        <v/>
      </c>
      <c r="Z69">
        <f>HYPERLINK("https://klasma.github.io/Logging_2409/fåglar/A 313-2025 prioriterade fågelarter.docx", "A 313-2025")</f>
        <v/>
      </c>
    </row>
    <row r="70" ht="15" customHeight="1">
      <c r="A70" t="inlineStr">
        <is>
          <t>A 18079-2019</t>
        </is>
      </c>
      <c r="B70" s="1" t="n">
        <v>43558</v>
      </c>
      <c r="C70" s="1" t="n">
        <v>45740</v>
      </c>
      <c r="D70" t="inlineStr">
        <is>
          <t>VÄSTERBOTTENS LÄN</t>
        </is>
      </c>
      <c r="E70" t="inlineStr">
        <is>
          <t>ROBERTSFORS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18816-2019</t>
        </is>
      </c>
      <c r="B71" s="1" t="n">
        <v>43560</v>
      </c>
      <c r="C71" s="1" t="n">
        <v>45740</v>
      </c>
      <c r="D71" t="inlineStr">
        <is>
          <t>VÄSTERBOTTENS LÄN</t>
        </is>
      </c>
      <c r="E71" t="inlineStr">
        <is>
          <t>ROBERTSFORS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20871-2019</t>
        </is>
      </c>
      <c r="B72" s="1" t="n">
        <v>43578</v>
      </c>
      <c r="C72" s="1" t="n">
        <v>45740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21469-2019</t>
        </is>
      </c>
      <c r="B73" s="1" t="n">
        <v>43580</v>
      </c>
      <c r="C73" s="1" t="n">
        <v>45740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21841-2019</t>
        </is>
      </c>
      <c r="B74" s="1" t="n">
        <v>43581</v>
      </c>
      <c r="C74" s="1" t="n">
        <v>45740</v>
      </c>
      <c r="D74" t="inlineStr">
        <is>
          <t>VÄSTERBOTTENS LÄN</t>
        </is>
      </c>
      <c r="E74" t="inlineStr">
        <is>
          <t>ROBERTSFORS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21839-2019</t>
        </is>
      </c>
      <c r="B75" s="1" t="n">
        <v>43581</v>
      </c>
      <c r="C75" s="1" t="n">
        <v>45740</v>
      </c>
      <c r="D75" t="inlineStr">
        <is>
          <t>VÄSTERBOTTENS LÄN</t>
        </is>
      </c>
      <c r="E75" t="inlineStr">
        <is>
          <t>ROBERTSFORS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22493-2019</t>
        </is>
      </c>
      <c r="B76" s="1" t="n">
        <v>43587</v>
      </c>
      <c r="C76" s="1" t="n">
        <v>45740</v>
      </c>
      <c r="D76" t="inlineStr">
        <is>
          <t>VÄSTERBOTTENS LÄN</t>
        </is>
      </c>
      <c r="E76" t="inlineStr">
        <is>
          <t>ROBERTSFORS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23177-2019</t>
        </is>
      </c>
      <c r="B77" s="1" t="n">
        <v>43592</v>
      </c>
      <c r="C77" s="1" t="n">
        <v>45740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25902-2019</t>
        </is>
      </c>
      <c r="B78" s="1" t="n">
        <v>43608</v>
      </c>
      <c r="C78" s="1" t="n">
        <v>45740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26296-2019</t>
        </is>
      </c>
      <c r="B79" s="1" t="n">
        <v>43612</v>
      </c>
      <c r="C79" s="1" t="n">
        <v>45740</v>
      </c>
      <c r="D79" t="inlineStr">
        <is>
          <t>VÄSTERBOTTENS LÄN</t>
        </is>
      </c>
      <c r="E79" t="inlineStr">
        <is>
          <t>ROBERTSFORS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26297-2019</t>
        </is>
      </c>
      <c r="B80" s="1" t="n">
        <v>43612</v>
      </c>
      <c r="C80" s="1" t="n">
        <v>45740</v>
      </c>
      <c r="D80" t="inlineStr">
        <is>
          <t>VÄSTERBOTTENS LÄN</t>
        </is>
      </c>
      <c r="E80" t="inlineStr">
        <is>
          <t>ROBERTSFORS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28194-2019</t>
        </is>
      </c>
      <c r="B81" s="1" t="n">
        <v>43613</v>
      </c>
      <c r="C81" s="1" t="n">
        <v>45740</v>
      </c>
      <c r="D81" t="inlineStr">
        <is>
          <t>VÄSTERBOTTENS LÄN</t>
        </is>
      </c>
      <c r="E81" t="inlineStr">
        <is>
          <t>ROBERTSFORS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27091-2019</t>
        </is>
      </c>
      <c r="B82" s="1" t="n">
        <v>43614</v>
      </c>
      <c r="C82" s="1" t="n">
        <v>45740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Holmen skog AB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29236-2019</t>
        </is>
      </c>
      <c r="B83" s="1" t="n">
        <v>43629</v>
      </c>
      <c r="C83" s="1" t="n">
        <v>45740</v>
      </c>
      <c r="D83" t="inlineStr">
        <is>
          <t>VÄSTERBOTTENS LÄN</t>
        </is>
      </c>
      <c r="E83" t="inlineStr">
        <is>
          <t>ROBERTSFORS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30505-2019</t>
        </is>
      </c>
      <c r="B84" s="1" t="n">
        <v>43634</v>
      </c>
      <c r="C84" s="1" t="n">
        <v>45740</v>
      </c>
      <c r="D84" t="inlineStr">
        <is>
          <t>VÄSTERBOTTENS LÄN</t>
        </is>
      </c>
      <c r="E84" t="inlineStr">
        <is>
          <t>ROBERTSFORS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31933-2019</t>
        </is>
      </c>
      <c r="B85" s="1" t="n">
        <v>43642</v>
      </c>
      <c r="C85" s="1" t="n">
        <v>45740</v>
      </c>
      <c r="D85" t="inlineStr">
        <is>
          <t>VÄSTERBOTTENS LÄN</t>
        </is>
      </c>
      <c r="E85" t="inlineStr">
        <is>
          <t>ROBERTSFORS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33337-2019</t>
        </is>
      </c>
      <c r="B86" s="1" t="n">
        <v>43644</v>
      </c>
      <c r="C86" s="1" t="n">
        <v>45740</v>
      </c>
      <c r="D86" t="inlineStr">
        <is>
          <t>VÄSTERBOTTENS LÄN</t>
        </is>
      </c>
      <c r="E86" t="inlineStr">
        <is>
          <t>ROBERTSFORS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33356-2019</t>
        </is>
      </c>
      <c r="B87" s="1" t="n">
        <v>43644</v>
      </c>
      <c r="C87" s="1" t="n">
        <v>45740</v>
      </c>
      <c r="D87" t="inlineStr">
        <is>
          <t>VÄSTERBOTTENS LÄN</t>
        </is>
      </c>
      <c r="E87" t="inlineStr">
        <is>
          <t>ROBERTSFORS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34568-2019</t>
        </is>
      </c>
      <c r="B88" s="1" t="n">
        <v>43647</v>
      </c>
      <c r="C88" s="1" t="n">
        <v>45740</v>
      </c>
      <c r="D88" t="inlineStr">
        <is>
          <t>VÄSTERBOTTENS LÄN</t>
        </is>
      </c>
      <c r="E88" t="inlineStr">
        <is>
          <t>ROBERTSFORS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33466-2019</t>
        </is>
      </c>
      <c r="B89" s="1" t="n">
        <v>43650</v>
      </c>
      <c r="C89" s="1" t="n">
        <v>45740</v>
      </c>
      <c r="D89" t="inlineStr">
        <is>
          <t>VÄSTERBOTTENS LÄN</t>
        </is>
      </c>
      <c r="E89" t="inlineStr">
        <is>
          <t>ROBERTSFORS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35308-2019</t>
        </is>
      </c>
      <c r="B90" s="1" t="n">
        <v>43651</v>
      </c>
      <c r="C90" s="1" t="n">
        <v>45740</v>
      </c>
      <c r="D90" t="inlineStr">
        <is>
          <t>VÄSTERBOTTENS LÄN</t>
        </is>
      </c>
      <c r="E90" t="inlineStr">
        <is>
          <t>ROBERTSFORS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36402-2019</t>
        </is>
      </c>
      <c r="B91" s="1" t="n">
        <v>43663</v>
      </c>
      <c r="C91" s="1" t="n">
        <v>45740</v>
      </c>
      <c r="D91" t="inlineStr">
        <is>
          <t>VÄSTERBOTTENS LÄN</t>
        </is>
      </c>
      <c r="E91" t="inlineStr">
        <is>
          <t>ROBERTSFORS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37198-2019</t>
        </is>
      </c>
      <c r="B92" s="1" t="n">
        <v>43677</v>
      </c>
      <c r="C92" s="1" t="n">
        <v>45740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38414-2019</t>
        </is>
      </c>
      <c r="B93" s="1" t="n">
        <v>43683</v>
      </c>
      <c r="C93" s="1" t="n">
        <v>45740</v>
      </c>
      <c r="D93" t="inlineStr">
        <is>
          <t>VÄSTERBOTTENS LÄN</t>
        </is>
      </c>
      <c r="E93" t="inlineStr">
        <is>
          <t>ROBERTSFORS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39619-2019</t>
        </is>
      </c>
      <c r="B94" s="1" t="n">
        <v>43686</v>
      </c>
      <c r="C94" s="1" t="n">
        <v>45740</v>
      </c>
      <c r="D94" t="inlineStr">
        <is>
          <t>VÄSTERBOTTENS LÄN</t>
        </is>
      </c>
      <c r="E94" t="inlineStr">
        <is>
          <t>ROBERTSFORS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39060-2019</t>
        </is>
      </c>
      <c r="B95" s="1" t="n">
        <v>43689</v>
      </c>
      <c r="C95" s="1" t="n">
        <v>45740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40002-2019</t>
        </is>
      </c>
      <c r="B96" s="1" t="n">
        <v>43689</v>
      </c>
      <c r="C96" s="1" t="n">
        <v>45740</v>
      </c>
      <c r="D96" t="inlineStr">
        <is>
          <t>VÄSTERBOTTENS LÄN</t>
        </is>
      </c>
      <c r="E96" t="inlineStr">
        <is>
          <t>ROBERTSFORS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40003-2019</t>
        </is>
      </c>
      <c r="B97" s="1" t="n">
        <v>43689</v>
      </c>
      <c r="C97" s="1" t="n">
        <v>45740</v>
      </c>
      <c r="D97" t="inlineStr">
        <is>
          <t>VÄSTERBOTTENS LÄN</t>
        </is>
      </c>
      <c r="E97" t="inlineStr">
        <is>
          <t>ROBERTSFORS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39324-2019</t>
        </is>
      </c>
      <c r="B98" s="1" t="n">
        <v>43690</v>
      </c>
      <c r="C98" s="1" t="n">
        <v>45740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39927-2019</t>
        </is>
      </c>
      <c r="B99" s="1" t="n">
        <v>43691</v>
      </c>
      <c r="C99" s="1" t="n">
        <v>45740</v>
      </c>
      <c r="D99" t="inlineStr">
        <is>
          <t>VÄSTERBOTTENS LÄN</t>
        </is>
      </c>
      <c r="E99" t="inlineStr">
        <is>
          <t>ROBERTSFORS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40833-2019</t>
        </is>
      </c>
      <c r="B100" s="1" t="n">
        <v>43692</v>
      </c>
      <c r="C100" s="1" t="n">
        <v>45740</v>
      </c>
      <c r="D100" t="inlineStr">
        <is>
          <t>VÄSTERBOTTENS LÄN</t>
        </is>
      </c>
      <c r="E100" t="inlineStr">
        <is>
          <t>ROBERTSFORS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41121-2019</t>
        </is>
      </c>
      <c r="B101" s="1" t="n">
        <v>43693</v>
      </c>
      <c r="C101" s="1" t="n">
        <v>45740</v>
      </c>
      <c r="D101" t="inlineStr">
        <is>
          <t>VÄSTERBOTTENS LÄN</t>
        </is>
      </c>
      <c r="E101" t="inlineStr">
        <is>
          <t>ROBERTSFORS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40470-2019</t>
        </is>
      </c>
      <c r="B102" s="1" t="n">
        <v>43696</v>
      </c>
      <c r="C102" s="1" t="n">
        <v>45740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40329-2019</t>
        </is>
      </c>
      <c r="B103" s="1" t="n">
        <v>43696</v>
      </c>
      <c r="C103" s="1" t="n">
        <v>45740</v>
      </c>
      <c r="D103" t="inlineStr">
        <is>
          <t>VÄSTERBOTTENS LÄN</t>
        </is>
      </c>
      <c r="E103" t="inlineStr">
        <is>
          <t>ROBERTSFORS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41298-2019</t>
        </is>
      </c>
      <c r="B104" s="1" t="n">
        <v>43696</v>
      </c>
      <c r="C104" s="1" t="n">
        <v>45740</v>
      </c>
      <c r="D104" t="inlineStr">
        <is>
          <t>VÄSTERBOTTENS LÄN</t>
        </is>
      </c>
      <c r="E104" t="inlineStr">
        <is>
          <t>ROBERTSFORS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40874-2019</t>
        </is>
      </c>
      <c r="B105" s="1" t="n">
        <v>43697</v>
      </c>
      <c r="C105" s="1" t="n">
        <v>45740</v>
      </c>
      <c r="D105" t="inlineStr">
        <is>
          <t>VÄSTERBOTTENS LÄN</t>
        </is>
      </c>
      <c r="E105" t="inlineStr">
        <is>
          <t>ROBERTSFORS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42063-2019</t>
        </is>
      </c>
      <c r="B106" s="1" t="n">
        <v>43700</v>
      </c>
      <c r="C106" s="1" t="n">
        <v>45740</v>
      </c>
      <c r="D106" t="inlineStr">
        <is>
          <t>VÄSTERBOTTENS LÄN</t>
        </is>
      </c>
      <c r="E106" t="inlineStr">
        <is>
          <t>ROBERTSFORS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42857-2019</t>
        </is>
      </c>
      <c r="B107" s="1" t="n">
        <v>43705</v>
      </c>
      <c r="C107" s="1" t="n">
        <v>45740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46038-2019</t>
        </is>
      </c>
      <c r="B108" s="1" t="n">
        <v>43713</v>
      </c>
      <c r="C108" s="1" t="n">
        <v>45740</v>
      </c>
      <c r="D108" t="inlineStr">
        <is>
          <t>VÄSTERBOTTENS LÄN</t>
        </is>
      </c>
      <c r="E108" t="inlineStr">
        <is>
          <t>ROBERTSFORS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48183-2019</t>
        </is>
      </c>
      <c r="B109" s="1" t="n">
        <v>43725</v>
      </c>
      <c r="C109" s="1" t="n">
        <v>45740</v>
      </c>
      <c r="D109" t="inlineStr">
        <is>
          <t>VÄSTERBOTTENS LÄN</t>
        </is>
      </c>
      <c r="E109" t="inlineStr">
        <is>
          <t>ROBERTSFORS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49684-2019</t>
        </is>
      </c>
      <c r="B110" s="1" t="n">
        <v>43732</v>
      </c>
      <c r="C110" s="1" t="n">
        <v>45740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SCA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49782-2019</t>
        </is>
      </c>
      <c r="B111" s="1" t="n">
        <v>43733</v>
      </c>
      <c r="C111" s="1" t="n">
        <v>45740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53202-2019</t>
        </is>
      </c>
      <c r="B112" s="1" t="n">
        <v>43735</v>
      </c>
      <c r="C112" s="1" t="n">
        <v>45740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50867-2019</t>
        </is>
      </c>
      <c r="B113" s="1" t="n">
        <v>43738</v>
      </c>
      <c r="C113" s="1" t="n">
        <v>45740</v>
      </c>
      <c r="D113" t="inlineStr">
        <is>
          <t>VÄSTERBOTTENS LÄN</t>
        </is>
      </c>
      <c r="E113" t="inlineStr">
        <is>
          <t>ROBERTSFORS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51717-2019</t>
        </is>
      </c>
      <c r="B114" s="1" t="n">
        <v>43741</v>
      </c>
      <c r="C114" s="1" t="n">
        <v>45740</v>
      </c>
      <c r="D114" t="inlineStr">
        <is>
          <t>VÄSTERBOTTENS LÄN</t>
        </is>
      </c>
      <c r="E114" t="inlineStr">
        <is>
          <t>ROBERTSFORS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53860-2019</t>
        </is>
      </c>
      <c r="B115" s="1" t="n">
        <v>43741</v>
      </c>
      <c r="C115" s="1" t="n">
        <v>45740</v>
      </c>
      <c r="D115" t="inlineStr">
        <is>
          <t>VÄSTERBOTTENS LÄN</t>
        </is>
      </c>
      <c r="E115" t="inlineStr">
        <is>
          <t>ROBERTSFORS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52472-2019</t>
        </is>
      </c>
      <c r="B116" s="1" t="n">
        <v>43745</v>
      </c>
      <c r="C116" s="1" t="n">
        <v>45740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Sveaskog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52683-2019</t>
        </is>
      </c>
      <c r="B117" s="1" t="n">
        <v>43746</v>
      </c>
      <c r="C117" s="1" t="n">
        <v>45740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54894-2019</t>
        </is>
      </c>
      <c r="B118" s="1" t="n">
        <v>43749</v>
      </c>
      <c r="C118" s="1" t="n">
        <v>45740</v>
      </c>
      <c r="D118" t="inlineStr">
        <is>
          <t>VÄSTERBOTTENS LÄN</t>
        </is>
      </c>
      <c r="E118" t="inlineStr">
        <is>
          <t>ROBERTSFORS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54901-2019</t>
        </is>
      </c>
      <c r="B119" s="1" t="n">
        <v>43755</v>
      </c>
      <c r="C119" s="1" t="n">
        <v>45740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55946-2019</t>
        </is>
      </c>
      <c r="B120" s="1" t="n">
        <v>43755</v>
      </c>
      <c r="C120" s="1" t="n">
        <v>45740</v>
      </c>
      <c r="D120" t="inlineStr">
        <is>
          <t>VÄSTERBOTTENS LÄN</t>
        </is>
      </c>
      <c r="E120" t="inlineStr">
        <is>
          <t>ROBERTSFORS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56258-2019</t>
        </is>
      </c>
      <c r="B121" s="1" t="n">
        <v>43756</v>
      </c>
      <c r="C121" s="1" t="n">
        <v>45740</v>
      </c>
      <c r="D121" t="inlineStr">
        <is>
          <t>VÄSTERBOTTENS LÄN</t>
        </is>
      </c>
      <c r="E121" t="inlineStr">
        <is>
          <t>ROBERTSFORS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55480-2019</t>
        </is>
      </c>
      <c r="B122" s="1" t="n">
        <v>43759</v>
      </c>
      <c r="C122" s="1" t="n">
        <v>45740</v>
      </c>
      <c r="D122" t="inlineStr">
        <is>
          <t>VÄSTERBOTTENS LÄN</t>
        </is>
      </c>
      <c r="E122" t="inlineStr">
        <is>
          <t>ROBERTSFORS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55475-2019</t>
        </is>
      </c>
      <c r="B123" s="1" t="n">
        <v>43759</v>
      </c>
      <c r="C123" s="1" t="n">
        <v>45740</v>
      </c>
      <c r="D123" t="inlineStr">
        <is>
          <t>VÄSTERBOTTENS LÄN</t>
        </is>
      </c>
      <c r="E123" t="inlineStr">
        <is>
          <t>ROBERTSFORS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56648-2019</t>
        </is>
      </c>
      <c r="B124" s="1" t="n">
        <v>43763</v>
      </c>
      <c r="C124" s="1" t="n">
        <v>45740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57374-2019</t>
        </is>
      </c>
      <c r="B125" s="1" t="n">
        <v>43767</v>
      </c>
      <c r="C125" s="1" t="n">
        <v>45740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57206-2019</t>
        </is>
      </c>
      <c r="B126" s="1" t="n">
        <v>43767</v>
      </c>
      <c r="C126" s="1" t="n">
        <v>45740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57312-2019</t>
        </is>
      </c>
      <c r="B127" s="1" t="n">
        <v>43767</v>
      </c>
      <c r="C127" s="1" t="n">
        <v>45740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58063-2019</t>
        </is>
      </c>
      <c r="B128" s="1" t="n">
        <v>43769</v>
      </c>
      <c r="C128" s="1" t="n">
        <v>45740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60179-2019</t>
        </is>
      </c>
      <c r="B129" s="1" t="n">
        <v>43780</v>
      </c>
      <c r="C129" s="1" t="n">
        <v>45740</v>
      </c>
      <c r="D129" t="inlineStr">
        <is>
          <t>VÄSTERBOTTENS LÄN</t>
        </is>
      </c>
      <c r="E129" t="inlineStr">
        <is>
          <t>ROBERTSFORS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60326-2019</t>
        </is>
      </c>
      <c r="B130" s="1" t="n">
        <v>43780</v>
      </c>
      <c r="C130" s="1" t="n">
        <v>45740</v>
      </c>
      <c r="D130" t="inlineStr">
        <is>
          <t>VÄSTERBOTTENS LÄN</t>
        </is>
      </c>
      <c r="E130" t="inlineStr">
        <is>
          <t>ROBERTSFORS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60878-2019</t>
        </is>
      </c>
      <c r="B131" s="1" t="n">
        <v>43781</v>
      </c>
      <c r="C131" s="1" t="n">
        <v>45740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SCA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61013-2019</t>
        </is>
      </c>
      <c r="B132" s="1" t="n">
        <v>43782</v>
      </c>
      <c r="C132" s="1" t="n">
        <v>45740</v>
      </c>
      <c r="D132" t="inlineStr">
        <is>
          <t>VÄSTERBOTTENS LÄN</t>
        </is>
      </c>
      <c r="E132" t="inlineStr">
        <is>
          <t>ROBERTSFORS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61048-2019</t>
        </is>
      </c>
      <c r="B133" s="1" t="n">
        <v>43782</v>
      </c>
      <c r="C133" s="1" t="n">
        <v>45740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61615-2019</t>
        </is>
      </c>
      <c r="B134" s="1" t="n">
        <v>43784</v>
      </c>
      <c r="C134" s="1" t="n">
        <v>45740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62900-2019</t>
        </is>
      </c>
      <c r="B135" s="1" t="n">
        <v>43784</v>
      </c>
      <c r="C135" s="1" t="n">
        <v>45740</v>
      </c>
      <c r="D135" t="inlineStr">
        <is>
          <t>VÄSTERBOTTENS LÄN</t>
        </is>
      </c>
      <c r="E135" t="inlineStr">
        <is>
          <t>ROBERTSFORS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62358-2019</t>
        </is>
      </c>
      <c r="B136" s="1" t="n">
        <v>43788</v>
      </c>
      <c r="C136" s="1" t="n">
        <v>45740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62883-2019</t>
        </is>
      </c>
      <c r="B137" s="1" t="n">
        <v>43790</v>
      </c>
      <c r="C137" s="1" t="n">
        <v>45740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64348-2019</t>
        </is>
      </c>
      <c r="B138" s="1" t="n">
        <v>43793</v>
      </c>
      <c r="C138" s="1" t="n">
        <v>45740</v>
      </c>
      <c r="D138" t="inlineStr">
        <is>
          <t>VÄSTERBOTTENS LÄN</t>
        </is>
      </c>
      <c r="E138" t="inlineStr">
        <is>
          <t>ROBERTSFORS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64847-2019</t>
        </is>
      </c>
      <c r="B139" s="1" t="n">
        <v>43795</v>
      </c>
      <c r="C139" s="1" t="n">
        <v>45740</v>
      </c>
      <c r="D139" t="inlineStr">
        <is>
          <t>VÄSTERBOTTENS LÄN</t>
        </is>
      </c>
      <c r="E139" t="inlineStr">
        <is>
          <t>ROBERTSFORS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64967-2019</t>
        </is>
      </c>
      <c r="B140" s="1" t="n">
        <v>43795</v>
      </c>
      <c r="C140" s="1" t="n">
        <v>45740</v>
      </c>
      <c r="D140" t="inlineStr">
        <is>
          <t>VÄSTERBOTTENS LÄN</t>
        </is>
      </c>
      <c r="E140" t="inlineStr">
        <is>
          <t>ROBERTSFORS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64928-2019</t>
        </is>
      </c>
      <c r="B141" s="1" t="n">
        <v>43795</v>
      </c>
      <c r="C141" s="1" t="n">
        <v>45740</v>
      </c>
      <c r="D141" t="inlineStr">
        <is>
          <t>VÄSTERBOTTENS LÄN</t>
        </is>
      </c>
      <c r="E141" t="inlineStr">
        <is>
          <t>ROBERTSFORS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63924-2019</t>
        </is>
      </c>
      <c r="B142" s="1" t="n">
        <v>43796</v>
      </c>
      <c r="C142" s="1" t="n">
        <v>45740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65386-2019</t>
        </is>
      </c>
      <c r="B143" s="1" t="n">
        <v>43797</v>
      </c>
      <c r="C143" s="1" t="n">
        <v>45740</v>
      </c>
      <c r="D143" t="inlineStr">
        <is>
          <t>VÄSTERBOTTENS LÄN</t>
        </is>
      </c>
      <c r="E143" t="inlineStr">
        <is>
          <t>ROBERTSFORS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64920-2019</t>
        </is>
      </c>
      <c r="B144" s="1" t="n">
        <v>43801</v>
      </c>
      <c r="C144" s="1" t="n">
        <v>45740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67232-2019</t>
        </is>
      </c>
      <c r="B145" s="1" t="n">
        <v>43812</v>
      </c>
      <c r="C145" s="1" t="n">
        <v>45740</v>
      </c>
      <c r="D145" t="inlineStr">
        <is>
          <t>VÄSTERBOTTENS LÄN</t>
        </is>
      </c>
      <c r="E145" t="inlineStr">
        <is>
          <t>ROBERTSFORS</t>
        </is>
      </c>
      <c r="G145" t="n">
        <v>16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67902-2019</t>
        </is>
      </c>
      <c r="B146" s="1" t="n">
        <v>43816</v>
      </c>
      <c r="C146" s="1" t="n">
        <v>45740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1489-2020</t>
        </is>
      </c>
      <c r="B147" s="1" t="n">
        <v>43843</v>
      </c>
      <c r="C147" s="1" t="n">
        <v>45740</v>
      </c>
      <c r="D147" t="inlineStr">
        <is>
          <t>VÄSTERBOTTENS LÄN</t>
        </is>
      </c>
      <c r="E147" t="inlineStr">
        <is>
          <t>ROBERTSFORS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3520-2020</t>
        </is>
      </c>
      <c r="B148" s="1" t="n">
        <v>43845</v>
      </c>
      <c r="C148" s="1" t="n">
        <v>45740</v>
      </c>
      <c r="D148" t="inlineStr">
        <is>
          <t>VÄSTERBOTTENS LÄN</t>
        </is>
      </c>
      <c r="E148" t="inlineStr">
        <is>
          <t>ROBERTSFORS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3514-2020</t>
        </is>
      </c>
      <c r="B149" s="1" t="n">
        <v>43845</v>
      </c>
      <c r="C149" s="1" t="n">
        <v>45740</v>
      </c>
      <c r="D149" t="inlineStr">
        <is>
          <t>VÄSTERBOTTENS LÄN</t>
        </is>
      </c>
      <c r="E149" t="inlineStr">
        <is>
          <t>ROBERTSFORS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2574-2020</t>
        </is>
      </c>
      <c r="B150" s="1" t="n">
        <v>43847</v>
      </c>
      <c r="C150" s="1" t="n">
        <v>45740</v>
      </c>
      <c r="D150" t="inlineStr">
        <is>
          <t>VÄSTERBOTTENS LÄN</t>
        </is>
      </c>
      <c r="E150" t="inlineStr">
        <is>
          <t>ROBERTSFORS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3178-2020</t>
        </is>
      </c>
      <c r="B151" s="1" t="n">
        <v>43851</v>
      </c>
      <c r="C151" s="1" t="n">
        <v>45740</v>
      </c>
      <c r="D151" t="inlineStr">
        <is>
          <t>VÄSTERBOTTENS LÄN</t>
        </is>
      </c>
      <c r="E151" t="inlineStr">
        <is>
          <t>ROBERTSFORS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4366-2020</t>
        </is>
      </c>
      <c r="B152" s="1" t="n">
        <v>43857</v>
      </c>
      <c r="C152" s="1" t="n">
        <v>45740</v>
      </c>
      <c r="D152" t="inlineStr">
        <is>
          <t>VÄSTERBOTTENS LÄN</t>
        </is>
      </c>
      <c r="E152" t="inlineStr">
        <is>
          <t>ROBERTSFORS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5535-2020</t>
        </is>
      </c>
      <c r="B153" s="1" t="n">
        <v>43859</v>
      </c>
      <c r="C153" s="1" t="n">
        <v>45740</v>
      </c>
      <c r="D153" t="inlineStr">
        <is>
          <t>VÄSTERBOTTENS LÄN</t>
        </is>
      </c>
      <c r="E153" t="inlineStr">
        <is>
          <t>ROBERTSFORS</t>
        </is>
      </c>
      <c r="G153" t="n">
        <v>17.8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5508-2020</t>
        </is>
      </c>
      <c r="B154" s="1" t="n">
        <v>43861</v>
      </c>
      <c r="C154" s="1" t="n">
        <v>45740</v>
      </c>
      <c r="D154" t="inlineStr">
        <is>
          <t>VÄSTERBOTTENS LÄN</t>
        </is>
      </c>
      <c r="E154" t="inlineStr">
        <is>
          <t>ROBERTSFORS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6027-2020</t>
        </is>
      </c>
      <c r="B155" s="1" t="n">
        <v>43864</v>
      </c>
      <c r="C155" s="1" t="n">
        <v>45740</v>
      </c>
      <c r="D155" t="inlineStr">
        <is>
          <t>VÄSTERBOTTENS LÄN</t>
        </is>
      </c>
      <c r="E155" t="inlineStr">
        <is>
          <t>ROBERTSFORS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6275-2020</t>
        </is>
      </c>
      <c r="B156" s="1" t="n">
        <v>43866</v>
      </c>
      <c r="C156" s="1" t="n">
        <v>45740</v>
      </c>
      <c r="D156" t="inlineStr">
        <is>
          <t>VÄSTERBOTTENS LÄN</t>
        </is>
      </c>
      <c r="E156" t="inlineStr">
        <is>
          <t>ROBERTSFORS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8871-2020</t>
        </is>
      </c>
      <c r="B157" s="1" t="n">
        <v>43878</v>
      </c>
      <c r="C157" s="1" t="n">
        <v>45740</v>
      </c>
      <c r="D157" t="inlineStr">
        <is>
          <t>VÄSTERBOTTENS LÄN</t>
        </is>
      </c>
      <c r="E157" t="inlineStr">
        <is>
          <t>ROBERTSFORS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10056-2020</t>
        </is>
      </c>
      <c r="B158" s="1" t="n">
        <v>43882</v>
      </c>
      <c r="C158" s="1" t="n">
        <v>45740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12532-2020</t>
        </is>
      </c>
      <c r="B159" s="1" t="n">
        <v>43896</v>
      </c>
      <c r="C159" s="1" t="n">
        <v>45740</v>
      </c>
      <c r="D159" t="inlineStr">
        <is>
          <t>VÄSTERBOTTENS LÄN</t>
        </is>
      </c>
      <c r="E159" t="inlineStr">
        <is>
          <t>ROBERTSFORS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13101-2020</t>
        </is>
      </c>
      <c r="B160" s="1" t="n">
        <v>43901</v>
      </c>
      <c r="C160" s="1" t="n">
        <v>45740</v>
      </c>
      <c r="D160" t="inlineStr">
        <is>
          <t>VÄSTERBOTTENS LÄN</t>
        </is>
      </c>
      <c r="E160" t="inlineStr">
        <is>
          <t>ROBERTSFORS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17361-2020</t>
        </is>
      </c>
      <c r="B161" s="1" t="n">
        <v>43916</v>
      </c>
      <c r="C161" s="1" t="n">
        <v>45740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17395-2020</t>
        </is>
      </c>
      <c r="B162" s="1" t="n">
        <v>43917</v>
      </c>
      <c r="C162" s="1" t="n">
        <v>45740</v>
      </c>
      <c r="D162" t="inlineStr">
        <is>
          <t>VÄSTERBOTTENS LÄN</t>
        </is>
      </c>
      <c r="E162" t="inlineStr">
        <is>
          <t>ROBERTSFORS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20852-2020</t>
        </is>
      </c>
      <c r="B163" s="1" t="n">
        <v>43950</v>
      </c>
      <c r="C163" s="1" t="n">
        <v>45740</v>
      </c>
      <c r="D163" t="inlineStr">
        <is>
          <t>VÄSTERBOTTENS LÄN</t>
        </is>
      </c>
      <c r="E163" t="inlineStr">
        <is>
          <t>ROBERTSFORS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21248-2020</t>
        </is>
      </c>
      <c r="B164" s="1" t="n">
        <v>43951</v>
      </c>
      <c r="C164" s="1" t="n">
        <v>45740</v>
      </c>
      <c r="D164" t="inlineStr">
        <is>
          <t>VÄSTERBOTTENS LÄN</t>
        </is>
      </c>
      <c r="E164" t="inlineStr">
        <is>
          <t>ROBERTSFORS</t>
        </is>
      </c>
      <c r="G164" t="n">
        <v>12.7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21524-2020</t>
        </is>
      </c>
      <c r="B165" s="1" t="n">
        <v>43951</v>
      </c>
      <c r="C165" s="1" t="n">
        <v>45740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21538-2020</t>
        </is>
      </c>
      <c r="B166" s="1" t="n">
        <v>43951</v>
      </c>
      <c r="C166" s="1" t="n">
        <v>45740</v>
      </c>
      <c r="D166" t="inlineStr">
        <is>
          <t>VÄSTERBOTTENS LÄN</t>
        </is>
      </c>
      <c r="E166" t="inlineStr">
        <is>
          <t>ROBERTSFORS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21405-2020</t>
        </is>
      </c>
      <c r="B167" s="1" t="n">
        <v>43955</v>
      </c>
      <c r="C167" s="1" t="n">
        <v>45740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21245-2020</t>
        </is>
      </c>
      <c r="B168" s="1" t="n">
        <v>43955</v>
      </c>
      <c r="C168" s="1" t="n">
        <v>45740</v>
      </c>
      <c r="D168" t="inlineStr">
        <is>
          <t>VÄSTERBOTTENS LÄN</t>
        </is>
      </c>
      <c r="E168" t="inlineStr">
        <is>
          <t>ROBERTSFORS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22159-2020</t>
        </is>
      </c>
      <c r="B169" s="1" t="n">
        <v>43962</v>
      </c>
      <c r="C169" s="1" t="n">
        <v>45740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23080-2020</t>
        </is>
      </c>
      <c r="B170" s="1" t="n">
        <v>43965</v>
      </c>
      <c r="C170" s="1" t="n">
        <v>45740</v>
      </c>
      <c r="D170" t="inlineStr">
        <is>
          <t>VÄSTERBOTTENS LÄN</t>
        </is>
      </c>
      <c r="E170" t="inlineStr">
        <is>
          <t>ROBERTSFORS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23250-2020</t>
        </is>
      </c>
      <c r="B171" s="1" t="n">
        <v>43966</v>
      </c>
      <c r="C171" s="1" t="n">
        <v>45740</v>
      </c>
      <c r="D171" t="inlineStr">
        <is>
          <t>VÄSTERBOTTENS LÄN</t>
        </is>
      </c>
      <c r="E171" t="inlineStr">
        <is>
          <t>ROBERTSFORS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24469-2020</t>
        </is>
      </c>
      <c r="B172" s="1" t="n">
        <v>43976</v>
      </c>
      <c r="C172" s="1" t="n">
        <v>45740</v>
      </c>
      <c r="D172" t="inlineStr">
        <is>
          <t>VÄSTERBOTTENS LÄN</t>
        </is>
      </c>
      <c r="E172" t="inlineStr">
        <is>
          <t>ROBERTSFORS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24683-2020</t>
        </is>
      </c>
      <c r="B173" s="1" t="n">
        <v>43978</v>
      </c>
      <c r="C173" s="1" t="n">
        <v>45740</v>
      </c>
      <c r="D173" t="inlineStr">
        <is>
          <t>VÄSTERBOTTENS LÄN</t>
        </is>
      </c>
      <c r="E173" t="inlineStr">
        <is>
          <t>ROBERTSFORS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24680-2020</t>
        </is>
      </c>
      <c r="B174" s="1" t="n">
        <v>43978</v>
      </c>
      <c r="C174" s="1" t="n">
        <v>45740</v>
      </c>
      <c r="D174" t="inlineStr">
        <is>
          <t>VÄSTERBOTTENS LÄN</t>
        </is>
      </c>
      <c r="E174" t="inlineStr">
        <is>
          <t>ROBERTSFORS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24820-2020</t>
        </is>
      </c>
      <c r="B175" s="1" t="n">
        <v>43978</v>
      </c>
      <c r="C175" s="1" t="n">
        <v>45740</v>
      </c>
      <c r="D175" t="inlineStr">
        <is>
          <t>VÄSTERBOTTENS LÄN</t>
        </is>
      </c>
      <c r="E175" t="inlineStr">
        <is>
          <t>ROBERTSFORS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24923-2020</t>
        </is>
      </c>
      <c r="B176" s="1" t="n">
        <v>43979</v>
      </c>
      <c r="C176" s="1" t="n">
        <v>45740</v>
      </c>
      <c r="D176" t="inlineStr">
        <is>
          <t>VÄSTERBOTTENS LÄN</t>
        </is>
      </c>
      <c r="E176" t="inlineStr">
        <is>
          <t>ROBERTSFORS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25147-2020</t>
        </is>
      </c>
      <c r="B177" s="1" t="n">
        <v>43980</v>
      </c>
      <c r="C177" s="1" t="n">
        <v>45740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25839-2020</t>
        </is>
      </c>
      <c r="B178" s="1" t="n">
        <v>43983</v>
      </c>
      <c r="C178" s="1" t="n">
        <v>45740</v>
      </c>
      <c r="D178" t="inlineStr">
        <is>
          <t>VÄSTERBOTTENS LÄN</t>
        </is>
      </c>
      <c r="E178" t="inlineStr">
        <is>
          <t>ROBERTSFORS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25972-2020</t>
        </is>
      </c>
      <c r="B179" s="1" t="n">
        <v>43984</v>
      </c>
      <c r="C179" s="1" t="n">
        <v>45740</v>
      </c>
      <c r="D179" t="inlineStr">
        <is>
          <t>VÄSTERBOTTENS LÄN</t>
        </is>
      </c>
      <c r="E179" t="inlineStr">
        <is>
          <t>ROBERTSFORS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26014-2020</t>
        </is>
      </c>
      <c r="B180" s="1" t="n">
        <v>43985</v>
      </c>
      <c r="C180" s="1" t="n">
        <v>45740</v>
      </c>
      <c r="D180" t="inlineStr">
        <is>
          <t>VÄSTERBOTTENS LÄN</t>
        </is>
      </c>
      <c r="E180" t="inlineStr">
        <is>
          <t>ROBERTSFORS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27253-2020</t>
        </is>
      </c>
      <c r="B181" s="1" t="n">
        <v>43992</v>
      </c>
      <c r="C181" s="1" t="n">
        <v>45740</v>
      </c>
      <c r="D181" t="inlineStr">
        <is>
          <t>VÄSTERBOTTENS LÄN</t>
        </is>
      </c>
      <c r="E181" t="inlineStr">
        <is>
          <t>ROBERTSFORS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29893-2020</t>
        </is>
      </c>
      <c r="B182" s="1" t="n">
        <v>44006</v>
      </c>
      <c r="C182" s="1" t="n">
        <v>45740</v>
      </c>
      <c r="D182" t="inlineStr">
        <is>
          <t>VÄSTERBOTTENS LÄN</t>
        </is>
      </c>
      <c r="E182" t="inlineStr">
        <is>
          <t>ROBERTSFORS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30979-2020</t>
        </is>
      </c>
      <c r="B183" s="1" t="n">
        <v>44011</v>
      </c>
      <c r="C183" s="1" t="n">
        <v>45740</v>
      </c>
      <c r="D183" t="inlineStr">
        <is>
          <t>VÄSTERBOTTENS LÄN</t>
        </is>
      </c>
      <c r="E183" t="inlineStr">
        <is>
          <t>ROBERTSFORS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31562-2020</t>
        </is>
      </c>
      <c r="B184" s="1" t="n">
        <v>44013</v>
      </c>
      <c r="C184" s="1" t="n">
        <v>45740</v>
      </c>
      <c r="D184" t="inlineStr">
        <is>
          <t>VÄSTERBOTTENS LÄN</t>
        </is>
      </c>
      <c r="E184" t="inlineStr">
        <is>
          <t>ROBERTSFORS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31572-2020</t>
        </is>
      </c>
      <c r="B185" s="1" t="n">
        <v>44013</v>
      </c>
      <c r="C185" s="1" t="n">
        <v>45740</v>
      </c>
      <c r="D185" t="inlineStr">
        <is>
          <t>VÄSTERBOTTENS LÄN</t>
        </is>
      </c>
      <c r="E185" t="inlineStr">
        <is>
          <t>ROBERTSFORS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31568-2020</t>
        </is>
      </c>
      <c r="B186" s="1" t="n">
        <v>44013</v>
      </c>
      <c r="C186" s="1" t="n">
        <v>45740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31570-2020</t>
        </is>
      </c>
      <c r="B187" s="1" t="n">
        <v>44013</v>
      </c>
      <c r="C187" s="1" t="n">
        <v>45740</v>
      </c>
      <c r="D187" t="inlineStr">
        <is>
          <t>VÄSTERBOTTENS LÄN</t>
        </is>
      </c>
      <c r="E187" t="inlineStr">
        <is>
          <t>ROBERTSFORS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31582-2020</t>
        </is>
      </c>
      <c r="B188" s="1" t="n">
        <v>44013</v>
      </c>
      <c r="C188" s="1" t="n">
        <v>45740</v>
      </c>
      <c r="D188" t="inlineStr">
        <is>
          <t>VÄSTERBOTTENS LÄN</t>
        </is>
      </c>
      <c r="E188" t="inlineStr">
        <is>
          <t>ROBERTSFORS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31754-2020</t>
        </is>
      </c>
      <c r="B189" s="1" t="n">
        <v>44014</v>
      </c>
      <c r="C189" s="1" t="n">
        <v>45740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32321-2020</t>
        </is>
      </c>
      <c r="B190" s="1" t="n">
        <v>44015</v>
      </c>
      <c r="C190" s="1" t="n">
        <v>45740</v>
      </c>
      <c r="D190" t="inlineStr">
        <is>
          <t>VÄSTERBOTTENS LÄN</t>
        </is>
      </c>
      <c r="E190" t="inlineStr">
        <is>
          <t>ROBERTSFORS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32625-2020</t>
        </is>
      </c>
      <c r="B191" s="1" t="n">
        <v>44019</v>
      </c>
      <c r="C191" s="1" t="n">
        <v>45740</v>
      </c>
      <c r="D191" t="inlineStr">
        <is>
          <t>VÄSTERBOTTENS LÄN</t>
        </is>
      </c>
      <c r="E191" t="inlineStr">
        <is>
          <t>ROBERTSFORS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33593-2020</t>
        </is>
      </c>
      <c r="B192" s="1" t="n">
        <v>44025</v>
      </c>
      <c r="C192" s="1" t="n">
        <v>45740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34521-2020</t>
        </is>
      </c>
      <c r="B193" s="1" t="n">
        <v>44029</v>
      </c>
      <c r="C193" s="1" t="n">
        <v>45740</v>
      </c>
      <c r="D193" t="inlineStr">
        <is>
          <t>VÄSTERBOTTENS LÄN</t>
        </is>
      </c>
      <c r="E193" t="inlineStr">
        <is>
          <t>ROBERTSFORS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34920-2020</t>
        </is>
      </c>
      <c r="B194" s="1" t="n">
        <v>44036</v>
      </c>
      <c r="C194" s="1" t="n">
        <v>45740</v>
      </c>
      <c r="D194" t="inlineStr">
        <is>
          <t>VÄSTERBOTTENS LÄN</t>
        </is>
      </c>
      <c r="E194" t="inlineStr">
        <is>
          <t>ROBERTSFORS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34933-2020</t>
        </is>
      </c>
      <c r="B195" s="1" t="n">
        <v>44036</v>
      </c>
      <c r="C195" s="1" t="n">
        <v>45740</v>
      </c>
      <c r="D195" t="inlineStr">
        <is>
          <t>VÄSTERBOTTENS LÄN</t>
        </is>
      </c>
      <c r="E195" t="inlineStr">
        <is>
          <t>ROBERTSFORS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36529-2020</t>
        </is>
      </c>
      <c r="B196" s="1" t="n">
        <v>44050</v>
      </c>
      <c r="C196" s="1" t="n">
        <v>45740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36544-2020</t>
        </is>
      </c>
      <c r="B197" s="1" t="n">
        <v>44050</v>
      </c>
      <c r="C197" s="1" t="n">
        <v>45740</v>
      </c>
      <c r="D197" t="inlineStr">
        <is>
          <t>VÄSTERBOTTENS LÄN</t>
        </is>
      </c>
      <c r="E197" t="inlineStr">
        <is>
          <t>ROBERTSFORS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37285-2020</t>
        </is>
      </c>
      <c r="B198" s="1" t="n">
        <v>44055</v>
      </c>
      <c r="C198" s="1" t="n">
        <v>45740</v>
      </c>
      <c r="D198" t="inlineStr">
        <is>
          <t>VÄSTERBOTTENS LÄN</t>
        </is>
      </c>
      <c r="E198" t="inlineStr">
        <is>
          <t>ROBERTSFORS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38086-2020</t>
        </is>
      </c>
      <c r="B199" s="1" t="n">
        <v>44057</v>
      </c>
      <c r="C199" s="1" t="n">
        <v>45740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SCA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38332-2020</t>
        </is>
      </c>
      <c r="B200" s="1" t="n">
        <v>44060</v>
      </c>
      <c r="C200" s="1" t="n">
        <v>45740</v>
      </c>
      <c r="D200" t="inlineStr">
        <is>
          <t>VÄSTERBOTTENS LÄN</t>
        </is>
      </c>
      <c r="E200" t="inlineStr">
        <is>
          <t>ROBERTSFORS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38457-2020</t>
        </is>
      </c>
      <c r="B201" s="1" t="n">
        <v>44060</v>
      </c>
      <c r="C201" s="1" t="n">
        <v>45740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38930-2020</t>
        </is>
      </c>
      <c r="B202" s="1" t="n">
        <v>44061</v>
      </c>
      <c r="C202" s="1" t="n">
        <v>45740</v>
      </c>
      <c r="D202" t="inlineStr">
        <is>
          <t>VÄSTERBOTTENS LÄN</t>
        </is>
      </c>
      <c r="E202" t="inlineStr">
        <is>
          <t>ROBERTSFORS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40854-2020</t>
        </is>
      </c>
      <c r="B203" s="1" t="n">
        <v>44068</v>
      </c>
      <c r="C203" s="1" t="n">
        <v>45740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42083-2020</t>
        </is>
      </c>
      <c r="B204" s="1" t="n">
        <v>44075</v>
      </c>
      <c r="C204" s="1" t="n">
        <v>45740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43714-2020</t>
        </is>
      </c>
      <c r="B205" s="1" t="n">
        <v>44078</v>
      </c>
      <c r="C205" s="1" t="n">
        <v>45740</v>
      </c>
      <c r="D205" t="inlineStr">
        <is>
          <t>VÄSTERBOTTENS LÄN</t>
        </is>
      </c>
      <c r="E205" t="inlineStr">
        <is>
          <t>ROBERTSFORS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44323-2020</t>
        </is>
      </c>
      <c r="B206" s="1" t="n">
        <v>44084</v>
      </c>
      <c r="C206" s="1" t="n">
        <v>45740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46713-2020</t>
        </is>
      </c>
      <c r="B207" s="1" t="n">
        <v>44089</v>
      </c>
      <c r="C207" s="1" t="n">
        <v>45740</v>
      </c>
      <c r="D207" t="inlineStr">
        <is>
          <t>VÄSTERBOTTENS LÄN</t>
        </is>
      </c>
      <c r="E207" t="inlineStr">
        <is>
          <t>ROBERTSFORS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47919-2020</t>
        </is>
      </c>
      <c r="B208" s="1" t="n">
        <v>44099</v>
      </c>
      <c r="C208" s="1" t="n">
        <v>45740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48428-2020</t>
        </is>
      </c>
      <c r="B209" s="1" t="n">
        <v>44102</v>
      </c>
      <c r="C209" s="1" t="n">
        <v>45740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49802-2020</t>
        </is>
      </c>
      <c r="B210" s="1" t="n">
        <v>44106</v>
      </c>
      <c r="C210" s="1" t="n">
        <v>45740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50303-2020</t>
        </is>
      </c>
      <c r="B211" s="1" t="n">
        <v>44110</v>
      </c>
      <c r="C211" s="1" t="n">
        <v>45740</v>
      </c>
      <c r="D211" t="inlineStr">
        <is>
          <t>VÄSTERBOTTENS LÄN</t>
        </is>
      </c>
      <c r="E211" t="inlineStr">
        <is>
          <t>ROBERTSFORS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51371-2020</t>
        </is>
      </c>
      <c r="B212" s="1" t="n">
        <v>44112</v>
      </c>
      <c r="C212" s="1" t="n">
        <v>45740</v>
      </c>
      <c r="D212" t="inlineStr">
        <is>
          <t>VÄSTERBOTTENS LÄN</t>
        </is>
      </c>
      <c r="E212" t="inlineStr">
        <is>
          <t>ROBERTSFORS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51783-2020</t>
        </is>
      </c>
      <c r="B213" s="1" t="n">
        <v>44116</v>
      </c>
      <c r="C213" s="1" t="n">
        <v>45740</v>
      </c>
      <c r="D213" t="inlineStr">
        <is>
          <t>VÄSTERBOTTENS LÄN</t>
        </is>
      </c>
      <c r="E213" t="inlineStr">
        <is>
          <t>ROBERTSFORS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52579-2020</t>
        </is>
      </c>
      <c r="B214" s="1" t="n">
        <v>44116</v>
      </c>
      <c r="C214" s="1" t="n">
        <v>45740</v>
      </c>
      <c r="D214" t="inlineStr">
        <is>
          <t>VÄSTERBOTTENS LÄN</t>
        </is>
      </c>
      <c r="E214" t="inlineStr">
        <is>
          <t>ROBERTSFORS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52833-2020</t>
        </is>
      </c>
      <c r="B215" s="1" t="n">
        <v>44119</v>
      </c>
      <c r="C215" s="1" t="n">
        <v>45740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53425-2020</t>
        </is>
      </c>
      <c r="B216" s="1" t="n">
        <v>44122</v>
      </c>
      <c r="C216" s="1" t="n">
        <v>45740</v>
      </c>
      <c r="D216" t="inlineStr">
        <is>
          <t>VÄSTERBOTTENS LÄN</t>
        </is>
      </c>
      <c r="E216" t="inlineStr">
        <is>
          <t>ROBERTSFORS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53433-2020</t>
        </is>
      </c>
      <c r="B217" s="1" t="n">
        <v>44122</v>
      </c>
      <c r="C217" s="1" t="n">
        <v>45740</v>
      </c>
      <c r="D217" t="inlineStr">
        <is>
          <t>VÄSTERBOTTENS LÄN</t>
        </is>
      </c>
      <c r="E217" t="inlineStr">
        <is>
          <t>ROBERTSFORS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54144-2020</t>
        </is>
      </c>
      <c r="B218" s="1" t="n">
        <v>44123</v>
      </c>
      <c r="C218" s="1" t="n">
        <v>45740</v>
      </c>
      <c r="D218" t="inlineStr">
        <is>
          <t>VÄSTERBOTTENS LÄN</t>
        </is>
      </c>
      <c r="E218" t="inlineStr">
        <is>
          <t>ROBERTSFORS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53562-2020</t>
        </is>
      </c>
      <c r="B219" s="1" t="n">
        <v>44124</v>
      </c>
      <c r="C219" s="1" t="n">
        <v>45740</v>
      </c>
      <c r="D219" t="inlineStr">
        <is>
          <t>VÄSTERBOTTENS LÄN</t>
        </is>
      </c>
      <c r="E219" t="inlineStr">
        <is>
          <t>ROBERTSFORS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53559-2020</t>
        </is>
      </c>
      <c r="B220" s="1" t="n">
        <v>44124</v>
      </c>
      <c r="C220" s="1" t="n">
        <v>45740</v>
      </c>
      <c r="D220" t="inlineStr">
        <is>
          <t>VÄSTERBOTTENS LÄN</t>
        </is>
      </c>
      <c r="E220" t="inlineStr">
        <is>
          <t>ROBERTSFORS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54438-2020</t>
        </is>
      </c>
      <c r="B221" s="1" t="n">
        <v>44126</v>
      </c>
      <c r="C221" s="1" t="n">
        <v>45740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54603-2020</t>
        </is>
      </c>
      <c r="B222" s="1" t="n">
        <v>44127</v>
      </c>
      <c r="C222" s="1" t="n">
        <v>45740</v>
      </c>
      <c r="D222" t="inlineStr">
        <is>
          <t>VÄSTERBOTTENS LÄN</t>
        </is>
      </c>
      <c r="E222" t="inlineStr">
        <is>
          <t>ROBERTSFORS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55602-2020</t>
        </is>
      </c>
      <c r="B223" s="1" t="n">
        <v>44131</v>
      </c>
      <c r="C223" s="1" t="n">
        <v>45740</v>
      </c>
      <c r="D223" t="inlineStr">
        <is>
          <t>VÄSTERBOTTENS LÄN</t>
        </is>
      </c>
      <c r="E223" t="inlineStr">
        <is>
          <t>ROBERTSFORS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55697-2020</t>
        </is>
      </c>
      <c r="B224" s="1" t="n">
        <v>44132</v>
      </c>
      <c r="C224" s="1" t="n">
        <v>45740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22.3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55843-2020</t>
        </is>
      </c>
      <c r="B225" s="1" t="n">
        <v>44132</v>
      </c>
      <c r="C225" s="1" t="n">
        <v>45740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56951-2020</t>
        </is>
      </c>
      <c r="B226" s="1" t="n">
        <v>44137</v>
      </c>
      <c r="C226" s="1" t="n">
        <v>45740</v>
      </c>
      <c r="D226" t="inlineStr">
        <is>
          <t>VÄSTERBOTTENS LÄN</t>
        </is>
      </c>
      <c r="E226" t="inlineStr">
        <is>
          <t>ROBERTSFORS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56950-2020</t>
        </is>
      </c>
      <c r="B227" s="1" t="n">
        <v>44137</v>
      </c>
      <c r="C227" s="1" t="n">
        <v>45740</v>
      </c>
      <c r="D227" t="inlineStr">
        <is>
          <t>VÄSTERBOTTENS LÄN</t>
        </is>
      </c>
      <c r="E227" t="inlineStr">
        <is>
          <t>ROBERTSFORS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57564-2020</t>
        </is>
      </c>
      <c r="B228" s="1" t="n">
        <v>44140</v>
      </c>
      <c r="C228" s="1" t="n">
        <v>45740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59253-2020</t>
        </is>
      </c>
      <c r="B229" s="1" t="n">
        <v>44147</v>
      </c>
      <c r="C229" s="1" t="n">
        <v>45740</v>
      </c>
      <c r="D229" t="inlineStr">
        <is>
          <t>VÄSTERBOTTENS LÄN</t>
        </is>
      </c>
      <c r="E229" t="inlineStr">
        <is>
          <t>ROBERTSFORS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60088-2020</t>
        </is>
      </c>
      <c r="B230" s="1" t="n">
        <v>44152</v>
      </c>
      <c r="C230" s="1" t="n">
        <v>45740</v>
      </c>
      <c r="D230" t="inlineStr">
        <is>
          <t>VÄSTERBOTTENS LÄN</t>
        </is>
      </c>
      <c r="E230" t="inlineStr">
        <is>
          <t>ROBERTSFORS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62289-2020</t>
        </is>
      </c>
      <c r="B231" s="1" t="n">
        <v>44160</v>
      </c>
      <c r="C231" s="1" t="n">
        <v>45740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62884-2020</t>
        </is>
      </c>
      <c r="B232" s="1" t="n">
        <v>44161</v>
      </c>
      <c r="C232" s="1" t="n">
        <v>45740</v>
      </c>
      <c r="D232" t="inlineStr">
        <is>
          <t>VÄSTERBOTTENS LÄN</t>
        </is>
      </c>
      <c r="E232" t="inlineStr">
        <is>
          <t>ROBERTSFORS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63238-2020</t>
        </is>
      </c>
      <c r="B233" s="1" t="n">
        <v>44163</v>
      </c>
      <c r="C233" s="1" t="n">
        <v>45740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63293-2020</t>
        </is>
      </c>
      <c r="B234" s="1" t="n">
        <v>44165</v>
      </c>
      <c r="C234" s="1" t="n">
        <v>45740</v>
      </c>
      <c r="D234" t="inlineStr">
        <is>
          <t>VÄSTERBOTTENS LÄN</t>
        </is>
      </c>
      <c r="E234" t="inlineStr">
        <is>
          <t>ROBERTSFORS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64035-2020</t>
        </is>
      </c>
      <c r="B235" s="1" t="n">
        <v>44165</v>
      </c>
      <c r="C235" s="1" t="n">
        <v>45740</v>
      </c>
      <c r="D235" t="inlineStr">
        <is>
          <t>VÄSTERBOTTENS LÄN</t>
        </is>
      </c>
      <c r="E235" t="inlineStr">
        <is>
          <t>ROBERTSFORS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64158-2020</t>
        </is>
      </c>
      <c r="B236" s="1" t="n">
        <v>44167</v>
      </c>
      <c r="C236" s="1" t="n">
        <v>45740</v>
      </c>
      <c r="D236" t="inlineStr">
        <is>
          <t>VÄSTERBOTTENS LÄN</t>
        </is>
      </c>
      <c r="E236" t="inlineStr">
        <is>
          <t>ROBERTSFORS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64159-2020</t>
        </is>
      </c>
      <c r="B237" s="1" t="n">
        <v>44167</v>
      </c>
      <c r="C237" s="1" t="n">
        <v>45740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65830-2020</t>
        </is>
      </c>
      <c r="B238" s="1" t="n">
        <v>44172</v>
      </c>
      <c r="C238" s="1" t="n">
        <v>45740</v>
      </c>
      <c r="D238" t="inlineStr">
        <is>
          <t>VÄSTERBOTTENS LÄN</t>
        </is>
      </c>
      <c r="E238" t="inlineStr">
        <is>
          <t>ROBERTSFORS</t>
        </is>
      </c>
      <c r="G238" t="n">
        <v>18.8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66036-2020</t>
        </is>
      </c>
      <c r="B239" s="1" t="n">
        <v>44175</v>
      </c>
      <c r="C239" s="1" t="n">
        <v>45740</v>
      </c>
      <c r="D239" t="inlineStr">
        <is>
          <t>VÄSTERBOTTENS LÄN</t>
        </is>
      </c>
      <c r="E239" t="inlineStr">
        <is>
          <t>ROBERTSFORS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66039-2020</t>
        </is>
      </c>
      <c r="B240" s="1" t="n">
        <v>44175</v>
      </c>
      <c r="C240" s="1" t="n">
        <v>45740</v>
      </c>
      <c r="D240" t="inlineStr">
        <is>
          <t>VÄSTERBOTTENS LÄN</t>
        </is>
      </c>
      <c r="E240" t="inlineStr">
        <is>
          <t>ROBERTSFORS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68289-2020</t>
        </is>
      </c>
      <c r="B241" s="1" t="n">
        <v>44183</v>
      </c>
      <c r="C241" s="1" t="n">
        <v>45740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SCA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68373-2020</t>
        </is>
      </c>
      <c r="B242" s="1" t="n">
        <v>44186</v>
      </c>
      <c r="C242" s="1" t="n">
        <v>45740</v>
      </c>
      <c r="D242" t="inlineStr">
        <is>
          <t>VÄSTERBOTTENS LÄN</t>
        </is>
      </c>
      <c r="E242" t="inlineStr">
        <is>
          <t>ROBERTSFORS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68385-2020</t>
        </is>
      </c>
      <c r="B243" s="1" t="n">
        <v>44186</v>
      </c>
      <c r="C243" s="1" t="n">
        <v>45740</v>
      </c>
      <c r="D243" t="inlineStr">
        <is>
          <t>VÄSTERBOTTENS LÄN</t>
        </is>
      </c>
      <c r="E243" t="inlineStr">
        <is>
          <t>ROBERTSFORS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68371-2020</t>
        </is>
      </c>
      <c r="B244" s="1" t="n">
        <v>44186</v>
      </c>
      <c r="C244" s="1" t="n">
        <v>45740</v>
      </c>
      <c r="D244" t="inlineStr">
        <is>
          <t>VÄSTERBOTTENS LÄN</t>
        </is>
      </c>
      <c r="E244" t="inlineStr">
        <is>
          <t>ROBERTSFORS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68383-2020</t>
        </is>
      </c>
      <c r="B245" s="1" t="n">
        <v>44186</v>
      </c>
      <c r="C245" s="1" t="n">
        <v>45740</v>
      </c>
      <c r="D245" t="inlineStr">
        <is>
          <t>VÄSTERBOTTENS LÄN</t>
        </is>
      </c>
      <c r="E245" t="inlineStr">
        <is>
          <t>ROBERTSFORS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68765-2020</t>
        </is>
      </c>
      <c r="B246" s="1" t="n">
        <v>44186</v>
      </c>
      <c r="C246" s="1" t="n">
        <v>45740</v>
      </c>
      <c r="D246" t="inlineStr">
        <is>
          <t>VÄSTERBOTTENS LÄN</t>
        </is>
      </c>
      <c r="E246" t="inlineStr">
        <is>
          <t>ROBERTSFORS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68957-2020</t>
        </is>
      </c>
      <c r="B247" s="1" t="n">
        <v>44187</v>
      </c>
      <c r="C247" s="1" t="n">
        <v>45740</v>
      </c>
      <c r="D247" t="inlineStr">
        <is>
          <t>VÄSTERBOTTENS LÄN</t>
        </is>
      </c>
      <c r="E247" t="inlineStr">
        <is>
          <t>ROBERTSFORS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69574-2020</t>
        </is>
      </c>
      <c r="B248" s="1" t="n">
        <v>44194</v>
      </c>
      <c r="C248" s="1" t="n">
        <v>45740</v>
      </c>
      <c r="D248" t="inlineStr">
        <is>
          <t>VÄSTERBOTTENS LÄN</t>
        </is>
      </c>
      <c r="E248" t="inlineStr">
        <is>
          <t>ROBERTSFORS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169-2021</t>
        </is>
      </c>
      <c r="B249" s="1" t="n">
        <v>44200</v>
      </c>
      <c r="C249" s="1" t="n">
        <v>45740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1625-2021</t>
        </is>
      </c>
      <c r="B250" s="1" t="n">
        <v>44209</v>
      </c>
      <c r="C250" s="1" t="n">
        <v>45740</v>
      </c>
      <c r="D250" t="inlineStr">
        <is>
          <t>VÄSTERBOTTENS LÄN</t>
        </is>
      </c>
      <c r="E250" t="inlineStr">
        <is>
          <t>ROBERTSFORS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2516-2021</t>
        </is>
      </c>
      <c r="B251" s="1" t="n">
        <v>44214</v>
      </c>
      <c r="C251" s="1" t="n">
        <v>45740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2588-2021</t>
        </is>
      </c>
      <c r="B252" s="1" t="n">
        <v>44214</v>
      </c>
      <c r="C252" s="1" t="n">
        <v>45740</v>
      </c>
      <c r="D252" t="inlineStr">
        <is>
          <t>VÄSTERBOTTENS LÄN</t>
        </is>
      </c>
      <c r="E252" t="inlineStr">
        <is>
          <t>ROBERTSFORS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2963-2021</t>
        </is>
      </c>
      <c r="B253" s="1" t="n">
        <v>44216</v>
      </c>
      <c r="C253" s="1" t="n">
        <v>45740</v>
      </c>
      <c r="D253" t="inlineStr">
        <is>
          <t>VÄSTERBOTTENS LÄN</t>
        </is>
      </c>
      <c r="E253" t="inlineStr">
        <is>
          <t>ROBERTSFORS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6981-2021</t>
        </is>
      </c>
      <c r="B254" s="1" t="n">
        <v>44237</v>
      </c>
      <c r="C254" s="1" t="n">
        <v>45740</v>
      </c>
      <c r="D254" t="inlineStr">
        <is>
          <t>VÄSTERBOTTENS LÄN</t>
        </is>
      </c>
      <c r="E254" t="inlineStr">
        <is>
          <t>ROBERTSFORS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7475-2021</t>
        </is>
      </c>
      <c r="B255" s="1" t="n">
        <v>44239</v>
      </c>
      <c r="C255" s="1" t="n">
        <v>45740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7476-2021</t>
        </is>
      </c>
      <c r="B256" s="1" t="n">
        <v>44239</v>
      </c>
      <c r="C256" s="1" t="n">
        <v>45740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7880-2021</t>
        </is>
      </c>
      <c r="B257" s="1" t="n">
        <v>44242</v>
      </c>
      <c r="C257" s="1" t="n">
        <v>45740</v>
      </c>
      <c r="D257" t="inlineStr">
        <is>
          <t>VÄSTERBOTTENS LÄN</t>
        </is>
      </c>
      <c r="E257" t="inlineStr">
        <is>
          <t>ROBERTSFORS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8423-2021</t>
        </is>
      </c>
      <c r="B258" s="1" t="n">
        <v>44245</v>
      </c>
      <c r="C258" s="1" t="n">
        <v>45740</v>
      </c>
      <c r="D258" t="inlineStr">
        <is>
          <t>VÄSTERBOTTENS LÄN</t>
        </is>
      </c>
      <c r="E258" t="inlineStr">
        <is>
          <t>ROBERTSFORS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8416-2021</t>
        </is>
      </c>
      <c r="B259" s="1" t="n">
        <v>44245</v>
      </c>
      <c r="C259" s="1" t="n">
        <v>45740</v>
      </c>
      <c r="D259" t="inlineStr">
        <is>
          <t>VÄSTERBOTTENS LÄN</t>
        </is>
      </c>
      <c r="E259" t="inlineStr">
        <is>
          <t>ROBERTSFORS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11184-2021</t>
        </is>
      </c>
      <c r="B260" s="1" t="n">
        <v>44263</v>
      </c>
      <c r="C260" s="1" t="n">
        <v>45740</v>
      </c>
      <c r="D260" t="inlineStr">
        <is>
          <t>VÄSTERBOTTENS LÄN</t>
        </is>
      </c>
      <c r="E260" t="inlineStr">
        <is>
          <t>ROBERTSFORS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11461-2021</t>
        </is>
      </c>
      <c r="B261" s="1" t="n">
        <v>44263</v>
      </c>
      <c r="C261" s="1" t="n">
        <v>45740</v>
      </c>
      <c r="D261" t="inlineStr">
        <is>
          <t>VÄSTERBOTTENS LÄN</t>
        </is>
      </c>
      <c r="E261" t="inlineStr">
        <is>
          <t>ROBERTSFORS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13456-2021</t>
        </is>
      </c>
      <c r="B262" s="1" t="n">
        <v>44273</v>
      </c>
      <c r="C262" s="1" t="n">
        <v>45740</v>
      </c>
      <c r="D262" t="inlineStr">
        <is>
          <t>VÄSTERBOTTENS LÄN</t>
        </is>
      </c>
      <c r="E262" t="inlineStr">
        <is>
          <t>ROBERTSFORS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13469-2021</t>
        </is>
      </c>
      <c r="B263" s="1" t="n">
        <v>44273</v>
      </c>
      <c r="C263" s="1" t="n">
        <v>45740</v>
      </c>
      <c r="D263" t="inlineStr">
        <is>
          <t>VÄSTERBOTTENS LÄN</t>
        </is>
      </c>
      <c r="E263" t="inlineStr">
        <is>
          <t>ROBERTSFORS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13958-2021</t>
        </is>
      </c>
      <c r="B264" s="1" t="n">
        <v>44277</v>
      </c>
      <c r="C264" s="1" t="n">
        <v>45740</v>
      </c>
      <c r="D264" t="inlineStr">
        <is>
          <t>VÄSTERBOTTENS LÄN</t>
        </is>
      </c>
      <c r="E264" t="inlineStr">
        <is>
          <t>ROBERTSFORS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13983-2021</t>
        </is>
      </c>
      <c r="B265" s="1" t="n">
        <v>44277</v>
      </c>
      <c r="C265" s="1" t="n">
        <v>45740</v>
      </c>
      <c r="D265" t="inlineStr">
        <is>
          <t>VÄSTERBOTTENS LÄN</t>
        </is>
      </c>
      <c r="E265" t="inlineStr">
        <is>
          <t>ROBERTSFORS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15267-2021</t>
        </is>
      </c>
      <c r="B266" s="1" t="n">
        <v>44284</v>
      </c>
      <c r="C266" s="1" t="n">
        <v>45740</v>
      </c>
      <c r="D266" t="inlineStr">
        <is>
          <t>VÄSTERBOTTENS LÄN</t>
        </is>
      </c>
      <c r="E266" t="inlineStr">
        <is>
          <t>ROBERTSFORS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17407-2021</t>
        </is>
      </c>
      <c r="B267" s="1" t="n">
        <v>44298</v>
      </c>
      <c r="C267" s="1" t="n">
        <v>45740</v>
      </c>
      <c r="D267" t="inlineStr">
        <is>
          <t>VÄSTERBOTTENS LÄN</t>
        </is>
      </c>
      <c r="E267" t="inlineStr">
        <is>
          <t>ROBERTSFORS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17410-2021</t>
        </is>
      </c>
      <c r="B268" s="1" t="n">
        <v>44298</v>
      </c>
      <c r="C268" s="1" t="n">
        <v>45740</v>
      </c>
      <c r="D268" t="inlineStr">
        <is>
          <t>VÄSTERBOTTENS LÄN</t>
        </is>
      </c>
      <c r="E268" t="inlineStr">
        <is>
          <t>ROBERTSFORS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18188-2021</t>
        </is>
      </c>
      <c r="B269" s="1" t="n">
        <v>44302</v>
      </c>
      <c r="C269" s="1" t="n">
        <v>45740</v>
      </c>
      <c r="D269" t="inlineStr">
        <is>
          <t>VÄSTERBOTTENS LÄN</t>
        </is>
      </c>
      <c r="E269" t="inlineStr">
        <is>
          <t>ROBERTSFORS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18795-2021</t>
        </is>
      </c>
      <c r="B270" s="1" t="n">
        <v>44307</v>
      </c>
      <c r="C270" s="1" t="n">
        <v>45740</v>
      </c>
      <c r="D270" t="inlineStr">
        <is>
          <t>VÄSTERBOTTENS LÄN</t>
        </is>
      </c>
      <c r="E270" t="inlineStr">
        <is>
          <t>ROBERTSFORS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20406-2021</t>
        </is>
      </c>
      <c r="B271" s="1" t="n">
        <v>44314</v>
      </c>
      <c r="C271" s="1" t="n">
        <v>45740</v>
      </c>
      <c r="D271" t="inlineStr">
        <is>
          <t>VÄSTERBOTTENS LÄN</t>
        </is>
      </c>
      <c r="E271" t="inlineStr">
        <is>
          <t>ROBERTSFORS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21391-2021</t>
        </is>
      </c>
      <c r="B272" s="1" t="n">
        <v>44321</v>
      </c>
      <c r="C272" s="1" t="n">
        <v>45740</v>
      </c>
      <c r="D272" t="inlineStr">
        <is>
          <t>VÄSTERBOTTENS LÄN</t>
        </is>
      </c>
      <c r="E272" t="inlineStr">
        <is>
          <t>ROBERTSFORS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21626-2021</t>
        </is>
      </c>
      <c r="B273" s="1" t="n">
        <v>44321</v>
      </c>
      <c r="C273" s="1" t="n">
        <v>45740</v>
      </c>
      <c r="D273" t="inlineStr">
        <is>
          <t>VÄSTERBOTTENS LÄN</t>
        </is>
      </c>
      <c r="E273" t="inlineStr">
        <is>
          <t>ROBERTSFORS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21925-2021</t>
        </is>
      </c>
      <c r="B274" s="1" t="n">
        <v>44323</v>
      </c>
      <c r="C274" s="1" t="n">
        <v>45740</v>
      </c>
      <c r="D274" t="inlineStr">
        <is>
          <t>VÄSTERBOTTENS LÄN</t>
        </is>
      </c>
      <c r="E274" t="inlineStr">
        <is>
          <t>ROBERTSFORS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23143-2021</t>
        </is>
      </c>
      <c r="B275" s="1" t="n">
        <v>44331</v>
      </c>
      <c r="C275" s="1" t="n">
        <v>45740</v>
      </c>
      <c r="D275" t="inlineStr">
        <is>
          <t>VÄSTERBOTTENS LÄN</t>
        </is>
      </c>
      <c r="E275" t="inlineStr">
        <is>
          <t>ROBERTSFORS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24572-2021</t>
        </is>
      </c>
      <c r="B276" s="1" t="n">
        <v>44339</v>
      </c>
      <c r="C276" s="1" t="n">
        <v>45740</v>
      </c>
      <c r="D276" t="inlineStr">
        <is>
          <t>VÄSTERBOTTENS LÄN</t>
        </is>
      </c>
      <c r="E276" t="inlineStr">
        <is>
          <t>ROBERTSFORS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24797-2021</t>
        </is>
      </c>
      <c r="B277" s="1" t="n">
        <v>44340</v>
      </c>
      <c r="C277" s="1" t="n">
        <v>45740</v>
      </c>
      <c r="D277" t="inlineStr">
        <is>
          <t>VÄSTERBOTTENS LÄN</t>
        </is>
      </c>
      <c r="E277" t="inlineStr">
        <is>
          <t>ROBERTSFORS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28229-2021</t>
        </is>
      </c>
      <c r="B278" s="1" t="n">
        <v>44355</v>
      </c>
      <c r="C278" s="1" t="n">
        <v>45740</v>
      </c>
      <c r="D278" t="inlineStr">
        <is>
          <t>VÄSTERBOTTENS LÄN</t>
        </is>
      </c>
      <c r="E278" t="inlineStr">
        <is>
          <t>ROBERTSFORS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28237-2021</t>
        </is>
      </c>
      <c r="B279" s="1" t="n">
        <v>44355</v>
      </c>
      <c r="C279" s="1" t="n">
        <v>45740</v>
      </c>
      <c r="D279" t="inlineStr">
        <is>
          <t>VÄSTERBOTTENS LÄN</t>
        </is>
      </c>
      <c r="E279" t="inlineStr">
        <is>
          <t>ROBERTSFORS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33301-2021</t>
        </is>
      </c>
      <c r="B280" s="1" t="n">
        <v>44377</v>
      </c>
      <c r="C280" s="1" t="n">
        <v>45740</v>
      </c>
      <c r="D280" t="inlineStr">
        <is>
          <t>VÄSTERBOTTENS LÄN</t>
        </is>
      </c>
      <c r="E280" t="inlineStr">
        <is>
          <t>ROBERTSFORS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33379-2021</t>
        </is>
      </c>
      <c r="B281" s="1" t="n">
        <v>44377</v>
      </c>
      <c r="C281" s="1" t="n">
        <v>45740</v>
      </c>
      <c r="D281" t="inlineStr">
        <is>
          <t>VÄSTERBOTTENS LÄN</t>
        </is>
      </c>
      <c r="E281" t="inlineStr">
        <is>
          <t>ROBERTSFORS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34353-2021</t>
        </is>
      </c>
      <c r="B282" s="1" t="n">
        <v>44379</v>
      </c>
      <c r="C282" s="1" t="n">
        <v>45740</v>
      </c>
      <c r="D282" t="inlineStr">
        <is>
          <t>VÄSTERBOTTENS LÄN</t>
        </is>
      </c>
      <c r="E282" t="inlineStr">
        <is>
          <t>ROBERTSFORS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35381-2021</t>
        </is>
      </c>
      <c r="B283" s="1" t="n">
        <v>44384</v>
      </c>
      <c r="C283" s="1" t="n">
        <v>45740</v>
      </c>
      <c r="D283" t="inlineStr">
        <is>
          <t>VÄSTERBOTTENS LÄN</t>
        </is>
      </c>
      <c r="E283" t="inlineStr">
        <is>
          <t>ROBERTSFORS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35551-2021</t>
        </is>
      </c>
      <c r="B284" s="1" t="n">
        <v>44385</v>
      </c>
      <c r="C284" s="1" t="n">
        <v>45740</v>
      </c>
      <c r="D284" t="inlineStr">
        <is>
          <t>VÄSTERBOTTENS LÄN</t>
        </is>
      </c>
      <c r="E284" t="inlineStr">
        <is>
          <t>ROBERTSFORS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35852-2021</t>
        </is>
      </c>
      <c r="B285" s="1" t="n">
        <v>44386</v>
      </c>
      <c r="C285" s="1" t="n">
        <v>45740</v>
      </c>
      <c r="D285" t="inlineStr">
        <is>
          <t>VÄSTERBOTTENS LÄN</t>
        </is>
      </c>
      <c r="E285" t="inlineStr">
        <is>
          <t>ROBERTSFORS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36023-2021</t>
        </is>
      </c>
      <c r="B286" s="1" t="n">
        <v>44386</v>
      </c>
      <c r="C286" s="1" t="n">
        <v>45740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39325-2021</t>
        </is>
      </c>
      <c r="B287" s="1" t="n">
        <v>44414</v>
      </c>
      <c r="C287" s="1" t="n">
        <v>45740</v>
      </c>
      <c r="D287" t="inlineStr">
        <is>
          <t>VÄSTERBOTTENS LÄN</t>
        </is>
      </c>
      <c r="E287" t="inlineStr">
        <is>
          <t>ROBERTSFORS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39324-2021</t>
        </is>
      </c>
      <c r="B288" s="1" t="n">
        <v>44413</v>
      </c>
      <c r="C288" s="1" t="n">
        <v>45740</v>
      </c>
      <c r="D288" t="inlineStr">
        <is>
          <t>VÄSTERBOTTENS LÄN</t>
        </is>
      </c>
      <c r="E288" t="inlineStr">
        <is>
          <t>ROBERTSFORS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44474-2021</t>
        </is>
      </c>
      <c r="B289" s="1" t="n">
        <v>44435</v>
      </c>
      <c r="C289" s="1" t="n">
        <v>45740</v>
      </c>
      <c r="D289" t="inlineStr">
        <is>
          <t>VÄSTERBOTTENS LÄN</t>
        </is>
      </c>
      <c r="E289" t="inlineStr">
        <is>
          <t>ROBERTSFORS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44495-2021</t>
        </is>
      </c>
      <c r="B290" s="1" t="n">
        <v>44435</v>
      </c>
      <c r="C290" s="1" t="n">
        <v>45740</v>
      </c>
      <c r="D290" t="inlineStr">
        <is>
          <t>VÄSTERBOTTENS LÄN</t>
        </is>
      </c>
      <c r="E290" t="inlineStr">
        <is>
          <t>ROBERTSFORS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44509-2021</t>
        </is>
      </c>
      <c r="B291" s="1" t="n">
        <v>44435</v>
      </c>
      <c r="C291" s="1" t="n">
        <v>45740</v>
      </c>
      <c r="D291" t="inlineStr">
        <is>
          <t>VÄSTERBOTTENS LÄN</t>
        </is>
      </c>
      <c r="E291" t="inlineStr">
        <is>
          <t>ROBERTSFORS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47375-2021</t>
        </is>
      </c>
      <c r="B292" s="1" t="n">
        <v>44445</v>
      </c>
      <c r="C292" s="1" t="n">
        <v>45740</v>
      </c>
      <c r="D292" t="inlineStr">
        <is>
          <t>VÄSTERBOTTENS LÄN</t>
        </is>
      </c>
      <c r="E292" t="inlineStr">
        <is>
          <t>ROBERTSFORS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47220-2021</t>
        </is>
      </c>
      <c r="B293" s="1" t="n">
        <v>44447</v>
      </c>
      <c r="C293" s="1" t="n">
        <v>45740</v>
      </c>
      <c r="D293" t="inlineStr">
        <is>
          <t>VÄSTERBOTTENS LÄN</t>
        </is>
      </c>
      <c r="E293" t="inlineStr">
        <is>
          <t>ROBERTSFORS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47225-2021</t>
        </is>
      </c>
      <c r="B294" s="1" t="n">
        <v>44447</v>
      </c>
      <c r="C294" s="1" t="n">
        <v>45740</v>
      </c>
      <c r="D294" t="inlineStr">
        <is>
          <t>VÄSTERBOTTENS LÄN</t>
        </is>
      </c>
      <c r="E294" t="inlineStr">
        <is>
          <t>ROBERTSFORS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48823-2021</t>
        </is>
      </c>
      <c r="B295" s="1" t="n">
        <v>44453</v>
      </c>
      <c r="C295" s="1" t="n">
        <v>45740</v>
      </c>
      <c r="D295" t="inlineStr">
        <is>
          <t>VÄSTERBOTTENS LÄN</t>
        </is>
      </c>
      <c r="E295" t="inlineStr">
        <is>
          <t>ROBERTSFORS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48824-2021</t>
        </is>
      </c>
      <c r="B296" s="1" t="n">
        <v>44453</v>
      </c>
      <c r="C296" s="1" t="n">
        <v>45740</v>
      </c>
      <c r="D296" t="inlineStr">
        <is>
          <t>VÄSTERBOTTENS LÄN</t>
        </is>
      </c>
      <c r="E296" t="inlineStr">
        <is>
          <t>ROBERTSFORS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48834-2021</t>
        </is>
      </c>
      <c r="B297" s="1" t="n">
        <v>44453</v>
      </c>
      <c r="C297" s="1" t="n">
        <v>45740</v>
      </c>
      <c r="D297" t="inlineStr">
        <is>
          <t>VÄSTERBOTTENS LÄN</t>
        </is>
      </c>
      <c r="E297" t="inlineStr">
        <is>
          <t>ROBERTSFORS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49594-2021</t>
        </is>
      </c>
      <c r="B298" s="1" t="n">
        <v>44455</v>
      </c>
      <c r="C298" s="1" t="n">
        <v>45740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53271-2021</t>
        </is>
      </c>
      <c r="B299" s="1" t="n">
        <v>44467</v>
      </c>
      <c r="C299" s="1" t="n">
        <v>45740</v>
      </c>
      <c r="D299" t="inlineStr">
        <is>
          <t>VÄSTERBOTTENS LÄN</t>
        </is>
      </c>
      <c r="E299" t="inlineStr">
        <is>
          <t>ROBERTSFORS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54403-2021</t>
        </is>
      </c>
      <c r="B300" s="1" t="n">
        <v>44473</v>
      </c>
      <c r="C300" s="1" t="n">
        <v>45740</v>
      </c>
      <c r="D300" t="inlineStr">
        <is>
          <t>VÄSTERBOTTENS LÄN</t>
        </is>
      </c>
      <c r="E300" t="inlineStr">
        <is>
          <t>ROBERTSFORS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54423-2021</t>
        </is>
      </c>
      <c r="B301" s="1" t="n">
        <v>44473</v>
      </c>
      <c r="C301" s="1" t="n">
        <v>45740</v>
      </c>
      <c r="D301" t="inlineStr">
        <is>
          <t>VÄSTERBOTTENS LÄN</t>
        </is>
      </c>
      <c r="E301" t="inlineStr">
        <is>
          <t>ROBERTSFORS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54502-2021</t>
        </is>
      </c>
      <c r="B302" s="1" t="n">
        <v>44473</v>
      </c>
      <c r="C302" s="1" t="n">
        <v>45740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Sveaskog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55484-2021</t>
        </is>
      </c>
      <c r="B303" s="1" t="n">
        <v>44475</v>
      </c>
      <c r="C303" s="1" t="n">
        <v>45740</v>
      </c>
      <c r="D303" t="inlineStr">
        <is>
          <t>VÄSTERBOTTENS LÄN</t>
        </is>
      </c>
      <c r="E303" t="inlineStr">
        <is>
          <t>ROBERTSFORS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55469-2021</t>
        </is>
      </c>
      <c r="B304" s="1" t="n">
        <v>44475</v>
      </c>
      <c r="C304" s="1" t="n">
        <v>45740</v>
      </c>
      <c r="D304" t="inlineStr">
        <is>
          <t>VÄSTERBOTTENS LÄN</t>
        </is>
      </c>
      <c r="E304" t="inlineStr">
        <is>
          <t>ROBERTSFORS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57189-2021</t>
        </is>
      </c>
      <c r="B305" s="1" t="n">
        <v>44483</v>
      </c>
      <c r="C305" s="1" t="n">
        <v>45740</v>
      </c>
      <c r="D305" t="inlineStr">
        <is>
          <t>VÄSTERBOTTENS LÄN</t>
        </is>
      </c>
      <c r="E305" t="inlineStr">
        <is>
          <t>ROBERTSFORS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57979-2021</t>
        </is>
      </c>
      <c r="B306" s="1" t="n">
        <v>44487</v>
      </c>
      <c r="C306" s="1" t="n">
        <v>45740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58631-2021</t>
        </is>
      </c>
      <c r="B307" s="1" t="n">
        <v>44488</v>
      </c>
      <c r="C307" s="1" t="n">
        <v>45740</v>
      </c>
      <c r="D307" t="inlineStr">
        <is>
          <t>VÄSTERBOTTENS LÄN</t>
        </is>
      </c>
      <c r="E307" t="inlineStr">
        <is>
          <t>ROBERTSFORS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59081-2021</t>
        </is>
      </c>
      <c r="B308" s="1" t="n">
        <v>44490</v>
      </c>
      <c r="C308" s="1" t="n">
        <v>45740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59177-2021</t>
        </is>
      </c>
      <c r="B309" s="1" t="n">
        <v>44490</v>
      </c>
      <c r="C309" s="1" t="n">
        <v>45740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60844-2021</t>
        </is>
      </c>
      <c r="B310" s="1" t="n">
        <v>44497</v>
      </c>
      <c r="C310" s="1" t="n">
        <v>45740</v>
      </c>
      <c r="D310" t="inlineStr">
        <is>
          <t>VÄSTERBOTTENS LÄN</t>
        </is>
      </c>
      <c r="E310" t="inlineStr">
        <is>
          <t>ROBERTSFORS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62187-2021</t>
        </is>
      </c>
      <c r="B311" s="1" t="n">
        <v>44502</v>
      </c>
      <c r="C311" s="1" t="n">
        <v>45740</v>
      </c>
      <c r="D311" t="inlineStr">
        <is>
          <t>VÄSTERBOTTENS LÄN</t>
        </is>
      </c>
      <c r="E311" t="inlineStr">
        <is>
          <t>ROBERTSFORS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65772-2021</t>
        </is>
      </c>
      <c r="B312" s="1" t="n">
        <v>44516</v>
      </c>
      <c r="C312" s="1" t="n">
        <v>45740</v>
      </c>
      <c r="D312" t="inlineStr">
        <is>
          <t>VÄSTERBOTTENS LÄN</t>
        </is>
      </c>
      <c r="E312" t="inlineStr">
        <is>
          <t>ROBERTSFORS</t>
        </is>
      </c>
      <c r="G312" t="n">
        <v>18.2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65770-2021</t>
        </is>
      </c>
      <c r="B313" s="1" t="n">
        <v>44516</v>
      </c>
      <c r="C313" s="1" t="n">
        <v>45740</v>
      </c>
      <c r="D313" t="inlineStr">
        <is>
          <t>VÄSTERBOTTENS LÄN</t>
        </is>
      </c>
      <c r="E313" t="inlineStr">
        <is>
          <t>ROBERTSFORS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65771-2021</t>
        </is>
      </c>
      <c r="B314" s="1" t="n">
        <v>44516</v>
      </c>
      <c r="C314" s="1" t="n">
        <v>45740</v>
      </c>
      <c r="D314" t="inlineStr">
        <is>
          <t>VÄSTERBOTTENS LÄN</t>
        </is>
      </c>
      <c r="E314" t="inlineStr">
        <is>
          <t>ROBERTSFORS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66503-2021</t>
        </is>
      </c>
      <c r="B315" s="1" t="n">
        <v>44519</v>
      </c>
      <c r="C315" s="1" t="n">
        <v>45740</v>
      </c>
      <c r="D315" t="inlineStr">
        <is>
          <t>VÄSTERBOTTENS LÄN</t>
        </is>
      </c>
      <c r="E315" t="inlineStr">
        <is>
          <t>ROBERTSFORS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67590-2021</t>
        </is>
      </c>
      <c r="B316" s="1" t="n">
        <v>44524</v>
      </c>
      <c r="C316" s="1" t="n">
        <v>45740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69287-2021</t>
        </is>
      </c>
      <c r="B317" s="1" t="n">
        <v>44531</v>
      </c>
      <c r="C317" s="1" t="n">
        <v>45740</v>
      </c>
      <c r="D317" t="inlineStr">
        <is>
          <t>VÄSTERBOTTENS LÄN</t>
        </is>
      </c>
      <c r="E317" t="inlineStr">
        <is>
          <t>ROBERTSFORS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69812-2021</t>
        </is>
      </c>
      <c r="B318" s="1" t="n">
        <v>44532</v>
      </c>
      <c r="C318" s="1" t="n">
        <v>45740</v>
      </c>
      <c r="D318" t="inlineStr">
        <is>
          <t>VÄSTERBOTTENS LÄN</t>
        </is>
      </c>
      <c r="E318" t="inlineStr">
        <is>
          <t>ROBERTSFORS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69805-2021</t>
        </is>
      </c>
      <c r="B319" s="1" t="n">
        <v>44532</v>
      </c>
      <c r="C319" s="1" t="n">
        <v>45740</v>
      </c>
      <c r="D319" t="inlineStr">
        <is>
          <t>VÄSTERBOTTENS LÄN</t>
        </is>
      </c>
      <c r="E319" t="inlineStr">
        <is>
          <t>ROBERTSFORS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70365-2021</t>
        </is>
      </c>
      <c r="B320" s="1" t="n">
        <v>44535</v>
      </c>
      <c r="C320" s="1" t="n">
        <v>45740</v>
      </c>
      <c r="D320" t="inlineStr">
        <is>
          <t>VÄSTERBOTTENS LÄN</t>
        </is>
      </c>
      <c r="E320" t="inlineStr">
        <is>
          <t>ROBERTSFORS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72492-2021</t>
        </is>
      </c>
      <c r="B321" s="1" t="n">
        <v>44545</v>
      </c>
      <c r="C321" s="1" t="n">
        <v>45740</v>
      </c>
      <c r="D321" t="inlineStr">
        <is>
          <t>VÄSTERBOTTENS LÄN</t>
        </is>
      </c>
      <c r="E321" t="inlineStr">
        <is>
          <t>ROBERTSFORS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73557-2021</t>
        </is>
      </c>
      <c r="B322" s="1" t="n">
        <v>44551</v>
      </c>
      <c r="C322" s="1" t="n">
        <v>45740</v>
      </c>
      <c r="D322" t="inlineStr">
        <is>
          <t>VÄSTERBOTTENS LÄN</t>
        </is>
      </c>
      <c r="E322" t="inlineStr">
        <is>
          <t>ROBERTSFORS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833-2022</t>
        </is>
      </c>
      <c r="B323" s="1" t="n">
        <v>44571</v>
      </c>
      <c r="C323" s="1" t="n">
        <v>45740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977-2022</t>
        </is>
      </c>
      <c r="B324" s="1" t="n">
        <v>44571</v>
      </c>
      <c r="C324" s="1" t="n">
        <v>45740</v>
      </c>
      <c r="D324" t="inlineStr">
        <is>
          <t>VÄSTERBOTTENS LÄN</t>
        </is>
      </c>
      <c r="E324" t="inlineStr">
        <is>
          <t>ROBERTSFORS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2604-2022</t>
        </is>
      </c>
      <c r="B325" s="1" t="n">
        <v>44571</v>
      </c>
      <c r="C325" s="1" t="n">
        <v>45740</v>
      </c>
      <c r="D325" t="inlineStr">
        <is>
          <t>VÄSTERBOTTENS LÄN</t>
        </is>
      </c>
      <c r="E325" t="inlineStr">
        <is>
          <t>ROBERTSFORS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1120-2022</t>
        </is>
      </c>
      <c r="B326" s="1" t="n">
        <v>44572</v>
      </c>
      <c r="C326" s="1" t="n">
        <v>45740</v>
      </c>
      <c r="D326" t="inlineStr">
        <is>
          <t>VÄSTERBOTTENS LÄN</t>
        </is>
      </c>
      <c r="E326" t="inlineStr">
        <is>
          <t>ROBERTSFORS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1620-2022</t>
        </is>
      </c>
      <c r="B327" s="1" t="n">
        <v>44573</v>
      </c>
      <c r="C327" s="1" t="n">
        <v>45740</v>
      </c>
      <c r="D327" t="inlineStr">
        <is>
          <t>VÄSTERBOTTENS LÄN</t>
        </is>
      </c>
      <c r="E327" t="inlineStr">
        <is>
          <t>ROBERTSFORS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1656-2022</t>
        </is>
      </c>
      <c r="B328" s="1" t="n">
        <v>44574</v>
      </c>
      <c r="C328" s="1" t="n">
        <v>45740</v>
      </c>
      <c r="D328" t="inlineStr">
        <is>
          <t>VÄSTERBOTTENS LÄN</t>
        </is>
      </c>
      <c r="E328" t="inlineStr">
        <is>
          <t>ROBERTSFORS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1684-2022</t>
        </is>
      </c>
      <c r="B329" s="1" t="n">
        <v>44574</v>
      </c>
      <c r="C329" s="1" t="n">
        <v>45740</v>
      </c>
      <c r="D329" t="inlineStr">
        <is>
          <t>VÄSTERBOTTENS LÄN</t>
        </is>
      </c>
      <c r="E329" t="inlineStr">
        <is>
          <t>ROBERTSFORS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1671-2022</t>
        </is>
      </c>
      <c r="B330" s="1" t="n">
        <v>44574</v>
      </c>
      <c r="C330" s="1" t="n">
        <v>45740</v>
      </c>
      <c r="D330" t="inlineStr">
        <is>
          <t>VÄSTERBOTTENS LÄN</t>
        </is>
      </c>
      <c r="E330" t="inlineStr">
        <is>
          <t>ROBERTSFORS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1897-2022</t>
        </is>
      </c>
      <c r="B331" s="1" t="n">
        <v>44575</v>
      </c>
      <c r="C331" s="1" t="n">
        <v>45740</v>
      </c>
      <c r="D331" t="inlineStr">
        <is>
          <t>VÄSTERBOTTENS LÄN</t>
        </is>
      </c>
      <c r="E331" t="inlineStr">
        <is>
          <t>ROBERTSFORS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2679-2022</t>
        </is>
      </c>
      <c r="B332" s="1" t="n">
        <v>44580</v>
      </c>
      <c r="C332" s="1" t="n">
        <v>45740</v>
      </c>
      <c r="D332" t="inlineStr">
        <is>
          <t>VÄSTERBOTTENS LÄN</t>
        </is>
      </c>
      <c r="E332" t="inlineStr">
        <is>
          <t>ROBERTSFORS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2707-2022</t>
        </is>
      </c>
      <c r="B333" s="1" t="n">
        <v>44580</v>
      </c>
      <c r="C333" s="1" t="n">
        <v>45740</v>
      </c>
      <c r="D333" t="inlineStr">
        <is>
          <t>VÄSTERBOTTENS LÄN</t>
        </is>
      </c>
      <c r="E333" t="inlineStr">
        <is>
          <t>ROBERTSFORS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2590-2022</t>
        </is>
      </c>
      <c r="B334" s="1" t="n">
        <v>44580</v>
      </c>
      <c r="C334" s="1" t="n">
        <v>45740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2708-2022</t>
        </is>
      </c>
      <c r="B335" s="1" t="n">
        <v>44580</v>
      </c>
      <c r="C335" s="1" t="n">
        <v>45740</v>
      </c>
      <c r="D335" t="inlineStr">
        <is>
          <t>VÄSTERBOTTENS LÄN</t>
        </is>
      </c>
      <c r="E335" t="inlineStr">
        <is>
          <t>ROBERTSFORS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2573-2022</t>
        </is>
      </c>
      <c r="B336" s="1" t="n">
        <v>44580</v>
      </c>
      <c r="C336" s="1" t="n">
        <v>45740</v>
      </c>
      <c r="D336" t="inlineStr">
        <is>
          <t>VÄSTERBOTTENS LÄN</t>
        </is>
      </c>
      <c r="E336" t="inlineStr">
        <is>
          <t>ROBERTSFORS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4182-2022</t>
        </is>
      </c>
      <c r="B337" s="1" t="n">
        <v>44588</v>
      </c>
      <c r="C337" s="1" t="n">
        <v>45740</v>
      </c>
      <c r="D337" t="inlineStr">
        <is>
          <t>VÄSTERBOTTENS LÄN</t>
        </is>
      </c>
      <c r="E337" t="inlineStr">
        <is>
          <t>ROBERTSFORS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4328-2022</t>
        </is>
      </c>
      <c r="B338" s="1" t="n">
        <v>44588</v>
      </c>
      <c r="C338" s="1" t="n">
        <v>45740</v>
      </c>
      <c r="D338" t="inlineStr">
        <is>
          <t>VÄSTERBOTTENS LÄN</t>
        </is>
      </c>
      <c r="E338" t="inlineStr">
        <is>
          <t>ROBERTSFORS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4376-2022</t>
        </is>
      </c>
      <c r="B339" s="1" t="n">
        <v>44588</v>
      </c>
      <c r="C339" s="1" t="n">
        <v>45740</v>
      </c>
      <c r="D339" t="inlineStr">
        <is>
          <t>VÄSTERBOTTENS LÄN</t>
        </is>
      </c>
      <c r="E339" t="inlineStr">
        <is>
          <t>ROBERTSFORS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4980-2022</t>
        </is>
      </c>
      <c r="B340" s="1" t="n">
        <v>44593</v>
      </c>
      <c r="C340" s="1" t="n">
        <v>45740</v>
      </c>
      <c r="D340" t="inlineStr">
        <is>
          <t>VÄSTERBOTTENS LÄN</t>
        </is>
      </c>
      <c r="E340" t="inlineStr">
        <is>
          <t>ROBERTSFORS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8460-2022</t>
        </is>
      </c>
      <c r="B341" s="1" t="n">
        <v>44612</v>
      </c>
      <c r="C341" s="1" t="n">
        <v>45740</v>
      </c>
      <c r="D341" t="inlineStr">
        <is>
          <t>VÄSTERBOTTENS LÄN</t>
        </is>
      </c>
      <c r="E341" t="inlineStr">
        <is>
          <t>ROBERTSFORS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8457-2022</t>
        </is>
      </c>
      <c r="B342" s="1" t="n">
        <v>44612</v>
      </c>
      <c r="C342" s="1" t="n">
        <v>45740</v>
      </c>
      <c r="D342" t="inlineStr">
        <is>
          <t>VÄSTERBOTTENS LÄN</t>
        </is>
      </c>
      <c r="E342" t="inlineStr">
        <is>
          <t>ROBERTSFORS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8461-2022</t>
        </is>
      </c>
      <c r="B343" s="1" t="n">
        <v>44612</v>
      </c>
      <c r="C343" s="1" t="n">
        <v>45740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8459-2022</t>
        </is>
      </c>
      <c r="B344" s="1" t="n">
        <v>44612</v>
      </c>
      <c r="C344" s="1" t="n">
        <v>45740</v>
      </c>
      <c r="D344" t="inlineStr">
        <is>
          <t>VÄSTERBOTTENS LÄN</t>
        </is>
      </c>
      <c r="E344" t="inlineStr">
        <is>
          <t>ROBERTSFORS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8458-2022</t>
        </is>
      </c>
      <c r="B345" s="1" t="n">
        <v>44612</v>
      </c>
      <c r="C345" s="1" t="n">
        <v>45740</v>
      </c>
      <c r="D345" t="inlineStr">
        <is>
          <t>VÄSTERBOTTENS LÄN</t>
        </is>
      </c>
      <c r="E345" t="inlineStr">
        <is>
          <t>ROBERTSFORS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8641-2022</t>
        </is>
      </c>
      <c r="B346" s="1" t="n">
        <v>44613</v>
      </c>
      <c r="C346" s="1" t="n">
        <v>45740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9192-2022</t>
        </is>
      </c>
      <c r="B347" s="1" t="n">
        <v>44615</v>
      </c>
      <c r="C347" s="1" t="n">
        <v>45740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9477-2022</t>
        </is>
      </c>
      <c r="B348" s="1" t="n">
        <v>44616</v>
      </c>
      <c r="C348" s="1" t="n">
        <v>45740</v>
      </c>
      <c r="D348" t="inlineStr">
        <is>
          <t>VÄSTERBOTTENS LÄN</t>
        </is>
      </c>
      <c r="E348" t="inlineStr">
        <is>
          <t>ROBERTSFORS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9479-2022</t>
        </is>
      </c>
      <c r="B349" s="1" t="n">
        <v>44616</v>
      </c>
      <c r="C349" s="1" t="n">
        <v>45740</v>
      </c>
      <c r="D349" t="inlineStr">
        <is>
          <t>VÄSTERBOTTENS LÄN</t>
        </is>
      </c>
      <c r="E349" t="inlineStr">
        <is>
          <t>ROBERTSFORS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10173-2022</t>
        </is>
      </c>
      <c r="B350" s="1" t="n">
        <v>44622</v>
      </c>
      <c r="C350" s="1" t="n">
        <v>45740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10179-2022</t>
        </is>
      </c>
      <c r="B351" s="1" t="n">
        <v>44622</v>
      </c>
      <c r="C351" s="1" t="n">
        <v>45740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10906-2022</t>
        </is>
      </c>
      <c r="B352" s="1" t="n">
        <v>44627</v>
      </c>
      <c r="C352" s="1" t="n">
        <v>45740</v>
      </c>
      <c r="D352" t="inlineStr">
        <is>
          <t>VÄSTERBOTTENS LÄN</t>
        </is>
      </c>
      <c r="E352" t="inlineStr">
        <is>
          <t>ROBERTSFORS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10907-2022</t>
        </is>
      </c>
      <c r="B353" s="1" t="n">
        <v>44627</v>
      </c>
      <c r="C353" s="1" t="n">
        <v>45740</v>
      </c>
      <c r="D353" t="inlineStr">
        <is>
          <t>VÄSTERBOTTENS LÄN</t>
        </is>
      </c>
      <c r="E353" t="inlineStr">
        <is>
          <t>ROBERTSFORS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12013-2022</t>
        </is>
      </c>
      <c r="B354" s="1" t="n">
        <v>44635</v>
      </c>
      <c r="C354" s="1" t="n">
        <v>45740</v>
      </c>
      <c r="D354" t="inlineStr">
        <is>
          <t>VÄSTERBOTTENS LÄN</t>
        </is>
      </c>
      <c r="E354" t="inlineStr">
        <is>
          <t>ROBERTSFORS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12622-2022</t>
        </is>
      </c>
      <c r="B355" s="1" t="n">
        <v>44641</v>
      </c>
      <c r="C355" s="1" t="n">
        <v>45740</v>
      </c>
      <c r="D355" t="inlineStr">
        <is>
          <t>VÄSTERBOTTENS LÄN</t>
        </is>
      </c>
      <c r="E355" t="inlineStr">
        <is>
          <t>ROBERTSFORS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12629-2022</t>
        </is>
      </c>
      <c r="B356" s="1" t="n">
        <v>44641</v>
      </c>
      <c r="C356" s="1" t="n">
        <v>45740</v>
      </c>
      <c r="D356" t="inlineStr">
        <is>
          <t>VÄSTERBOTTENS LÄN</t>
        </is>
      </c>
      <c r="E356" t="inlineStr">
        <is>
          <t>ROBERTSFORS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13329-2022</t>
        </is>
      </c>
      <c r="B357" s="1" t="n">
        <v>44644</v>
      </c>
      <c r="C357" s="1" t="n">
        <v>45740</v>
      </c>
      <c r="D357" t="inlineStr">
        <is>
          <t>VÄSTERBOTTENS LÄN</t>
        </is>
      </c>
      <c r="E357" t="inlineStr">
        <is>
          <t>ROBERTSFORS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13369-2022</t>
        </is>
      </c>
      <c r="B358" s="1" t="n">
        <v>44645</v>
      </c>
      <c r="C358" s="1" t="n">
        <v>45740</v>
      </c>
      <c r="D358" t="inlineStr">
        <is>
          <t>VÄSTERBOTTENS LÄN</t>
        </is>
      </c>
      <c r="E358" t="inlineStr">
        <is>
          <t>ROBERTSFORS</t>
        </is>
      </c>
      <c r="G358" t="n">
        <v>13.1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15111-2022</t>
        </is>
      </c>
      <c r="B359" s="1" t="n">
        <v>44658</v>
      </c>
      <c r="C359" s="1" t="n">
        <v>45740</v>
      </c>
      <c r="D359" t="inlineStr">
        <is>
          <t>VÄSTERBOTTENS LÄN</t>
        </is>
      </c>
      <c r="E359" t="inlineStr">
        <is>
          <t>ROBERTSFORS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15644-2022</t>
        </is>
      </c>
      <c r="B360" s="1" t="n">
        <v>44663</v>
      </c>
      <c r="C360" s="1" t="n">
        <v>45740</v>
      </c>
      <c r="D360" t="inlineStr">
        <is>
          <t>VÄSTERBOTTENS LÄN</t>
        </is>
      </c>
      <c r="E360" t="inlineStr">
        <is>
          <t>ROBERTSFORS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17139-2022</t>
        </is>
      </c>
      <c r="B361" s="1" t="n">
        <v>44677</v>
      </c>
      <c r="C361" s="1" t="n">
        <v>45740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17848-2022</t>
        </is>
      </c>
      <c r="B362" s="1" t="n">
        <v>44683</v>
      </c>
      <c r="C362" s="1" t="n">
        <v>45740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17997-2022</t>
        </is>
      </c>
      <c r="B363" s="1" t="n">
        <v>44683</v>
      </c>
      <c r="C363" s="1" t="n">
        <v>45740</v>
      </c>
      <c r="D363" t="inlineStr">
        <is>
          <t>VÄSTERBOTTENS LÄN</t>
        </is>
      </c>
      <c r="E363" t="inlineStr">
        <is>
          <t>ROBERTSFORS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19366-2022</t>
        </is>
      </c>
      <c r="B364" s="1" t="n">
        <v>44692</v>
      </c>
      <c r="C364" s="1" t="n">
        <v>45740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19962-2022</t>
        </is>
      </c>
      <c r="B365" s="1" t="n">
        <v>44697</v>
      </c>
      <c r="C365" s="1" t="n">
        <v>45740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20519-2022</t>
        </is>
      </c>
      <c r="B366" s="1" t="n">
        <v>44699</v>
      </c>
      <c r="C366" s="1" t="n">
        <v>45740</v>
      </c>
      <c r="D366" t="inlineStr">
        <is>
          <t>VÄSTERBOTTENS LÄN</t>
        </is>
      </c>
      <c r="E366" t="inlineStr">
        <is>
          <t>ROBERTSFORS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20944-2022</t>
        </is>
      </c>
      <c r="B367" s="1" t="n">
        <v>44702</v>
      </c>
      <c r="C367" s="1" t="n">
        <v>45740</v>
      </c>
      <c r="D367" t="inlineStr">
        <is>
          <t>VÄSTERBOTTENS LÄN</t>
        </is>
      </c>
      <c r="E367" t="inlineStr">
        <is>
          <t>ROBERTSFORS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22074-2022</t>
        </is>
      </c>
      <c r="B368" s="1" t="n">
        <v>44712</v>
      </c>
      <c r="C368" s="1" t="n">
        <v>45740</v>
      </c>
      <c r="D368" t="inlineStr">
        <is>
          <t>VÄSTERBOTTENS LÄN</t>
        </is>
      </c>
      <c r="E368" t="inlineStr">
        <is>
          <t>ROBERTSFORS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23505-2022</t>
        </is>
      </c>
      <c r="B369" s="1" t="n">
        <v>44721</v>
      </c>
      <c r="C369" s="1" t="n">
        <v>45740</v>
      </c>
      <c r="D369" t="inlineStr">
        <is>
          <t>VÄSTERBOTTENS LÄN</t>
        </is>
      </c>
      <c r="E369" t="inlineStr">
        <is>
          <t>ROBERTSFORS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24241-2022</t>
        </is>
      </c>
      <c r="B370" s="1" t="n">
        <v>44725</v>
      </c>
      <c r="C370" s="1" t="n">
        <v>45740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25216-2022</t>
        </is>
      </c>
      <c r="B371" s="1" t="n">
        <v>44729</v>
      </c>
      <c r="C371" s="1" t="n">
        <v>45740</v>
      </c>
      <c r="D371" t="inlineStr">
        <is>
          <t>VÄSTERBOTTENS LÄN</t>
        </is>
      </c>
      <c r="E371" t="inlineStr">
        <is>
          <t>ROBERTSFORS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25575-2022</t>
        </is>
      </c>
      <c r="B372" s="1" t="n">
        <v>44732</v>
      </c>
      <c r="C372" s="1" t="n">
        <v>45740</v>
      </c>
      <c r="D372" t="inlineStr">
        <is>
          <t>VÄSTERBOTTENS LÄN</t>
        </is>
      </c>
      <c r="E372" t="inlineStr">
        <is>
          <t>ROBERTSFORS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25580-2022</t>
        </is>
      </c>
      <c r="B373" s="1" t="n">
        <v>44732</v>
      </c>
      <c r="C373" s="1" t="n">
        <v>45740</v>
      </c>
      <c r="D373" t="inlineStr">
        <is>
          <t>VÄSTERBOTTENS LÄN</t>
        </is>
      </c>
      <c r="E373" t="inlineStr">
        <is>
          <t>ROBERTSFORS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25904-2022</t>
        </is>
      </c>
      <c r="B374" s="1" t="n">
        <v>44734</v>
      </c>
      <c r="C374" s="1" t="n">
        <v>45740</v>
      </c>
      <c r="D374" t="inlineStr">
        <is>
          <t>VÄSTERBOTTENS LÄN</t>
        </is>
      </c>
      <c r="E374" t="inlineStr">
        <is>
          <t>ROBERTSFORS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26038-2022</t>
        </is>
      </c>
      <c r="B375" s="1" t="n">
        <v>44734</v>
      </c>
      <c r="C375" s="1" t="n">
        <v>45740</v>
      </c>
      <c r="D375" t="inlineStr">
        <is>
          <t>VÄSTERBOTTENS LÄN</t>
        </is>
      </c>
      <c r="E375" t="inlineStr">
        <is>
          <t>ROBERTSFORS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26018-2022</t>
        </is>
      </c>
      <c r="B376" s="1" t="n">
        <v>44734</v>
      </c>
      <c r="C376" s="1" t="n">
        <v>45740</v>
      </c>
      <c r="D376" t="inlineStr">
        <is>
          <t>VÄSTERBOTTENS LÄN</t>
        </is>
      </c>
      <c r="E376" t="inlineStr">
        <is>
          <t>ROBERTSFORS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26048-2022</t>
        </is>
      </c>
      <c r="B377" s="1" t="n">
        <v>44734</v>
      </c>
      <c r="C377" s="1" t="n">
        <v>45740</v>
      </c>
      <c r="D377" t="inlineStr">
        <is>
          <t>VÄSTERBOTTENS LÄN</t>
        </is>
      </c>
      <c r="E377" t="inlineStr">
        <is>
          <t>ROBERTSFORS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26231-2022</t>
        </is>
      </c>
      <c r="B378" s="1" t="n">
        <v>44735</v>
      </c>
      <c r="C378" s="1" t="n">
        <v>45740</v>
      </c>
      <c r="D378" t="inlineStr">
        <is>
          <t>VÄSTERBOTTENS LÄN</t>
        </is>
      </c>
      <c r="E378" t="inlineStr">
        <is>
          <t>ROBERTSFORS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27166-2022</t>
        </is>
      </c>
      <c r="B379" s="1" t="n">
        <v>44741</v>
      </c>
      <c r="C379" s="1" t="n">
        <v>45740</v>
      </c>
      <c r="D379" t="inlineStr">
        <is>
          <t>VÄSTERBOTTENS LÄN</t>
        </is>
      </c>
      <c r="E379" t="inlineStr">
        <is>
          <t>ROBERTSFORS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27556-2022</t>
        </is>
      </c>
      <c r="B380" s="1" t="n">
        <v>44743</v>
      </c>
      <c r="C380" s="1" t="n">
        <v>45740</v>
      </c>
      <c r="D380" t="inlineStr">
        <is>
          <t>VÄSTERBOTTENS LÄN</t>
        </is>
      </c>
      <c r="E380" t="inlineStr">
        <is>
          <t>ROBERTSFORS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28135-2022</t>
        </is>
      </c>
      <c r="B381" s="1" t="n">
        <v>44746</v>
      </c>
      <c r="C381" s="1" t="n">
        <v>45740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31357-2022</t>
        </is>
      </c>
      <c r="B382" s="1" t="n">
        <v>44774</v>
      </c>
      <c r="C382" s="1" t="n">
        <v>45740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31396-2022</t>
        </is>
      </c>
      <c r="B383" s="1" t="n">
        <v>44774</v>
      </c>
      <c r="C383" s="1" t="n">
        <v>45740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31596-2022</t>
        </is>
      </c>
      <c r="B384" s="1" t="n">
        <v>44775</v>
      </c>
      <c r="C384" s="1" t="n">
        <v>45740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31916-2022</t>
        </is>
      </c>
      <c r="B385" s="1" t="n">
        <v>44777</v>
      </c>
      <c r="C385" s="1" t="n">
        <v>45740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32296-2022</t>
        </is>
      </c>
      <c r="B386" s="1" t="n">
        <v>44781</v>
      </c>
      <c r="C386" s="1" t="n">
        <v>45740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32276-2022</t>
        </is>
      </c>
      <c r="B387" s="1" t="n">
        <v>44781</v>
      </c>
      <c r="C387" s="1" t="n">
        <v>45740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32581-2022</t>
        </is>
      </c>
      <c r="B388" s="1" t="n">
        <v>44783</v>
      </c>
      <c r="C388" s="1" t="n">
        <v>45740</v>
      </c>
      <c r="D388" t="inlineStr">
        <is>
          <t>VÄSTERBOTTENS LÄN</t>
        </is>
      </c>
      <c r="E388" t="inlineStr">
        <is>
          <t>ROBERTSFORS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32942-2022</t>
        </is>
      </c>
      <c r="B389" s="1" t="n">
        <v>44784</v>
      </c>
      <c r="C389" s="1" t="n">
        <v>45740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33584-2022</t>
        </is>
      </c>
      <c r="B390" s="1" t="n">
        <v>44789</v>
      </c>
      <c r="C390" s="1" t="n">
        <v>45740</v>
      </c>
      <c r="D390" t="inlineStr">
        <is>
          <t>VÄSTERBOTTENS LÄN</t>
        </is>
      </c>
      <c r="E390" t="inlineStr">
        <is>
          <t>ROBERTSFORS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33916-2022</t>
        </is>
      </c>
      <c r="B391" s="1" t="n">
        <v>44790</v>
      </c>
      <c r="C391" s="1" t="n">
        <v>45740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14.5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34587-2022</t>
        </is>
      </c>
      <c r="B392" s="1" t="n">
        <v>44795</v>
      </c>
      <c r="C392" s="1" t="n">
        <v>45740</v>
      </c>
      <c r="D392" t="inlineStr">
        <is>
          <t>VÄSTERBOTTENS LÄN</t>
        </is>
      </c>
      <c r="E392" t="inlineStr">
        <is>
          <t>ROBERTSFORS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35125-2022</t>
        </is>
      </c>
      <c r="B393" s="1" t="n">
        <v>44797</v>
      </c>
      <c r="C393" s="1" t="n">
        <v>45740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35147-2022</t>
        </is>
      </c>
      <c r="B394" s="1" t="n">
        <v>44797</v>
      </c>
      <c r="C394" s="1" t="n">
        <v>45740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35432-2022</t>
        </is>
      </c>
      <c r="B395" s="1" t="n">
        <v>44798</v>
      </c>
      <c r="C395" s="1" t="n">
        <v>45740</v>
      </c>
      <c r="D395" t="inlineStr">
        <is>
          <t>VÄSTERBOTTENS LÄN</t>
        </is>
      </c>
      <c r="E395" t="inlineStr">
        <is>
          <t>ROBERTSFORS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36167-2022</t>
        </is>
      </c>
      <c r="B396" s="1" t="n">
        <v>44803</v>
      </c>
      <c r="C396" s="1" t="n">
        <v>45740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36132-2022</t>
        </is>
      </c>
      <c r="B397" s="1" t="n">
        <v>44803</v>
      </c>
      <c r="C397" s="1" t="n">
        <v>45740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36467-2022</t>
        </is>
      </c>
      <c r="B398" s="1" t="n">
        <v>44804</v>
      </c>
      <c r="C398" s="1" t="n">
        <v>45740</v>
      </c>
      <c r="D398" t="inlineStr">
        <is>
          <t>VÄSTERBOTTENS LÄN</t>
        </is>
      </c>
      <c r="E398" t="inlineStr">
        <is>
          <t>ROBERTSFORS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36771-2022</t>
        </is>
      </c>
      <c r="B399" s="1" t="n">
        <v>44805</v>
      </c>
      <c r="C399" s="1" t="n">
        <v>45740</v>
      </c>
      <c r="D399" t="inlineStr">
        <is>
          <t>VÄSTERBOTTENS LÄN</t>
        </is>
      </c>
      <c r="E399" t="inlineStr">
        <is>
          <t>ROBERTSFORS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37805-2022</t>
        </is>
      </c>
      <c r="B400" s="1" t="n">
        <v>44810</v>
      </c>
      <c r="C400" s="1" t="n">
        <v>45740</v>
      </c>
      <c r="D400" t="inlineStr">
        <is>
          <t>VÄSTERBOTTENS LÄN</t>
        </is>
      </c>
      <c r="E400" t="inlineStr">
        <is>
          <t>ROBERTSFORS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38045-2022</t>
        </is>
      </c>
      <c r="B401" s="1" t="n">
        <v>44811</v>
      </c>
      <c r="C401" s="1" t="n">
        <v>45740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38092-2022</t>
        </is>
      </c>
      <c r="B402" s="1" t="n">
        <v>44812</v>
      </c>
      <c r="C402" s="1" t="n">
        <v>45740</v>
      </c>
      <c r="D402" t="inlineStr">
        <is>
          <t>VÄSTERBOTTENS LÄN</t>
        </is>
      </c>
      <c r="E402" t="inlineStr">
        <is>
          <t>ROBERTSFORS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38187-2022</t>
        </is>
      </c>
      <c r="B403" s="1" t="n">
        <v>44812</v>
      </c>
      <c r="C403" s="1" t="n">
        <v>45740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38218-2022</t>
        </is>
      </c>
      <c r="B404" s="1" t="n">
        <v>44812</v>
      </c>
      <c r="C404" s="1" t="n">
        <v>45740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39283-2022</t>
        </is>
      </c>
      <c r="B405" s="1" t="n">
        <v>44817</v>
      </c>
      <c r="C405" s="1" t="n">
        <v>45740</v>
      </c>
      <c r="D405" t="inlineStr">
        <is>
          <t>VÄSTERBOTTENS LÄN</t>
        </is>
      </c>
      <c r="E405" t="inlineStr">
        <is>
          <t>ROBERTSFORS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39836-2022</t>
        </is>
      </c>
      <c r="B406" s="1" t="n">
        <v>44819</v>
      </c>
      <c r="C406" s="1" t="n">
        <v>45740</v>
      </c>
      <c r="D406" t="inlineStr">
        <is>
          <t>VÄSTERBOTTENS LÄN</t>
        </is>
      </c>
      <c r="E406" t="inlineStr">
        <is>
          <t>ROBERTSFORS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39955-2022</t>
        </is>
      </c>
      <c r="B407" s="1" t="n">
        <v>44820</v>
      </c>
      <c r="C407" s="1" t="n">
        <v>45740</v>
      </c>
      <c r="D407" t="inlineStr">
        <is>
          <t>VÄSTERBOTTENS LÄN</t>
        </is>
      </c>
      <c r="E407" t="inlineStr">
        <is>
          <t>ROBERTSFORS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40600-2022</t>
        </is>
      </c>
      <c r="B408" s="1" t="n">
        <v>44823</v>
      </c>
      <c r="C408" s="1" t="n">
        <v>45740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41047-2022</t>
        </is>
      </c>
      <c r="B409" s="1" t="n">
        <v>44824</v>
      </c>
      <c r="C409" s="1" t="n">
        <v>45740</v>
      </c>
      <c r="D409" t="inlineStr">
        <is>
          <t>VÄSTERBOTTENS LÄN</t>
        </is>
      </c>
      <c r="E409" t="inlineStr">
        <is>
          <t>ROBERTSFORS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41252-2022</t>
        </is>
      </c>
      <c r="B410" s="1" t="n">
        <v>44826</v>
      </c>
      <c r="C410" s="1" t="n">
        <v>45740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41645-2022</t>
        </is>
      </c>
      <c r="B411" s="1" t="n">
        <v>44827</v>
      </c>
      <c r="C411" s="1" t="n">
        <v>45740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42802-2022</t>
        </is>
      </c>
      <c r="B412" s="1" t="n">
        <v>44832</v>
      </c>
      <c r="C412" s="1" t="n">
        <v>45740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43218-2022</t>
        </is>
      </c>
      <c r="B413" s="1" t="n">
        <v>44834</v>
      </c>
      <c r="C413" s="1" t="n">
        <v>45740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43354-2022</t>
        </is>
      </c>
      <c r="B414" s="1" t="n">
        <v>44834</v>
      </c>
      <c r="C414" s="1" t="n">
        <v>45740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43939-2022</t>
        </is>
      </c>
      <c r="B415" s="1" t="n">
        <v>44838</v>
      </c>
      <c r="C415" s="1" t="n">
        <v>45740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44025-2022</t>
        </is>
      </c>
      <c r="B416" s="1" t="n">
        <v>44839</v>
      </c>
      <c r="C416" s="1" t="n">
        <v>45740</v>
      </c>
      <c r="D416" t="inlineStr">
        <is>
          <t>VÄSTERBOTTENS LÄN</t>
        </is>
      </c>
      <c r="E416" t="inlineStr">
        <is>
          <t>ROBERTSFORS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44244-2022</t>
        </is>
      </c>
      <c r="B417" s="1" t="n">
        <v>44839</v>
      </c>
      <c r="C417" s="1" t="n">
        <v>45740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45022-2022</t>
        </is>
      </c>
      <c r="B418" s="1" t="n">
        <v>44841</v>
      </c>
      <c r="C418" s="1" t="n">
        <v>45740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44822-2022</t>
        </is>
      </c>
      <c r="B419" s="1" t="n">
        <v>44841</v>
      </c>
      <c r="C419" s="1" t="n">
        <v>45740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45191-2022</t>
        </is>
      </c>
      <c r="B420" s="1" t="n">
        <v>44844</v>
      </c>
      <c r="C420" s="1" t="n">
        <v>45740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45175-2022</t>
        </is>
      </c>
      <c r="B421" s="1" t="n">
        <v>44844</v>
      </c>
      <c r="C421" s="1" t="n">
        <v>45740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45377-2022</t>
        </is>
      </c>
      <c r="B422" s="1" t="n">
        <v>44844</v>
      </c>
      <c r="C422" s="1" t="n">
        <v>45740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47043-2022</t>
        </is>
      </c>
      <c r="B423" s="1" t="n">
        <v>44846</v>
      </c>
      <c r="C423" s="1" t="n">
        <v>45740</v>
      </c>
      <c r="D423" t="inlineStr">
        <is>
          <t>VÄSTERBOTTENS LÄN</t>
        </is>
      </c>
      <c r="E423" t="inlineStr">
        <is>
          <t>ROBERTSFORS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46731-2022</t>
        </is>
      </c>
      <c r="B424" s="1" t="n">
        <v>44851</v>
      </c>
      <c r="C424" s="1" t="n">
        <v>45740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47394-2022</t>
        </is>
      </c>
      <c r="B425" s="1" t="n">
        <v>44852</v>
      </c>
      <c r="C425" s="1" t="n">
        <v>45740</v>
      </c>
      <c r="D425" t="inlineStr">
        <is>
          <t>VÄSTERBOTTENS LÄN</t>
        </is>
      </c>
      <c r="E425" t="inlineStr">
        <is>
          <t>ROBERTSFORS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47936-2022</t>
        </is>
      </c>
      <c r="B426" s="1" t="n">
        <v>44853</v>
      </c>
      <c r="C426" s="1" t="n">
        <v>45740</v>
      </c>
      <c r="D426" t="inlineStr">
        <is>
          <t>VÄSTERBOTTENS LÄN</t>
        </is>
      </c>
      <c r="E426" t="inlineStr">
        <is>
          <t>ROBERTSFORS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48006-2022</t>
        </is>
      </c>
      <c r="B427" s="1" t="n">
        <v>44853</v>
      </c>
      <c r="C427" s="1" t="n">
        <v>45740</v>
      </c>
      <c r="D427" t="inlineStr">
        <is>
          <t>VÄSTERBOTTENS LÄN</t>
        </is>
      </c>
      <c r="E427" t="inlineStr">
        <is>
          <t>ROBERTSFORS</t>
        </is>
      </c>
      <c r="G427" t="n">
        <v>15.8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47776-2022</t>
        </is>
      </c>
      <c r="B428" s="1" t="n">
        <v>44855</v>
      </c>
      <c r="C428" s="1" t="n">
        <v>45740</v>
      </c>
      <c r="D428" t="inlineStr">
        <is>
          <t>VÄSTERBOTTENS LÄN</t>
        </is>
      </c>
      <c r="E428" t="inlineStr">
        <is>
          <t>ROBERTSFORS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48024-2022</t>
        </is>
      </c>
      <c r="B429" s="1" t="n">
        <v>44855</v>
      </c>
      <c r="C429" s="1" t="n">
        <v>45740</v>
      </c>
      <c r="D429" t="inlineStr">
        <is>
          <t>VÄSTERBOTTENS LÄN</t>
        </is>
      </c>
      <c r="E429" t="inlineStr">
        <is>
          <t>ROBERTSFORS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48432-2022</t>
        </is>
      </c>
      <c r="B430" s="1" t="n">
        <v>44858</v>
      </c>
      <c r="C430" s="1" t="n">
        <v>45740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49017-2022</t>
        </is>
      </c>
      <c r="B431" s="1" t="n">
        <v>44860</v>
      </c>
      <c r="C431" s="1" t="n">
        <v>45740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49039-2022</t>
        </is>
      </c>
      <c r="B432" s="1" t="n">
        <v>44860</v>
      </c>
      <c r="C432" s="1" t="n">
        <v>45740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49146-2022</t>
        </is>
      </c>
      <c r="B433" s="1" t="n">
        <v>44860</v>
      </c>
      <c r="C433" s="1" t="n">
        <v>45740</v>
      </c>
      <c r="D433" t="inlineStr">
        <is>
          <t>VÄSTERBOTTENS LÄN</t>
        </is>
      </c>
      <c r="E433" t="inlineStr">
        <is>
          <t>ROBERTSFORS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49597-2022</t>
        </is>
      </c>
      <c r="B434" s="1" t="n">
        <v>44862</v>
      </c>
      <c r="C434" s="1" t="n">
        <v>45740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49667-2022</t>
        </is>
      </c>
      <c r="B435" s="1" t="n">
        <v>44862</v>
      </c>
      <c r="C435" s="1" t="n">
        <v>45740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51104-2022</t>
        </is>
      </c>
      <c r="B436" s="1" t="n">
        <v>44865</v>
      </c>
      <c r="C436" s="1" t="n">
        <v>45740</v>
      </c>
      <c r="D436" t="inlineStr">
        <is>
          <t>VÄSTERBOTTENS LÄN</t>
        </is>
      </c>
      <c r="E436" t="inlineStr">
        <is>
          <t>ROBERTSFORS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51035-2022</t>
        </is>
      </c>
      <c r="B437" s="1" t="n">
        <v>44868</v>
      </c>
      <c r="C437" s="1" t="n">
        <v>45740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51107-2022</t>
        </is>
      </c>
      <c r="B438" s="1" t="n">
        <v>44868</v>
      </c>
      <c r="C438" s="1" t="n">
        <v>45740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51225-2022</t>
        </is>
      </c>
      <c r="B439" s="1" t="n">
        <v>44868</v>
      </c>
      <c r="C439" s="1" t="n">
        <v>45740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51588-2022</t>
        </is>
      </c>
      <c r="B440" s="1" t="n">
        <v>44871</v>
      </c>
      <c r="C440" s="1" t="n">
        <v>45740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11.9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53984-2022</t>
        </is>
      </c>
      <c r="B441" s="1" t="n">
        <v>44876</v>
      </c>
      <c r="C441" s="1" t="n">
        <v>45740</v>
      </c>
      <c r="D441" t="inlineStr">
        <is>
          <t>VÄSTERBOTTENS LÄN</t>
        </is>
      </c>
      <c r="E441" t="inlineStr">
        <is>
          <t>ROBERTSFORS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53686-2022</t>
        </is>
      </c>
      <c r="B442" s="1" t="n">
        <v>44880</v>
      </c>
      <c r="C442" s="1" t="n">
        <v>45740</v>
      </c>
      <c r="D442" t="inlineStr">
        <is>
          <t>VÄSTERBOTTENS LÄN</t>
        </is>
      </c>
      <c r="E442" t="inlineStr">
        <is>
          <t>ROBERTSFORS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53922-2022</t>
        </is>
      </c>
      <c r="B443" s="1" t="n">
        <v>44880</v>
      </c>
      <c r="C443" s="1" t="n">
        <v>45740</v>
      </c>
      <c r="D443" t="inlineStr">
        <is>
          <t>VÄSTERBOTTENS LÄN</t>
        </is>
      </c>
      <c r="E443" t="inlineStr">
        <is>
          <t>ROBERTSFORS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54606-2022</t>
        </is>
      </c>
      <c r="B444" s="1" t="n">
        <v>44880</v>
      </c>
      <c r="C444" s="1" t="n">
        <v>45740</v>
      </c>
      <c r="D444" t="inlineStr">
        <is>
          <t>VÄSTERBOTTENS LÄN</t>
        </is>
      </c>
      <c r="E444" t="inlineStr">
        <is>
          <t>ROBERTSFORS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55471-2022</t>
        </is>
      </c>
      <c r="B445" s="1" t="n">
        <v>44883</v>
      </c>
      <c r="C445" s="1" t="n">
        <v>45740</v>
      </c>
      <c r="D445" t="inlineStr">
        <is>
          <t>VÄSTERBOTTENS LÄN</t>
        </is>
      </c>
      <c r="E445" t="inlineStr">
        <is>
          <t>ROBERTSFORS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55460-2022</t>
        </is>
      </c>
      <c r="B446" s="1" t="n">
        <v>44883</v>
      </c>
      <c r="C446" s="1" t="n">
        <v>45740</v>
      </c>
      <c r="D446" t="inlineStr">
        <is>
          <t>VÄSTERBOTTENS LÄN</t>
        </is>
      </c>
      <c r="E446" t="inlineStr">
        <is>
          <t>ROBERTSFORS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57625-2022</t>
        </is>
      </c>
      <c r="B447" s="1" t="n">
        <v>44890</v>
      </c>
      <c r="C447" s="1" t="n">
        <v>45740</v>
      </c>
      <c r="D447" t="inlineStr">
        <is>
          <t>VÄSTERBOTTENS LÄN</t>
        </is>
      </c>
      <c r="E447" t="inlineStr">
        <is>
          <t>ROBERTSFORS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58604-2022</t>
        </is>
      </c>
      <c r="B448" s="1" t="n">
        <v>44894</v>
      </c>
      <c r="C448" s="1" t="n">
        <v>45740</v>
      </c>
      <c r="D448" t="inlineStr">
        <is>
          <t>VÄSTERBOTTENS LÄN</t>
        </is>
      </c>
      <c r="E448" t="inlineStr">
        <is>
          <t>ROBERTSFORS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58790-2022</t>
        </is>
      </c>
      <c r="B449" s="1" t="n">
        <v>44895</v>
      </c>
      <c r="C449" s="1" t="n">
        <v>45740</v>
      </c>
      <c r="D449" t="inlineStr">
        <is>
          <t>VÄSTERBOTTENS LÄN</t>
        </is>
      </c>
      <c r="E449" t="inlineStr">
        <is>
          <t>ROBERTSFORS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58898-2022</t>
        </is>
      </c>
      <c r="B450" s="1" t="n">
        <v>44896</v>
      </c>
      <c r="C450" s="1" t="n">
        <v>45740</v>
      </c>
      <c r="D450" t="inlineStr">
        <is>
          <t>VÄSTERBOTTENS LÄN</t>
        </is>
      </c>
      <c r="E450" t="inlineStr">
        <is>
          <t>ROBERTSFORS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58073-2022</t>
        </is>
      </c>
      <c r="B451" s="1" t="n">
        <v>44900</v>
      </c>
      <c r="C451" s="1" t="n">
        <v>45740</v>
      </c>
      <c r="D451" t="inlineStr">
        <is>
          <t>VÄSTERBOTTENS LÄN</t>
        </is>
      </c>
      <c r="E451" t="inlineStr">
        <is>
          <t>ROBERTSFORS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58426-2022</t>
        </is>
      </c>
      <c r="B452" s="1" t="n">
        <v>44901</v>
      </c>
      <c r="C452" s="1" t="n">
        <v>45740</v>
      </c>
      <c r="D452" t="inlineStr">
        <is>
          <t>VÄSTERBOTTENS LÄN</t>
        </is>
      </c>
      <c r="E452" t="inlineStr">
        <is>
          <t>ROBERTSFORS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59877-2022</t>
        </is>
      </c>
      <c r="B453" s="1" t="n">
        <v>44901</v>
      </c>
      <c r="C453" s="1" t="n">
        <v>45740</v>
      </c>
      <c r="D453" t="inlineStr">
        <is>
          <t>VÄSTERBOTTENS LÄN</t>
        </is>
      </c>
      <c r="E453" t="inlineStr">
        <is>
          <t>ROBERTSFORS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59833-2022</t>
        </is>
      </c>
      <c r="B454" s="1" t="n">
        <v>44901</v>
      </c>
      <c r="C454" s="1" t="n">
        <v>45740</v>
      </c>
      <c r="D454" t="inlineStr">
        <is>
          <t>VÄSTERBOTTENS LÄN</t>
        </is>
      </c>
      <c r="E454" t="inlineStr">
        <is>
          <t>ROBERTSFORS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59967-2022</t>
        </is>
      </c>
      <c r="B455" s="1" t="n">
        <v>44901</v>
      </c>
      <c r="C455" s="1" t="n">
        <v>45740</v>
      </c>
      <c r="D455" t="inlineStr">
        <is>
          <t>VÄSTERBOTTENS LÄN</t>
        </is>
      </c>
      <c r="E455" t="inlineStr">
        <is>
          <t>ROBERTSFORS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58715-2022</t>
        </is>
      </c>
      <c r="B456" s="1" t="n">
        <v>44902</v>
      </c>
      <c r="C456" s="1" t="n">
        <v>45740</v>
      </c>
      <c r="D456" t="inlineStr">
        <is>
          <t>VÄSTERBOTTENS LÄN</t>
        </is>
      </c>
      <c r="E456" t="inlineStr">
        <is>
          <t>ROBERTSFORS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59256-2022</t>
        </is>
      </c>
      <c r="B457" s="1" t="n">
        <v>44904</v>
      </c>
      <c r="C457" s="1" t="n">
        <v>45740</v>
      </c>
      <c r="D457" t="inlineStr">
        <is>
          <t>VÄSTERBOTTENS LÄN</t>
        </is>
      </c>
      <c r="E457" t="inlineStr">
        <is>
          <t>ROBERTSFORS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60548-2022</t>
        </is>
      </c>
      <c r="B458" s="1" t="n">
        <v>44904</v>
      </c>
      <c r="C458" s="1" t="n">
        <v>45740</v>
      </c>
      <c r="D458" t="inlineStr">
        <is>
          <t>VÄSTERBOTTENS LÄN</t>
        </is>
      </c>
      <c r="E458" t="inlineStr">
        <is>
          <t>ROBERTSFORS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59629-2022</t>
        </is>
      </c>
      <c r="B459" s="1" t="n">
        <v>44907</v>
      </c>
      <c r="C459" s="1" t="n">
        <v>45740</v>
      </c>
      <c r="D459" t="inlineStr">
        <is>
          <t>VÄSTERBOTTENS LÄN</t>
        </is>
      </c>
      <c r="E459" t="inlineStr">
        <is>
          <t>ROBERTSFORS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60172-2022</t>
        </is>
      </c>
      <c r="B460" s="1" t="n">
        <v>44909</v>
      </c>
      <c r="C460" s="1" t="n">
        <v>45740</v>
      </c>
      <c r="D460" t="inlineStr">
        <is>
          <t>VÄSTERBOTTENS LÄN</t>
        </is>
      </c>
      <c r="E460" t="inlineStr">
        <is>
          <t>ROBERTSFORS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60510-2022</t>
        </is>
      </c>
      <c r="B461" s="1" t="n">
        <v>44911</v>
      </c>
      <c r="C461" s="1" t="n">
        <v>45740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Sveaskog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60738-2022</t>
        </is>
      </c>
      <c r="B462" s="1" t="n">
        <v>44913</v>
      </c>
      <c r="C462" s="1" t="n">
        <v>45740</v>
      </c>
      <c r="D462" t="inlineStr">
        <is>
          <t>VÄSTERBOTTENS LÄN</t>
        </is>
      </c>
      <c r="E462" t="inlineStr">
        <is>
          <t>ROBERTSFORS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61833-2022</t>
        </is>
      </c>
      <c r="B463" s="1" t="n">
        <v>44914</v>
      </c>
      <c r="C463" s="1" t="n">
        <v>45740</v>
      </c>
      <c r="D463" t="inlineStr">
        <is>
          <t>VÄSTERBOTTENS LÄN</t>
        </is>
      </c>
      <c r="E463" t="inlineStr">
        <is>
          <t>ROBERTSFORS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61761-2022</t>
        </is>
      </c>
      <c r="B464" s="1" t="n">
        <v>44917</v>
      </c>
      <c r="C464" s="1" t="n">
        <v>45740</v>
      </c>
      <c r="D464" t="inlineStr">
        <is>
          <t>VÄSTERBOTTENS LÄN</t>
        </is>
      </c>
      <c r="E464" t="inlineStr">
        <is>
          <t>ROBERTSFORS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62084-2022</t>
        </is>
      </c>
      <c r="B465" s="1" t="n">
        <v>44919</v>
      </c>
      <c r="C465" s="1" t="n">
        <v>45740</v>
      </c>
      <c r="D465" t="inlineStr">
        <is>
          <t>VÄSTERBOTTENS LÄN</t>
        </is>
      </c>
      <c r="E465" t="inlineStr">
        <is>
          <t>ROBERTSFORS</t>
        </is>
      </c>
      <c r="G465" t="n">
        <v>64.7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62579-2022</t>
        </is>
      </c>
      <c r="B466" s="1" t="n">
        <v>44924</v>
      </c>
      <c r="C466" s="1" t="n">
        <v>45740</v>
      </c>
      <c r="D466" t="inlineStr">
        <is>
          <t>VÄSTERBOTTENS LÄN</t>
        </is>
      </c>
      <c r="E466" t="inlineStr">
        <is>
          <t>ROBERTSFORS</t>
        </is>
      </c>
      <c r="G466" t="n">
        <v>15.6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62576-2022</t>
        </is>
      </c>
      <c r="B467" s="1" t="n">
        <v>44924</v>
      </c>
      <c r="C467" s="1" t="n">
        <v>45740</v>
      </c>
      <c r="D467" t="inlineStr">
        <is>
          <t>VÄSTERBOTTENS LÄN</t>
        </is>
      </c>
      <c r="E467" t="inlineStr">
        <is>
          <t>ROBERTSFORS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18-2023</t>
        </is>
      </c>
      <c r="B468" s="1" t="n">
        <v>44928</v>
      </c>
      <c r="C468" s="1" t="n">
        <v>45740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503-2023</t>
        </is>
      </c>
      <c r="B469" s="1" t="n">
        <v>44930</v>
      </c>
      <c r="C469" s="1" t="n">
        <v>45740</v>
      </c>
      <c r="D469" t="inlineStr">
        <is>
          <t>VÄSTERBOTTENS LÄN</t>
        </is>
      </c>
      <c r="E469" t="inlineStr">
        <is>
          <t>ROBERTSFORS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1348-2023</t>
        </is>
      </c>
      <c r="B470" s="1" t="n">
        <v>44936</v>
      </c>
      <c r="C470" s="1" t="n">
        <v>45740</v>
      </c>
      <c r="D470" t="inlineStr">
        <is>
          <t>VÄSTERBOTTENS LÄN</t>
        </is>
      </c>
      <c r="E470" t="inlineStr">
        <is>
          <t>ROBERTSFORS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1361-2023</t>
        </is>
      </c>
      <c r="B471" s="1" t="n">
        <v>44936</v>
      </c>
      <c r="C471" s="1" t="n">
        <v>45740</v>
      </c>
      <c r="D471" t="inlineStr">
        <is>
          <t>VÄSTERBOTTENS LÄN</t>
        </is>
      </c>
      <c r="E471" t="inlineStr">
        <is>
          <t>ROBERTSFORS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1659-2023</t>
        </is>
      </c>
      <c r="B472" s="1" t="n">
        <v>44938</v>
      </c>
      <c r="C472" s="1" t="n">
        <v>45740</v>
      </c>
      <c r="D472" t="inlineStr">
        <is>
          <t>VÄSTERBOTTENS LÄN</t>
        </is>
      </c>
      <c r="E472" t="inlineStr">
        <is>
          <t>ROBERTSFORS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1922-2023</t>
        </is>
      </c>
      <c r="B473" s="1" t="n">
        <v>44938</v>
      </c>
      <c r="C473" s="1" t="n">
        <v>45740</v>
      </c>
      <c r="D473" t="inlineStr">
        <is>
          <t>VÄSTERBOTTENS LÄN</t>
        </is>
      </c>
      <c r="E473" t="inlineStr">
        <is>
          <t>ROBERTSFORS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3018-2023</t>
        </is>
      </c>
      <c r="B474" s="1" t="n">
        <v>44945</v>
      </c>
      <c r="C474" s="1" t="n">
        <v>45740</v>
      </c>
      <c r="D474" t="inlineStr">
        <is>
          <t>VÄSTERBOTTENS LÄN</t>
        </is>
      </c>
      <c r="E474" t="inlineStr">
        <is>
          <t>ROBERTSFORS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3900-2023</t>
        </is>
      </c>
      <c r="B475" s="1" t="n">
        <v>44951</v>
      </c>
      <c r="C475" s="1" t="n">
        <v>45740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3899-2023</t>
        </is>
      </c>
      <c r="B476" s="1" t="n">
        <v>44951</v>
      </c>
      <c r="C476" s="1" t="n">
        <v>45740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4016-2023</t>
        </is>
      </c>
      <c r="B477" s="1" t="n">
        <v>44952</v>
      </c>
      <c r="C477" s="1" t="n">
        <v>45740</v>
      </c>
      <c r="D477" t="inlineStr">
        <is>
          <t>VÄSTERBOTTENS LÄN</t>
        </is>
      </c>
      <c r="E477" t="inlineStr">
        <is>
          <t>ROBERTSFORS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4478-2023</t>
        </is>
      </c>
      <c r="B478" s="1" t="n">
        <v>44952</v>
      </c>
      <c r="C478" s="1" t="n">
        <v>45740</v>
      </c>
      <c r="D478" t="inlineStr">
        <is>
          <t>VÄSTERBOTTENS LÄN</t>
        </is>
      </c>
      <c r="E478" t="inlineStr">
        <is>
          <t>ROBERTSFORS</t>
        </is>
      </c>
      <c r="G478" t="n">
        <v>16.1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4227-2023</t>
        </is>
      </c>
      <c r="B479" s="1" t="n">
        <v>44953</v>
      </c>
      <c r="C479" s="1" t="n">
        <v>45740</v>
      </c>
      <c r="D479" t="inlineStr">
        <is>
          <t>VÄSTERBOTTENS LÄN</t>
        </is>
      </c>
      <c r="E479" t="inlineStr">
        <is>
          <t>ROBERTSFORS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5817-2023</t>
        </is>
      </c>
      <c r="B480" s="1" t="n">
        <v>44958</v>
      </c>
      <c r="C480" s="1" t="n">
        <v>45740</v>
      </c>
      <c r="D480" t="inlineStr">
        <is>
          <t>VÄSTERBOTTENS LÄN</t>
        </is>
      </c>
      <c r="E480" t="inlineStr">
        <is>
          <t>ROBERTSFORS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5053-2023</t>
        </is>
      </c>
      <c r="B481" s="1" t="n">
        <v>44958</v>
      </c>
      <c r="C481" s="1" t="n">
        <v>45740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5689-2023</t>
        </is>
      </c>
      <c r="B482" s="1" t="n">
        <v>44960</v>
      </c>
      <c r="C482" s="1" t="n">
        <v>45740</v>
      </c>
      <c r="D482" t="inlineStr">
        <is>
          <t>VÄSTERBOTTENS LÄN</t>
        </is>
      </c>
      <c r="E482" t="inlineStr">
        <is>
          <t>ROBERTSFORS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5690-2023</t>
        </is>
      </c>
      <c r="B483" s="1" t="n">
        <v>44960</v>
      </c>
      <c r="C483" s="1" t="n">
        <v>45740</v>
      </c>
      <c r="D483" t="inlineStr">
        <is>
          <t>VÄSTERBOTTENS LÄN</t>
        </is>
      </c>
      <c r="E483" t="inlineStr">
        <is>
          <t>ROBERTSFORS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5691-2023</t>
        </is>
      </c>
      <c r="B484" s="1" t="n">
        <v>44960</v>
      </c>
      <c r="C484" s="1" t="n">
        <v>45740</v>
      </c>
      <c r="D484" t="inlineStr">
        <is>
          <t>VÄSTERBOTTENS LÄN</t>
        </is>
      </c>
      <c r="E484" t="inlineStr">
        <is>
          <t>ROBERTSFORS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7873-2023</t>
        </is>
      </c>
      <c r="B485" s="1" t="n">
        <v>44973</v>
      </c>
      <c r="C485" s="1" t="n">
        <v>45740</v>
      </c>
      <c r="D485" t="inlineStr">
        <is>
          <t>VÄSTERBOTTENS LÄN</t>
        </is>
      </c>
      <c r="E485" t="inlineStr">
        <is>
          <t>ROBERTSFORS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8153-2023</t>
        </is>
      </c>
      <c r="B486" s="1" t="n">
        <v>44974</v>
      </c>
      <c r="C486" s="1" t="n">
        <v>45740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8375-2023</t>
        </is>
      </c>
      <c r="B487" s="1" t="n">
        <v>44977</v>
      </c>
      <c r="C487" s="1" t="n">
        <v>45740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15.7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8532-2023</t>
        </is>
      </c>
      <c r="B488" s="1" t="n">
        <v>44977</v>
      </c>
      <c r="C488" s="1" t="n">
        <v>45740</v>
      </c>
      <c r="D488" t="inlineStr">
        <is>
          <t>VÄSTERBOTTENS LÄN</t>
        </is>
      </c>
      <c r="E488" t="inlineStr">
        <is>
          <t>ROBERTSFORS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9305-2023</t>
        </is>
      </c>
      <c r="B489" s="1" t="n">
        <v>44980</v>
      </c>
      <c r="C489" s="1" t="n">
        <v>45740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9315-2023</t>
        </is>
      </c>
      <c r="B490" s="1" t="n">
        <v>44980</v>
      </c>
      <c r="C490" s="1" t="n">
        <v>45740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10188-2023</t>
        </is>
      </c>
      <c r="B491" s="1" t="n">
        <v>44980</v>
      </c>
      <c r="C491" s="1" t="n">
        <v>45740</v>
      </c>
      <c r="D491" t="inlineStr">
        <is>
          <t>VÄSTERBOTTENS LÄN</t>
        </is>
      </c>
      <c r="E491" t="inlineStr">
        <is>
          <t>ROBERTSFORS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10334-2023</t>
        </is>
      </c>
      <c r="B492" s="1" t="n">
        <v>44980</v>
      </c>
      <c r="C492" s="1" t="n">
        <v>45740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11032-2023</t>
        </is>
      </c>
      <c r="B493" s="1" t="n">
        <v>44991</v>
      </c>
      <c r="C493" s="1" t="n">
        <v>45740</v>
      </c>
      <c r="D493" t="inlineStr">
        <is>
          <t>VÄSTERBOTTENS LÄN</t>
        </is>
      </c>
      <c r="E493" t="inlineStr">
        <is>
          <t>ROBERTSFORS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12902-2023</t>
        </is>
      </c>
      <c r="B494" s="1" t="n">
        <v>45001</v>
      </c>
      <c r="C494" s="1" t="n">
        <v>45740</v>
      </c>
      <c r="D494" t="inlineStr">
        <is>
          <t>VÄSTERBOTTENS LÄN</t>
        </is>
      </c>
      <c r="E494" t="inlineStr">
        <is>
          <t>ROBERTSFORS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13179-2023</t>
        </is>
      </c>
      <c r="B495" s="1" t="n">
        <v>45002</v>
      </c>
      <c r="C495" s="1" t="n">
        <v>45740</v>
      </c>
      <c r="D495" t="inlineStr">
        <is>
          <t>VÄSTERBOTTENS LÄN</t>
        </is>
      </c>
      <c r="E495" t="inlineStr">
        <is>
          <t>ROBERTSFORS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13187-2023</t>
        </is>
      </c>
      <c r="B496" s="1" t="n">
        <v>45002</v>
      </c>
      <c r="C496" s="1" t="n">
        <v>45740</v>
      </c>
      <c r="D496" t="inlineStr">
        <is>
          <t>VÄSTERBOTTENS LÄN</t>
        </is>
      </c>
      <c r="E496" t="inlineStr">
        <is>
          <t>ROBERTSFORS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13533-2023</t>
        </is>
      </c>
      <c r="B497" s="1" t="n">
        <v>45005</v>
      </c>
      <c r="C497" s="1" t="n">
        <v>45740</v>
      </c>
      <c r="D497" t="inlineStr">
        <is>
          <t>VÄSTERBOTTENS LÄN</t>
        </is>
      </c>
      <c r="E497" t="inlineStr">
        <is>
          <t>ROBERTSFORS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13529-2023</t>
        </is>
      </c>
      <c r="B498" s="1" t="n">
        <v>45005</v>
      </c>
      <c r="C498" s="1" t="n">
        <v>45740</v>
      </c>
      <c r="D498" t="inlineStr">
        <is>
          <t>VÄSTERBOTTENS LÄN</t>
        </is>
      </c>
      <c r="E498" t="inlineStr">
        <is>
          <t>ROBERTSFORS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13888-2023</t>
        </is>
      </c>
      <c r="B499" s="1" t="n">
        <v>45007</v>
      </c>
      <c r="C499" s="1" t="n">
        <v>45740</v>
      </c>
      <c r="D499" t="inlineStr">
        <is>
          <t>VÄSTERBOTTENS LÄN</t>
        </is>
      </c>
      <c r="E499" t="inlineStr">
        <is>
          <t>ROBERTSFORS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14048-2023</t>
        </is>
      </c>
      <c r="B500" s="1" t="n">
        <v>45008</v>
      </c>
      <c r="C500" s="1" t="n">
        <v>45740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14176-2023</t>
        </is>
      </c>
      <c r="B501" s="1" t="n">
        <v>45009</v>
      </c>
      <c r="C501" s="1" t="n">
        <v>45740</v>
      </c>
      <c r="D501" t="inlineStr">
        <is>
          <t>VÄSTERBOTTENS LÄN</t>
        </is>
      </c>
      <c r="E501" t="inlineStr">
        <is>
          <t>ROBERTSFORS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14538-2023</t>
        </is>
      </c>
      <c r="B502" s="1" t="n">
        <v>45013</v>
      </c>
      <c r="C502" s="1" t="n">
        <v>45740</v>
      </c>
      <c r="D502" t="inlineStr">
        <is>
          <t>VÄSTERBOTTENS LÄN</t>
        </is>
      </c>
      <c r="E502" t="inlineStr">
        <is>
          <t>ROBERTSFORS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14671-2023</t>
        </is>
      </c>
      <c r="B503" s="1" t="n">
        <v>45013</v>
      </c>
      <c r="C503" s="1" t="n">
        <v>45740</v>
      </c>
      <c r="D503" t="inlineStr">
        <is>
          <t>VÄSTERBOTTENS LÄN</t>
        </is>
      </c>
      <c r="E503" t="inlineStr">
        <is>
          <t>ROBERTSFORS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14737-2023</t>
        </is>
      </c>
      <c r="B504" s="1" t="n">
        <v>45013</v>
      </c>
      <c r="C504" s="1" t="n">
        <v>45740</v>
      </c>
      <c r="D504" t="inlineStr">
        <is>
          <t>VÄSTERBOTTENS LÄN</t>
        </is>
      </c>
      <c r="E504" t="inlineStr">
        <is>
          <t>ROBERTSFORS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14926-2023</t>
        </is>
      </c>
      <c r="B505" s="1" t="n">
        <v>45014</v>
      </c>
      <c r="C505" s="1" t="n">
        <v>45740</v>
      </c>
      <c r="D505" t="inlineStr">
        <is>
          <t>VÄSTERBOTTENS LÄN</t>
        </is>
      </c>
      <c r="E505" t="inlineStr">
        <is>
          <t>ROBERTSFORS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15294-2023</t>
        </is>
      </c>
      <c r="B506" s="1" t="n">
        <v>45019</v>
      </c>
      <c r="C506" s="1" t="n">
        <v>45740</v>
      </c>
      <c r="D506" t="inlineStr">
        <is>
          <t>VÄSTERBOTTENS LÄN</t>
        </is>
      </c>
      <c r="E506" t="inlineStr">
        <is>
          <t>ROBERTSFORS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15484-2023</t>
        </is>
      </c>
      <c r="B507" s="1" t="n">
        <v>45020</v>
      </c>
      <c r="C507" s="1" t="n">
        <v>45740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15528-2023</t>
        </is>
      </c>
      <c r="B508" s="1" t="n">
        <v>45020</v>
      </c>
      <c r="C508" s="1" t="n">
        <v>45740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Sveaskog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15807-2023</t>
        </is>
      </c>
      <c r="B509" s="1" t="n">
        <v>45022</v>
      </c>
      <c r="C509" s="1" t="n">
        <v>45740</v>
      </c>
      <c r="D509" t="inlineStr">
        <is>
          <t>VÄSTERBOTTENS LÄN</t>
        </is>
      </c>
      <c r="E509" t="inlineStr">
        <is>
          <t>ROBERTSFORS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15836-2023</t>
        </is>
      </c>
      <c r="B510" s="1" t="n">
        <v>45022</v>
      </c>
      <c r="C510" s="1" t="n">
        <v>45740</v>
      </c>
      <c r="D510" t="inlineStr">
        <is>
          <t>VÄSTERBOTTENS LÄN</t>
        </is>
      </c>
      <c r="E510" t="inlineStr">
        <is>
          <t>ROBERTSFORS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16024-2023</t>
        </is>
      </c>
      <c r="B511" s="1" t="n">
        <v>45027</v>
      </c>
      <c r="C511" s="1" t="n">
        <v>45740</v>
      </c>
      <c r="D511" t="inlineStr">
        <is>
          <t>VÄSTERBOTTENS LÄN</t>
        </is>
      </c>
      <c r="E511" t="inlineStr">
        <is>
          <t>ROBERTSFORS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16434-2023</t>
        </is>
      </c>
      <c r="B512" s="1" t="n">
        <v>45029</v>
      </c>
      <c r="C512" s="1" t="n">
        <v>45740</v>
      </c>
      <c r="D512" t="inlineStr">
        <is>
          <t>VÄSTERBOTTENS LÄN</t>
        </is>
      </c>
      <c r="E512" t="inlineStr">
        <is>
          <t>ROBERTSFORS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16425-2023</t>
        </is>
      </c>
      <c r="B513" s="1" t="n">
        <v>45029</v>
      </c>
      <c r="C513" s="1" t="n">
        <v>45740</v>
      </c>
      <c r="D513" t="inlineStr">
        <is>
          <t>VÄSTERBOTTENS LÄN</t>
        </is>
      </c>
      <c r="E513" t="inlineStr">
        <is>
          <t>ROBERTSFORS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16463-2023</t>
        </is>
      </c>
      <c r="B514" s="1" t="n">
        <v>45029</v>
      </c>
      <c r="C514" s="1" t="n">
        <v>45740</v>
      </c>
      <c r="D514" t="inlineStr">
        <is>
          <t>VÄSTERBOTTENS LÄN</t>
        </is>
      </c>
      <c r="E514" t="inlineStr">
        <is>
          <t>ROBERTSFORS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16865-2023</t>
        </is>
      </c>
      <c r="B515" s="1" t="n">
        <v>45029</v>
      </c>
      <c r="C515" s="1" t="n">
        <v>45740</v>
      </c>
      <c r="D515" t="inlineStr">
        <is>
          <t>VÄSTERBOTTENS LÄN</t>
        </is>
      </c>
      <c r="E515" t="inlineStr">
        <is>
          <t>ROBERTSFORS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16875-2023</t>
        </is>
      </c>
      <c r="B516" s="1" t="n">
        <v>45029</v>
      </c>
      <c r="C516" s="1" t="n">
        <v>45740</v>
      </c>
      <c r="D516" t="inlineStr">
        <is>
          <t>VÄSTERBOTTENS LÄN</t>
        </is>
      </c>
      <c r="E516" t="inlineStr">
        <is>
          <t>ROBERTSFORS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16921-2023</t>
        </is>
      </c>
      <c r="B517" s="1" t="n">
        <v>45029</v>
      </c>
      <c r="C517" s="1" t="n">
        <v>45740</v>
      </c>
      <c r="D517" t="inlineStr">
        <is>
          <t>VÄSTERBOTTENS LÄN</t>
        </is>
      </c>
      <c r="E517" t="inlineStr">
        <is>
          <t>ROBERTSFORS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16654-2023</t>
        </is>
      </c>
      <c r="B518" s="1" t="n">
        <v>45030</v>
      </c>
      <c r="C518" s="1" t="n">
        <v>45740</v>
      </c>
      <c r="D518" t="inlineStr">
        <is>
          <t>VÄSTERBOTTENS LÄN</t>
        </is>
      </c>
      <c r="E518" t="inlineStr">
        <is>
          <t>ROBERTSFORS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16653-2023</t>
        </is>
      </c>
      <c r="B519" s="1" t="n">
        <v>45030</v>
      </c>
      <c r="C519" s="1" t="n">
        <v>45740</v>
      </c>
      <c r="D519" t="inlineStr">
        <is>
          <t>VÄSTERBOTTENS LÄN</t>
        </is>
      </c>
      <c r="E519" t="inlineStr">
        <is>
          <t>ROBERTSFORS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17093-2023</t>
        </is>
      </c>
      <c r="B520" s="1" t="n">
        <v>45030</v>
      </c>
      <c r="C520" s="1" t="n">
        <v>45740</v>
      </c>
      <c r="D520" t="inlineStr">
        <is>
          <t>VÄSTERBOTTENS LÄN</t>
        </is>
      </c>
      <c r="E520" t="inlineStr">
        <is>
          <t>ROBERTSFORS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17090-2023</t>
        </is>
      </c>
      <c r="B521" s="1" t="n">
        <v>45030</v>
      </c>
      <c r="C521" s="1" t="n">
        <v>45740</v>
      </c>
      <c r="D521" t="inlineStr">
        <is>
          <t>VÄSTERBOTTENS LÄN</t>
        </is>
      </c>
      <c r="E521" t="inlineStr">
        <is>
          <t>ROBERTSFORS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16994-2023</t>
        </is>
      </c>
      <c r="B522" s="1" t="n">
        <v>45033</v>
      </c>
      <c r="C522" s="1" t="n">
        <v>45740</v>
      </c>
      <c r="D522" t="inlineStr">
        <is>
          <t>VÄSTERBOTTENS LÄN</t>
        </is>
      </c>
      <c r="E522" t="inlineStr">
        <is>
          <t>ROBERTSFORS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16993-2023</t>
        </is>
      </c>
      <c r="B523" s="1" t="n">
        <v>45034</v>
      </c>
      <c r="C523" s="1" t="n">
        <v>45740</v>
      </c>
      <c r="D523" t="inlineStr">
        <is>
          <t>VÄSTERBOTTENS LÄN</t>
        </is>
      </c>
      <c r="E523" t="inlineStr">
        <is>
          <t>ROBERTSFORS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16995-2023</t>
        </is>
      </c>
      <c r="B524" s="1" t="n">
        <v>45034</v>
      </c>
      <c r="C524" s="1" t="n">
        <v>45740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18143-2023</t>
        </is>
      </c>
      <c r="B525" s="1" t="n">
        <v>45040</v>
      </c>
      <c r="C525" s="1" t="n">
        <v>45740</v>
      </c>
      <c r="D525" t="inlineStr">
        <is>
          <t>VÄSTERBOTTENS LÄN</t>
        </is>
      </c>
      <c r="E525" t="inlineStr">
        <is>
          <t>ROBERTSFORS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18533-2023</t>
        </is>
      </c>
      <c r="B526" s="1" t="n">
        <v>45041</v>
      </c>
      <c r="C526" s="1" t="n">
        <v>45740</v>
      </c>
      <c r="D526" t="inlineStr">
        <is>
          <t>VÄSTERBOTTENS LÄN</t>
        </is>
      </c>
      <c r="E526" t="inlineStr">
        <is>
          <t>ROBERTSFORS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18388-2023</t>
        </is>
      </c>
      <c r="B527" s="1" t="n">
        <v>45042</v>
      </c>
      <c r="C527" s="1" t="n">
        <v>45740</v>
      </c>
      <c r="D527" t="inlineStr">
        <is>
          <t>VÄSTERBOTTENS LÄN</t>
        </is>
      </c>
      <c r="E527" t="inlineStr">
        <is>
          <t>ROBERTSFORS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18389-2023</t>
        </is>
      </c>
      <c r="B528" s="1" t="n">
        <v>45042</v>
      </c>
      <c r="C528" s="1" t="n">
        <v>45740</v>
      </c>
      <c r="D528" t="inlineStr">
        <is>
          <t>VÄSTERBOTTENS LÄN</t>
        </is>
      </c>
      <c r="E528" t="inlineStr">
        <is>
          <t>ROBERTSFORS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18822-2023</t>
        </is>
      </c>
      <c r="B529" s="1" t="n">
        <v>45042</v>
      </c>
      <c r="C529" s="1" t="n">
        <v>45740</v>
      </c>
      <c r="D529" t="inlineStr">
        <is>
          <t>VÄSTERBOTTENS LÄN</t>
        </is>
      </c>
      <c r="E529" t="inlineStr">
        <is>
          <t>ROBERTSFORS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18818-2023</t>
        </is>
      </c>
      <c r="B530" s="1" t="n">
        <v>45042</v>
      </c>
      <c r="C530" s="1" t="n">
        <v>45740</v>
      </c>
      <c r="D530" t="inlineStr">
        <is>
          <t>VÄSTERBOTTENS LÄN</t>
        </is>
      </c>
      <c r="E530" t="inlineStr">
        <is>
          <t>ROBERTSFORS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18827-2023</t>
        </is>
      </c>
      <c r="B531" s="1" t="n">
        <v>45042</v>
      </c>
      <c r="C531" s="1" t="n">
        <v>45740</v>
      </c>
      <c r="D531" t="inlineStr">
        <is>
          <t>VÄSTERBOTTENS LÄN</t>
        </is>
      </c>
      <c r="E531" t="inlineStr">
        <is>
          <t>ROBERTSFORS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18844-2023</t>
        </is>
      </c>
      <c r="B532" s="1" t="n">
        <v>45042</v>
      </c>
      <c r="C532" s="1" t="n">
        <v>45740</v>
      </c>
      <c r="D532" t="inlineStr">
        <is>
          <t>VÄSTERBOTTENS LÄN</t>
        </is>
      </c>
      <c r="E532" t="inlineStr">
        <is>
          <t>ROBERTSFORS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18828-2023</t>
        </is>
      </c>
      <c r="B533" s="1" t="n">
        <v>45042</v>
      </c>
      <c r="C533" s="1" t="n">
        <v>45740</v>
      </c>
      <c r="D533" t="inlineStr">
        <is>
          <t>VÄSTERBOTTENS LÄN</t>
        </is>
      </c>
      <c r="E533" t="inlineStr">
        <is>
          <t>ROBERTSFORS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19160-2023</t>
        </is>
      </c>
      <c r="B534" s="1" t="n">
        <v>45048</v>
      </c>
      <c r="C534" s="1" t="n">
        <v>45740</v>
      </c>
      <c r="D534" t="inlineStr">
        <is>
          <t>VÄSTERBOTTENS LÄN</t>
        </is>
      </c>
      <c r="E534" t="inlineStr">
        <is>
          <t>ROBERTSFORS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19168-2023</t>
        </is>
      </c>
      <c r="B535" s="1" t="n">
        <v>45048</v>
      </c>
      <c r="C535" s="1" t="n">
        <v>45740</v>
      </c>
      <c r="D535" t="inlineStr">
        <is>
          <t>VÄSTERBOTTENS LÄN</t>
        </is>
      </c>
      <c r="E535" t="inlineStr">
        <is>
          <t>ROBERTSFORS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19281-2023</t>
        </is>
      </c>
      <c r="B536" s="1" t="n">
        <v>45049</v>
      </c>
      <c r="C536" s="1" t="n">
        <v>45740</v>
      </c>
      <c r="D536" t="inlineStr">
        <is>
          <t>VÄSTERBOTTENS LÄN</t>
        </is>
      </c>
      <c r="E536" t="inlineStr">
        <is>
          <t>ROBERTSFORS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19378-2023</t>
        </is>
      </c>
      <c r="B537" s="1" t="n">
        <v>45049</v>
      </c>
      <c r="C537" s="1" t="n">
        <v>45740</v>
      </c>
      <c r="D537" t="inlineStr">
        <is>
          <t>VÄSTERBOTTENS LÄN</t>
        </is>
      </c>
      <c r="E537" t="inlineStr">
        <is>
          <t>ROBERTSFORS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19724-2023</t>
        </is>
      </c>
      <c r="B538" s="1" t="n">
        <v>45051</v>
      </c>
      <c r="C538" s="1" t="n">
        <v>45740</v>
      </c>
      <c r="D538" t="inlineStr">
        <is>
          <t>VÄSTERBOTTENS LÄN</t>
        </is>
      </c>
      <c r="E538" t="inlineStr">
        <is>
          <t>ROBERTSFORS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21420-2023</t>
        </is>
      </c>
      <c r="B539" s="1" t="n">
        <v>45063</v>
      </c>
      <c r="C539" s="1" t="n">
        <v>45740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22257-2023</t>
        </is>
      </c>
      <c r="B540" s="1" t="n">
        <v>45070</v>
      </c>
      <c r="C540" s="1" t="n">
        <v>45740</v>
      </c>
      <c r="D540" t="inlineStr">
        <is>
          <t>VÄSTERBOTTENS LÄN</t>
        </is>
      </c>
      <c r="E540" t="inlineStr">
        <is>
          <t>ROBERTSFORS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23108-2023</t>
        </is>
      </c>
      <c r="B541" s="1" t="n">
        <v>45075</v>
      </c>
      <c r="C541" s="1" t="n">
        <v>45740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24001-2023</t>
        </is>
      </c>
      <c r="B542" s="1" t="n">
        <v>45075</v>
      </c>
      <c r="C542" s="1" t="n">
        <v>45740</v>
      </c>
      <c r="D542" t="inlineStr">
        <is>
          <t>VÄSTERBOTTENS LÄN</t>
        </is>
      </c>
      <c r="E542" t="inlineStr">
        <is>
          <t>ROBERTSFORS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23333-2023</t>
        </is>
      </c>
      <c r="B543" s="1" t="n">
        <v>45076</v>
      </c>
      <c r="C543" s="1" t="n">
        <v>45740</v>
      </c>
      <c r="D543" t="inlineStr">
        <is>
          <t>VÄSTERBOTTENS LÄN</t>
        </is>
      </c>
      <c r="E543" t="inlineStr">
        <is>
          <t>ROBERTSFORS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23331-2023</t>
        </is>
      </c>
      <c r="B544" s="1" t="n">
        <v>45076</v>
      </c>
      <c r="C544" s="1" t="n">
        <v>45740</v>
      </c>
      <c r="D544" t="inlineStr">
        <is>
          <t>VÄSTERBOTTENS LÄN</t>
        </is>
      </c>
      <c r="E544" t="inlineStr">
        <is>
          <t>ROBERTSFORS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24133-2023</t>
        </is>
      </c>
      <c r="B545" s="1" t="n">
        <v>45076</v>
      </c>
      <c r="C545" s="1" t="n">
        <v>45740</v>
      </c>
      <c r="D545" t="inlineStr">
        <is>
          <t>VÄSTERBOTTENS LÄN</t>
        </is>
      </c>
      <c r="E545" t="inlineStr">
        <is>
          <t>ROBERTSFORS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24136-2023</t>
        </is>
      </c>
      <c r="B546" s="1" t="n">
        <v>45076</v>
      </c>
      <c r="C546" s="1" t="n">
        <v>45740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24139-2023</t>
        </is>
      </c>
      <c r="B547" s="1" t="n">
        <v>45076</v>
      </c>
      <c r="C547" s="1" t="n">
        <v>45740</v>
      </c>
      <c r="D547" t="inlineStr">
        <is>
          <t>VÄSTERBOTTENS LÄN</t>
        </is>
      </c>
      <c r="E547" t="inlineStr">
        <is>
          <t>ROBERTSFORS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24294-2023</t>
        </is>
      </c>
      <c r="B548" s="1" t="n">
        <v>45079</v>
      </c>
      <c r="C548" s="1" t="n">
        <v>45740</v>
      </c>
      <c r="D548" t="inlineStr">
        <is>
          <t>VÄSTERBOTTENS LÄN</t>
        </is>
      </c>
      <c r="E548" t="inlineStr">
        <is>
          <t>ROBERTSFORS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24291-2023</t>
        </is>
      </c>
      <c r="B549" s="1" t="n">
        <v>45079</v>
      </c>
      <c r="C549" s="1" t="n">
        <v>45740</v>
      </c>
      <c r="D549" t="inlineStr">
        <is>
          <t>VÄSTERBOTTENS LÄN</t>
        </is>
      </c>
      <c r="E549" t="inlineStr">
        <is>
          <t>ROBERTSFORS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24295-2023</t>
        </is>
      </c>
      <c r="B550" s="1" t="n">
        <v>45079</v>
      </c>
      <c r="C550" s="1" t="n">
        <v>45740</v>
      </c>
      <c r="D550" t="inlineStr">
        <is>
          <t>VÄSTERBOTTENS LÄN</t>
        </is>
      </c>
      <c r="E550" t="inlineStr">
        <is>
          <t>ROBERTSFORS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25572-2023</t>
        </is>
      </c>
      <c r="B551" s="1" t="n">
        <v>45082</v>
      </c>
      <c r="C551" s="1" t="n">
        <v>45740</v>
      </c>
      <c r="D551" t="inlineStr">
        <is>
          <t>VÄSTERBOTTENS LÄN</t>
        </is>
      </c>
      <c r="E551" t="inlineStr">
        <is>
          <t>ROBERTSFORS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24631-2023</t>
        </is>
      </c>
      <c r="B552" s="1" t="n">
        <v>45084</v>
      </c>
      <c r="C552" s="1" t="n">
        <v>45740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25569-2023</t>
        </is>
      </c>
      <c r="B553" s="1" t="n">
        <v>45089</v>
      </c>
      <c r="C553" s="1" t="n">
        <v>45740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26474-2023</t>
        </is>
      </c>
      <c r="B554" s="1" t="n">
        <v>45089</v>
      </c>
      <c r="C554" s="1" t="n">
        <v>45740</v>
      </c>
      <c r="D554" t="inlineStr">
        <is>
          <t>VÄSTERBOTTENS LÄN</t>
        </is>
      </c>
      <c r="E554" t="inlineStr">
        <is>
          <t>ROBERTSFORS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26748-2023</t>
        </is>
      </c>
      <c r="B555" s="1" t="n">
        <v>45090</v>
      </c>
      <c r="C555" s="1" t="n">
        <v>45740</v>
      </c>
      <c r="D555" t="inlineStr">
        <is>
          <t>VÄSTERBOTTENS LÄN</t>
        </is>
      </c>
      <c r="E555" t="inlineStr">
        <is>
          <t>ROBERTSFORS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26788-2023</t>
        </is>
      </c>
      <c r="B556" s="1" t="n">
        <v>45090</v>
      </c>
      <c r="C556" s="1" t="n">
        <v>45740</v>
      </c>
      <c r="D556" t="inlineStr">
        <is>
          <t>VÄSTERBOTTENS LÄN</t>
        </is>
      </c>
      <c r="E556" t="inlineStr">
        <is>
          <t>ROBERTSFORS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26792-2023</t>
        </is>
      </c>
      <c r="B557" s="1" t="n">
        <v>45090</v>
      </c>
      <c r="C557" s="1" t="n">
        <v>45740</v>
      </c>
      <c r="D557" t="inlineStr">
        <is>
          <t>VÄSTERBOTTENS LÄN</t>
        </is>
      </c>
      <c r="E557" t="inlineStr">
        <is>
          <t>ROBERTSFORS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26797-2023</t>
        </is>
      </c>
      <c r="B558" s="1" t="n">
        <v>45090</v>
      </c>
      <c r="C558" s="1" t="n">
        <v>45740</v>
      </c>
      <c r="D558" t="inlineStr">
        <is>
          <t>VÄSTERBOTTENS LÄN</t>
        </is>
      </c>
      <c r="E558" t="inlineStr">
        <is>
          <t>ROBERTSFORS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26791-2023</t>
        </is>
      </c>
      <c r="B559" s="1" t="n">
        <v>45090</v>
      </c>
      <c r="C559" s="1" t="n">
        <v>45740</v>
      </c>
      <c r="D559" t="inlineStr">
        <is>
          <t>VÄSTERBOTTENS LÄN</t>
        </is>
      </c>
      <c r="E559" t="inlineStr">
        <is>
          <t>ROBERTSFORS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26219-2023</t>
        </is>
      </c>
      <c r="B560" s="1" t="n">
        <v>45091</v>
      </c>
      <c r="C560" s="1" t="n">
        <v>45740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26128-2023</t>
        </is>
      </c>
      <c r="B561" s="1" t="n">
        <v>45091</v>
      </c>
      <c r="C561" s="1" t="n">
        <v>45740</v>
      </c>
      <c r="D561" t="inlineStr">
        <is>
          <t>VÄSTERBOTTENS LÄN</t>
        </is>
      </c>
      <c r="E561" t="inlineStr">
        <is>
          <t>ROBERTSFORS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26118-2023</t>
        </is>
      </c>
      <c r="B562" s="1" t="n">
        <v>45091</v>
      </c>
      <c r="C562" s="1" t="n">
        <v>45740</v>
      </c>
      <c r="D562" t="inlineStr">
        <is>
          <t>VÄSTERBOTTENS LÄN</t>
        </is>
      </c>
      <c r="E562" t="inlineStr">
        <is>
          <t>ROBERTSFORS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26117-2023</t>
        </is>
      </c>
      <c r="B563" s="1" t="n">
        <v>45091</v>
      </c>
      <c r="C563" s="1" t="n">
        <v>45740</v>
      </c>
      <c r="D563" t="inlineStr">
        <is>
          <t>VÄSTERBOTTENS LÄN</t>
        </is>
      </c>
      <c r="E563" t="inlineStr">
        <is>
          <t>ROBERTSFORS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27678-2023</t>
        </is>
      </c>
      <c r="B564" s="1" t="n">
        <v>45097</v>
      </c>
      <c r="C564" s="1" t="n">
        <v>45740</v>
      </c>
      <c r="D564" t="inlineStr">
        <is>
          <t>VÄSTERBOTTENS LÄN</t>
        </is>
      </c>
      <c r="E564" t="inlineStr">
        <is>
          <t>ROBERTSFORS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28455-2023</t>
        </is>
      </c>
      <c r="B565" s="1" t="n">
        <v>45103</v>
      </c>
      <c r="C565" s="1" t="n">
        <v>45740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28906-2023</t>
        </is>
      </c>
      <c r="B566" s="1" t="n">
        <v>45104</v>
      </c>
      <c r="C566" s="1" t="n">
        <v>45740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29589-2023</t>
        </is>
      </c>
      <c r="B567" s="1" t="n">
        <v>45106</v>
      </c>
      <c r="C567" s="1" t="n">
        <v>45740</v>
      </c>
      <c r="D567" t="inlineStr">
        <is>
          <t>VÄSTERBOTTENS LÄN</t>
        </is>
      </c>
      <c r="E567" t="inlineStr">
        <is>
          <t>ROBERTSFORS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29933-2023</t>
        </is>
      </c>
      <c r="B568" s="1" t="n">
        <v>45107</v>
      </c>
      <c r="C568" s="1" t="n">
        <v>45740</v>
      </c>
      <c r="D568" t="inlineStr">
        <is>
          <t>VÄSTERBOTTENS LÄN</t>
        </is>
      </c>
      <c r="E568" t="inlineStr">
        <is>
          <t>ROBERTSFORS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29972-2023</t>
        </is>
      </c>
      <c r="B569" s="1" t="n">
        <v>45108</v>
      </c>
      <c r="C569" s="1" t="n">
        <v>45740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30341-2023</t>
        </is>
      </c>
      <c r="B570" s="1" t="n">
        <v>45111</v>
      </c>
      <c r="C570" s="1" t="n">
        <v>45740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Sveaskog</t>
        </is>
      </c>
      <c r="G570" t="n">
        <v>13.7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31090-2023</t>
        </is>
      </c>
      <c r="B571" s="1" t="n">
        <v>45113</v>
      </c>
      <c r="C571" s="1" t="n">
        <v>45740</v>
      </c>
      <c r="D571" t="inlineStr">
        <is>
          <t>VÄSTERBOTTENS LÄN</t>
        </is>
      </c>
      <c r="E571" t="inlineStr">
        <is>
          <t>ROBERTSFORS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31489-2023</t>
        </is>
      </c>
      <c r="B572" s="1" t="n">
        <v>45115</v>
      </c>
      <c r="C572" s="1" t="n">
        <v>45740</v>
      </c>
      <c r="D572" t="inlineStr">
        <is>
          <t>VÄSTERBOTTENS LÄN</t>
        </is>
      </c>
      <c r="E572" t="inlineStr">
        <is>
          <t>ROBERTSFORS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31634-2023</t>
        </is>
      </c>
      <c r="B573" s="1" t="n">
        <v>45117</v>
      </c>
      <c r="C573" s="1" t="n">
        <v>45740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31616-2023</t>
        </is>
      </c>
      <c r="B574" s="1" t="n">
        <v>45117</v>
      </c>
      <c r="C574" s="1" t="n">
        <v>45740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31662-2023</t>
        </is>
      </c>
      <c r="B575" s="1" t="n">
        <v>45117</v>
      </c>
      <c r="C575" s="1" t="n">
        <v>45740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9.699999999999999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32212-2023</t>
        </is>
      </c>
      <c r="B576" s="1" t="n">
        <v>45119</v>
      </c>
      <c r="C576" s="1" t="n">
        <v>45740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SCA</t>
        </is>
      </c>
      <c r="G576" t="n">
        <v>22.2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32344-2023</t>
        </is>
      </c>
      <c r="B577" s="1" t="n">
        <v>45120</v>
      </c>
      <c r="C577" s="1" t="n">
        <v>45740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32385-2023</t>
        </is>
      </c>
      <c r="B578" s="1" t="n">
        <v>45120</v>
      </c>
      <c r="C578" s="1" t="n">
        <v>45740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32874-2023</t>
        </is>
      </c>
      <c r="B579" s="1" t="n">
        <v>45124</v>
      </c>
      <c r="C579" s="1" t="n">
        <v>45740</v>
      </c>
      <c r="D579" t="inlineStr">
        <is>
          <t>VÄSTERBOTTENS LÄN</t>
        </is>
      </c>
      <c r="E579" t="inlineStr">
        <is>
          <t>ROBERTSFORS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32876-2023</t>
        </is>
      </c>
      <c r="B580" s="1" t="n">
        <v>45124</v>
      </c>
      <c r="C580" s="1" t="n">
        <v>45740</v>
      </c>
      <c r="D580" t="inlineStr">
        <is>
          <t>VÄSTERBOTTENS LÄN</t>
        </is>
      </c>
      <c r="E580" t="inlineStr">
        <is>
          <t>ROBERTSFORS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33438-2023</t>
        </is>
      </c>
      <c r="B581" s="1" t="n">
        <v>45129</v>
      </c>
      <c r="C581" s="1" t="n">
        <v>45740</v>
      </c>
      <c r="D581" t="inlineStr">
        <is>
          <t>VÄSTERBOTTENS LÄN</t>
        </is>
      </c>
      <c r="E581" t="inlineStr">
        <is>
          <t>ROBERTSFORS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33466-2023</t>
        </is>
      </c>
      <c r="B582" s="1" t="n">
        <v>45131</v>
      </c>
      <c r="C582" s="1" t="n">
        <v>45740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33546-2023</t>
        </is>
      </c>
      <c r="B583" s="1" t="n">
        <v>45131</v>
      </c>
      <c r="C583" s="1" t="n">
        <v>45740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33556-2023</t>
        </is>
      </c>
      <c r="B584" s="1" t="n">
        <v>45131</v>
      </c>
      <c r="C584" s="1" t="n">
        <v>45740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33626-2023</t>
        </is>
      </c>
      <c r="B585" s="1" t="n">
        <v>45132</v>
      </c>
      <c r="C585" s="1" t="n">
        <v>45740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33665-2023</t>
        </is>
      </c>
      <c r="B586" s="1" t="n">
        <v>45132</v>
      </c>
      <c r="C586" s="1" t="n">
        <v>45740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33690-2023</t>
        </is>
      </c>
      <c r="B587" s="1" t="n">
        <v>45132</v>
      </c>
      <c r="C587" s="1" t="n">
        <v>45740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33821-2023</t>
        </is>
      </c>
      <c r="B588" s="1" t="n">
        <v>45133</v>
      </c>
      <c r="C588" s="1" t="n">
        <v>45740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33849-2023</t>
        </is>
      </c>
      <c r="B589" s="1" t="n">
        <v>45133</v>
      </c>
      <c r="C589" s="1" t="n">
        <v>45740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34029-2023</t>
        </is>
      </c>
      <c r="B590" s="1" t="n">
        <v>45135</v>
      </c>
      <c r="C590" s="1" t="n">
        <v>45740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34821-2023</t>
        </is>
      </c>
      <c r="B591" s="1" t="n">
        <v>45140</v>
      </c>
      <c r="C591" s="1" t="n">
        <v>45740</v>
      </c>
      <c r="D591" t="inlineStr">
        <is>
          <t>VÄSTERBOTTENS LÄN</t>
        </is>
      </c>
      <c r="E591" t="inlineStr">
        <is>
          <t>ROBERTSFORS</t>
        </is>
      </c>
      <c r="G591" t="n">
        <v>15.3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34841-2023</t>
        </is>
      </c>
      <c r="B592" s="1" t="n">
        <v>45142</v>
      </c>
      <c r="C592" s="1" t="n">
        <v>45740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34844-2023</t>
        </is>
      </c>
      <c r="B593" s="1" t="n">
        <v>45142</v>
      </c>
      <c r="C593" s="1" t="n">
        <v>45740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35149-2023</t>
        </is>
      </c>
      <c r="B594" s="1" t="n">
        <v>45145</v>
      </c>
      <c r="C594" s="1" t="n">
        <v>45740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35307-2023</t>
        </is>
      </c>
      <c r="B595" s="1" t="n">
        <v>45146</v>
      </c>
      <c r="C595" s="1" t="n">
        <v>45740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35313-2023</t>
        </is>
      </c>
      <c r="B596" s="1" t="n">
        <v>45146</v>
      </c>
      <c r="C596" s="1" t="n">
        <v>45740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35475-2023</t>
        </is>
      </c>
      <c r="B597" s="1" t="n">
        <v>45146</v>
      </c>
      <c r="C597" s="1" t="n">
        <v>45740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35497-2023</t>
        </is>
      </c>
      <c r="B598" s="1" t="n">
        <v>45146</v>
      </c>
      <c r="C598" s="1" t="n">
        <v>45740</v>
      </c>
      <c r="D598" t="inlineStr">
        <is>
          <t>VÄSTERBOTTENS LÄN</t>
        </is>
      </c>
      <c r="E598" t="inlineStr">
        <is>
          <t>ROBERTSFORS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35787-2023</t>
        </is>
      </c>
      <c r="B599" s="1" t="n">
        <v>45148</v>
      </c>
      <c r="C599" s="1" t="n">
        <v>45740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36139-2023</t>
        </is>
      </c>
      <c r="B600" s="1" t="n">
        <v>45149</v>
      </c>
      <c r="C600" s="1" t="n">
        <v>45740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36540-2023</t>
        </is>
      </c>
      <c r="B601" s="1" t="n">
        <v>45153</v>
      </c>
      <c r="C601" s="1" t="n">
        <v>45740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36549-2023</t>
        </is>
      </c>
      <c r="B602" s="1" t="n">
        <v>45153</v>
      </c>
      <c r="C602" s="1" t="n">
        <v>45740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36551-2023</t>
        </is>
      </c>
      <c r="B603" s="1" t="n">
        <v>45153</v>
      </c>
      <c r="C603" s="1" t="n">
        <v>45740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36585-2023</t>
        </is>
      </c>
      <c r="B604" s="1" t="n">
        <v>45153</v>
      </c>
      <c r="C604" s="1" t="n">
        <v>45740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36703-2023</t>
        </is>
      </c>
      <c r="B605" s="1" t="n">
        <v>45153</v>
      </c>
      <c r="C605" s="1" t="n">
        <v>45740</v>
      </c>
      <c r="D605" t="inlineStr">
        <is>
          <t>VÄSTERBOTTENS LÄN</t>
        </is>
      </c>
      <c r="E605" t="inlineStr">
        <is>
          <t>ROBERTSFORS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37344-2023</t>
        </is>
      </c>
      <c r="B606" s="1" t="n">
        <v>45156</v>
      </c>
      <c r="C606" s="1" t="n">
        <v>45740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37313-2023</t>
        </is>
      </c>
      <c r="B607" s="1" t="n">
        <v>45156</v>
      </c>
      <c r="C607" s="1" t="n">
        <v>45740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37335-2023</t>
        </is>
      </c>
      <c r="B608" s="1" t="n">
        <v>45156</v>
      </c>
      <c r="C608" s="1" t="n">
        <v>45740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37617-2023</t>
        </is>
      </c>
      <c r="B609" s="1" t="n">
        <v>45159</v>
      </c>
      <c r="C609" s="1" t="n">
        <v>45740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37848-2023</t>
        </is>
      </c>
      <c r="B610" s="1" t="n">
        <v>45160</v>
      </c>
      <c r="C610" s="1" t="n">
        <v>45740</v>
      </c>
      <c r="D610" t="inlineStr">
        <is>
          <t>VÄSTERBOTTENS LÄN</t>
        </is>
      </c>
      <c r="E610" t="inlineStr">
        <is>
          <t>ROBERTSFORS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37924-2023</t>
        </is>
      </c>
      <c r="B611" s="1" t="n">
        <v>45160</v>
      </c>
      <c r="C611" s="1" t="n">
        <v>45740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38083-2023</t>
        </is>
      </c>
      <c r="B612" s="1" t="n">
        <v>45160</v>
      </c>
      <c r="C612" s="1" t="n">
        <v>45740</v>
      </c>
      <c r="D612" t="inlineStr">
        <is>
          <t>VÄSTERBOTTENS LÄN</t>
        </is>
      </c>
      <c r="E612" t="inlineStr">
        <is>
          <t>ROBERTSFORS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37901-2023</t>
        </is>
      </c>
      <c r="B613" s="1" t="n">
        <v>45160</v>
      </c>
      <c r="C613" s="1" t="n">
        <v>45740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38260-2023</t>
        </is>
      </c>
      <c r="B614" s="1" t="n">
        <v>45160</v>
      </c>
      <c r="C614" s="1" t="n">
        <v>45740</v>
      </c>
      <c r="D614" t="inlineStr">
        <is>
          <t>VÄSTERBOTTENS LÄN</t>
        </is>
      </c>
      <c r="E614" t="inlineStr">
        <is>
          <t>ROBERTSFORS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38270-2023</t>
        </is>
      </c>
      <c r="B615" s="1" t="n">
        <v>45160</v>
      </c>
      <c r="C615" s="1" t="n">
        <v>45740</v>
      </c>
      <c r="D615" t="inlineStr">
        <is>
          <t>VÄSTERBOTTENS LÄN</t>
        </is>
      </c>
      <c r="E615" t="inlineStr">
        <is>
          <t>ROBERTSFORS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38265-2023</t>
        </is>
      </c>
      <c r="B616" s="1" t="n">
        <v>45160</v>
      </c>
      <c r="C616" s="1" t="n">
        <v>45740</v>
      </c>
      <c r="D616" t="inlineStr">
        <is>
          <t>VÄSTERBOTTENS LÄN</t>
        </is>
      </c>
      <c r="E616" t="inlineStr">
        <is>
          <t>ROBERTSFORS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38271-2023</t>
        </is>
      </c>
      <c r="B617" s="1" t="n">
        <v>45160</v>
      </c>
      <c r="C617" s="1" t="n">
        <v>45740</v>
      </c>
      <c r="D617" t="inlineStr">
        <is>
          <t>VÄSTERBOTTENS LÄN</t>
        </is>
      </c>
      <c r="E617" t="inlineStr">
        <is>
          <t>ROBERTSFORS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38352-2023</t>
        </is>
      </c>
      <c r="B618" s="1" t="n">
        <v>45161</v>
      </c>
      <c r="C618" s="1" t="n">
        <v>45740</v>
      </c>
      <c r="D618" t="inlineStr">
        <is>
          <t>VÄSTERBOTTENS LÄN</t>
        </is>
      </c>
      <c r="E618" t="inlineStr">
        <is>
          <t>ROBERTSFORS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38480-2023</t>
        </is>
      </c>
      <c r="B619" s="1" t="n">
        <v>45162</v>
      </c>
      <c r="C619" s="1" t="n">
        <v>45740</v>
      </c>
      <c r="D619" t="inlineStr">
        <is>
          <t>VÄSTERBOTTENS LÄN</t>
        </is>
      </c>
      <c r="E619" t="inlineStr">
        <is>
          <t>ROBERTSFORS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38494-2023</t>
        </is>
      </c>
      <c r="B620" s="1" t="n">
        <v>45162</v>
      </c>
      <c r="C620" s="1" t="n">
        <v>45740</v>
      </c>
      <c r="D620" t="inlineStr">
        <is>
          <t>VÄSTERBOTTENS LÄN</t>
        </is>
      </c>
      <c r="E620" t="inlineStr">
        <is>
          <t>ROBERTSFORS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38677-2023</t>
        </is>
      </c>
      <c r="B621" s="1" t="n">
        <v>45162</v>
      </c>
      <c r="C621" s="1" t="n">
        <v>45740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SCA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38777-2023</t>
        </is>
      </c>
      <c r="B622" s="1" t="n">
        <v>45163</v>
      </c>
      <c r="C622" s="1" t="n">
        <v>45740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39750-2023</t>
        </is>
      </c>
      <c r="B623" s="1" t="n">
        <v>45166</v>
      </c>
      <c r="C623" s="1" t="n">
        <v>45740</v>
      </c>
      <c r="D623" t="inlineStr">
        <is>
          <t>VÄSTERBOTTENS LÄN</t>
        </is>
      </c>
      <c r="E623" t="inlineStr">
        <is>
          <t>ROBERTSFORS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39564-2023</t>
        </is>
      </c>
      <c r="B624" s="1" t="n">
        <v>45167</v>
      </c>
      <c r="C624" s="1" t="n">
        <v>45740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39578-2023</t>
        </is>
      </c>
      <c r="B625" s="1" t="n">
        <v>45167</v>
      </c>
      <c r="C625" s="1" t="n">
        <v>45740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39617-2023</t>
        </is>
      </c>
      <c r="B626" s="1" t="n">
        <v>45167</v>
      </c>
      <c r="C626" s="1" t="n">
        <v>45740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40125-2023</t>
        </is>
      </c>
      <c r="B627" s="1" t="n">
        <v>45169</v>
      </c>
      <c r="C627" s="1" t="n">
        <v>45740</v>
      </c>
      <c r="D627" t="inlineStr">
        <is>
          <t>VÄSTERBOTTENS LÄN</t>
        </is>
      </c>
      <c r="E627" t="inlineStr">
        <is>
          <t>ROBERTSFORS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40457-2023</t>
        </is>
      </c>
      <c r="B628" s="1" t="n">
        <v>45170</v>
      </c>
      <c r="C628" s="1" t="n">
        <v>45740</v>
      </c>
      <c r="D628" t="inlineStr">
        <is>
          <t>VÄSTERBOTTENS LÄN</t>
        </is>
      </c>
      <c r="E628" t="inlineStr">
        <is>
          <t>ROBERTSFORS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40633-2023</t>
        </is>
      </c>
      <c r="B629" s="1" t="n">
        <v>45170</v>
      </c>
      <c r="C629" s="1" t="n">
        <v>45740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Sveaskog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42389-2023</t>
        </is>
      </c>
      <c r="B630" s="1" t="n">
        <v>45175</v>
      </c>
      <c r="C630" s="1" t="n">
        <v>45740</v>
      </c>
      <c r="D630" t="inlineStr">
        <is>
          <t>VÄSTERBOTTENS LÄN</t>
        </is>
      </c>
      <c r="E630" t="inlineStr">
        <is>
          <t>ROBERTSFORS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42395-2023</t>
        </is>
      </c>
      <c r="B631" s="1" t="n">
        <v>45175</v>
      </c>
      <c r="C631" s="1" t="n">
        <v>45740</v>
      </c>
      <c r="D631" t="inlineStr">
        <is>
          <t>VÄSTERBOTTENS LÄN</t>
        </is>
      </c>
      <c r="E631" t="inlineStr">
        <is>
          <t>ROBERTSFORS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41752-2023</t>
        </is>
      </c>
      <c r="B632" s="1" t="n">
        <v>45176</v>
      </c>
      <c r="C632" s="1" t="n">
        <v>45740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41850-2023</t>
        </is>
      </c>
      <c r="B633" s="1" t="n">
        <v>45176</v>
      </c>
      <c r="C633" s="1" t="n">
        <v>45740</v>
      </c>
      <c r="D633" t="inlineStr">
        <is>
          <t>VÄSTERBOTTENS LÄN</t>
        </is>
      </c>
      <c r="E633" t="inlineStr">
        <is>
          <t>ROBERTSFORS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41767-2023</t>
        </is>
      </c>
      <c r="B634" s="1" t="n">
        <v>45176</v>
      </c>
      <c r="C634" s="1" t="n">
        <v>45740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41855-2023</t>
        </is>
      </c>
      <c r="B635" s="1" t="n">
        <v>45176</v>
      </c>
      <c r="C635" s="1" t="n">
        <v>45740</v>
      </c>
      <c r="D635" t="inlineStr">
        <is>
          <t>VÄSTERBOTTENS LÄN</t>
        </is>
      </c>
      <c r="E635" t="inlineStr">
        <is>
          <t>ROBERTSFORS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41962-2023</t>
        </is>
      </c>
      <c r="B636" s="1" t="n">
        <v>45177</v>
      </c>
      <c r="C636" s="1" t="n">
        <v>45740</v>
      </c>
      <c r="D636" t="inlineStr">
        <is>
          <t>VÄSTERBOTTENS LÄN</t>
        </is>
      </c>
      <c r="E636" t="inlineStr">
        <is>
          <t>ROBERTSFORS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43020-2023</t>
        </is>
      </c>
      <c r="B637" s="1" t="n">
        <v>45180</v>
      </c>
      <c r="C637" s="1" t="n">
        <v>45740</v>
      </c>
      <c r="D637" t="inlineStr">
        <is>
          <t>VÄSTERBOTTENS LÄN</t>
        </is>
      </c>
      <c r="E637" t="inlineStr">
        <is>
          <t>ROBERTSFORS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42888-2023</t>
        </is>
      </c>
      <c r="B638" s="1" t="n">
        <v>45182</v>
      </c>
      <c r="C638" s="1" t="n">
        <v>45740</v>
      </c>
      <c r="D638" t="inlineStr">
        <is>
          <t>VÄSTERBOTTENS LÄN</t>
        </is>
      </c>
      <c r="E638" t="inlineStr">
        <is>
          <t>ROBERTSFORS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43027-2023</t>
        </is>
      </c>
      <c r="B639" s="1" t="n">
        <v>45182</v>
      </c>
      <c r="C639" s="1" t="n">
        <v>45740</v>
      </c>
      <c r="D639" t="inlineStr">
        <is>
          <t>VÄSTERBOTTENS LÄN</t>
        </is>
      </c>
      <c r="E639" t="inlineStr">
        <is>
          <t>ROBERTSFORS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43039-2023</t>
        </is>
      </c>
      <c r="B640" s="1" t="n">
        <v>45182</v>
      </c>
      <c r="C640" s="1" t="n">
        <v>45740</v>
      </c>
      <c r="D640" t="inlineStr">
        <is>
          <t>VÄSTERBOTTENS LÄN</t>
        </is>
      </c>
      <c r="E640" t="inlineStr">
        <is>
          <t>ROBERTSFORS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43095-2023</t>
        </is>
      </c>
      <c r="B641" s="1" t="n">
        <v>45182</v>
      </c>
      <c r="C641" s="1" t="n">
        <v>45740</v>
      </c>
      <c r="D641" t="inlineStr">
        <is>
          <t>VÄSTERBOTTENS LÄN</t>
        </is>
      </c>
      <c r="E641" t="inlineStr">
        <is>
          <t>ROBERTSFORS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44223-2023</t>
        </is>
      </c>
      <c r="B642" s="1" t="n">
        <v>45183</v>
      </c>
      <c r="C642" s="1" t="n">
        <v>45740</v>
      </c>
      <c r="D642" t="inlineStr">
        <is>
          <t>VÄSTERBOTTENS LÄN</t>
        </is>
      </c>
      <c r="E642" t="inlineStr">
        <is>
          <t>ROBERTSFORS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43547-2023</t>
        </is>
      </c>
      <c r="B643" s="1" t="n">
        <v>45184</v>
      </c>
      <c r="C643" s="1" t="n">
        <v>45740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43567-2023</t>
        </is>
      </c>
      <c r="B644" s="1" t="n">
        <v>45184</v>
      </c>
      <c r="C644" s="1" t="n">
        <v>45740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43573-2023</t>
        </is>
      </c>
      <c r="B645" s="1" t="n">
        <v>45184</v>
      </c>
      <c r="C645" s="1" t="n">
        <v>45740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44651-2023</t>
        </is>
      </c>
      <c r="B646" s="1" t="n">
        <v>45184</v>
      </c>
      <c r="C646" s="1" t="n">
        <v>45740</v>
      </c>
      <c r="D646" t="inlineStr">
        <is>
          <t>VÄSTERBOTTENS LÄN</t>
        </is>
      </c>
      <c r="E646" t="inlineStr">
        <is>
          <t>ROBERTSFORS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43649-2023</t>
        </is>
      </c>
      <c r="B647" s="1" t="n">
        <v>45187</v>
      </c>
      <c r="C647" s="1" t="n">
        <v>45740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43647-2023</t>
        </is>
      </c>
      <c r="B648" s="1" t="n">
        <v>45187</v>
      </c>
      <c r="C648" s="1" t="n">
        <v>45740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44372-2023</t>
        </is>
      </c>
      <c r="B649" s="1" t="n">
        <v>45188</v>
      </c>
      <c r="C649" s="1" t="n">
        <v>45740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44374-2023</t>
        </is>
      </c>
      <c r="B650" s="1" t="n">
        <v>45188</v>
      </c>
      <c r="C650" s="1" t="n">
        <v>45740</v>
      </c>
      <c r="D650" t="inlineStr">
        <is>
          <t>VÄSTERBOTTENS LÄN</t>
        </is>
      </c>
      <c r="E650" t="inlineStr">
        <is>
          <t>ROBERTSFORS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45157-2023</t>
        </is>
      </c>
      <c r="B651" s="1" t="n">
        <v>45191</v>
      </c>
      <c r="C651" s="1" t="n">
        <v>45740</v>
      </c>
      <c r="D651" t="inlineStr">
        <is>
          <t>VÄSTERBOTTENS LÄN</t>
        </is>
      </c>
      <c r="E651" t="inlineStr">
        <is>
          <t>ROBERTSFORS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45571-2023</t>
        </is>
      </c>
      <c r="B652" s="1" t="n">
        <v>45194</v>
      </c>
      <c r="C652" s="1" t="n">
        <v>45740</v>
      </c>
      <c r="D652" t="inlineStr">
        <is>
          <t>VÄSTERBOTTENS LÄN</t>
        </is>
      </c>
      <c r="E652" t="inlineStr">
        <is>
          <t>ROBERTSFORS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46292-2023</t>
        </is>
      </c>
      <c r="B653" s="1" t="n">
        <v>45197</v>
      </c>
      <c r="C653" s="1" t="n">
        <v>45740</v>
      </c>
      <c r="D653" t="inlineStr">
        <is>
          <t>VÄSTERBOTTENS LÄN</t>
        </is>
      </c>
      <c r="E653" t="inlineStr">
        <is>
          <t>ROBERTSFORS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46331-2023</t>
        </is>
      </c>
      <c r="B654" s="1" t="n">
        <v>45197</v>
      </c>
      <c r="C654" s="1" t="n">
        <v>45740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46412-2023</t>
        </is>
      </c>
      <c r="B655" s="1" t="n">
        <v>45197</v>
      </c>
      <c r="C655" s="1" t="n">
        <v>45740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46388-2023</t>
        </is>
      </c>
      <c r="B656" s="1" t="n">
        <v>45197</v>
      </c>
      <c r="C656" s="1" t="n">
        <v>45740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46456-2023</t>
        </is>
      </c>
      <c r="B657" s="1" t="n">
        <v>45197</v>
      </c>
      <c r="C657" s="1" t="n">
        <v>45740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46427-2023</t>
        </is>
      </c>
      <c r="B658" s="1" t="n">
        <v>45197</v>
      </c>
      <c r="C658" s="1" t="n">
        <v>45740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46842-2023</t>
        </is>
      </c>
      <c r="B659" s="1" t="n">
        <v>45199</v>
      </c>
      <c r="C659" s="1" t="n">
        <v>45740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46888-2023</t>
        </is>
      </c>
      <c r="B660" s="1" t="n">
        <v>45201</v>
      </c>
      <c r="C660" s="1" t="n">
        <v>45740</v>
      </c>
      <c r="D660" t="inlineStr">
        <is>
          <t>VÄSTERBOTTENS LÄN</t>
        </is>
      </c>
      <c r="E660" t="inlineStr">
        <is>
          <t>ROBERTSFORS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48547-2023</t>
        </is>
      </c>
      <c r="B661" s="1" t="n">
        <v>45202</v>
      </c>
      <c r="C661" s="1" t="n">
        <v>45740</v>
      </c>
      <c r="D661" t="inlineStr">
        <is>
          <t>VÄSTERBOTTENS LÄN</t>
        </is>
      </c>
      <c r="E661" t="inlineStr">
        <is>
          <t>ROBERTSFORS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48920-2023</t>
        </is>
      </c>
      <c r="B662" s="1" t="n">
        <v>45204</v>
      </c>
      <c r="C662" s="1" t="n">
        <v>45740</v>
      </c>
      <c r="D662" t="inlineStr">
        <is>
          <t>VÄSTERBOTTENS LÄN</t>
        </is>
      </c>
      <c r="E662" t="inlineStr">
        <is>
          <t>ROBERTSFORS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48259-2023</t>
        </is>
      </c>
      <c r="B663" s="1" t="n">
        <v>45205</v>
      </c>
      <c r="C663" s="1" t="n">
        <v>45740</v>
      </c>
      <c r="D663" t="inlineStr">
        <is>
          <t>VÄSTERBOTTENS LÄN</t>
        </is>
      </c>
      <c r="E663" t="inlineStr">
        <is>
          <t>ROBERTSFORS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48252-2023</t>
        </is>
      </c>
      <c r="B664" s="1" t="n">
        <v>45205</v>
      </c>
      <c r="C664" s="1" t="n">
        <v>45740</v>
      </c>
      <c r="D664" t="inlineStr">
        <is>
          <t>VÄSTERBOTTENS LÄN</t>
        </is>
      </c>
      <c r="E664" t="inlineStr">
        <is>
          <t>ROBERTSFORS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49086-2023</t>
        </is>
      </c>
      <c r="B665" s="1" t="n">
        <v>45210</v>
      </c>
      <c r="C665" s="1" t="n">
        <v>45740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49679-2023</t>
        </is>
      </c>
      <c r="B666" s="1" t="n">
        <v>45212</v>
      </c>
      <c r="C666" s="1" t="n">
        <v>45740</v>
      </c>
      <c r="D666" t="inlineStr">
        <is>
          <t>VÄSTERBOTTENS LÄN</t>
        </is>
      </c>
      <c r="E666" t="inlineStr">
        <is>
          <t>ROBERTSFORS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51372-2023</t>
        </is>
      </c>
      <c r="B667" s="1" t="n">
        <v>45212</v>
      </c>
      <c r="C667" s="1" t="n">
        <v>45740</v>
      </c>
      <c r="D667" t="inlineStr">
        <is>
          <t>VÄSTERBOTTENS LÄN</t>
        </is>
      </c>
      <c r="E667" t="inlineStr">
        <is>
          <t>ROBERTSFORS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51352-2023</t>
        </is>
      </c>
      <c r="B668" s="1" t="n">
        <v>45212</v>
      </c>
      <c r="C668" s="1" t="n">
        <v>45740</v>
      </c>
      <c r="D668" t="inlineStr">
        <is>
          <t>VÄSTERBOTTENS LÄN</t>
        </is>
      </c>
      <c r="E668" t="inlineStr">
        <is>
          <t>ROBERTSFORS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51336-2023</t>
        </is>
      </c>
      <c r="B669" s="1" t="n">
        <v>45212</v>
      </c>
      <c r="C669" s="1" t="n">
        <v>45740</v>
      </c>
      <c r="D669" t="inlineStr">
        <is>
          <t>VÄSTERBOTTENS LÄN</t>
        </is>
      </c>
      <c r="E669" t="inlineStr">
        <is>
          <t>ROBERTSFORS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49958-2023</t>
        </is>
      </c>
      <c r="B670" s="1" t="n">
        <v>45215</v>
      </c>
      <c r="C670" s="1" t="n">
        <v>45740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50187-2023</t>
        </is>
      </c>
      <c r="B671" s="1" t="n">
        <v>45215</v>
      </c>
      <c r="C671" s="1" t="n">
        <v>45740</v>
      </c>
      <c r="D671" t="inlineStr">
        <is>
          <t>VÄSTERBOTTENS LÄN</t>
        </is>
      </c>
      <c r="E671" t="inlineStr">
        <is>
          <t>ROBERTSFORS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51937-2023</t>
        </is>
      </c>
      <c r="B672" s="1" t="n">
        <v>45216</v>
      </c>
      <c r="C672" s="1" t="n">
        <v>45740</v>
      </c>
      <c r="D672" t="inlineStr">
        <is>
          <t>VÄSTERBOTTENS LÄN</t>
        </is>
      </c>
      <c r="E672" t="inlineStr">
        <is>
          <t>ROBERTSFORS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50729-2023</t>
        </is>
      </c>
      <c r="B673" s="1" t="n">
        <v>45217</v>
      </c>
      <c r="C673" s="1" t="n">
        <v>45740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52539-2023</t>
        </is>
      </c>
      <c r="B674" s="1" t="n">
        <v>45218</v>
      </c>
      <c r="C674" s="1" t="n">
        <v>45740</v>
      </c>
      <c r="D674" t="inlineStr">
        <is>
          <t>VÄSTERBOTTENS LÄN</t>
        </is>
      </c>
      <c r="E674" t="inlineStr">
        <is>
          <t>ROBERTSFORS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51288-2023</t>
        </is>
      </c>
      <c r="B675" s="1" t="n">
        <v>45219</v>
      </c>
      <c r="C675" s="1" t="n">
        <v>45740</v>
      </c>
      <c r="D675" t="inlineStr">
        <is>
          <t>VÄSTERBOTTENS LÄN</t>
        </is>
      </c>
      <c r="E675" t="inlineStr">
        <is>
          <t>ROBERTSFORS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53242-2023</t>
        </is>
      </c>
      <c r="B676" s="1" t="n">
        <v>45222</v>
      </c>
      <c r="C676" s="1" t="n">
        <v>45740</v>
      </c>
      <c r="D676" t="inlineStr">
        <is>
          <t>VÄSTERBOTTENS LÄN</t>
        </is>
      </c>
      <c r="E676" t="inlineStr">
        <is>
          <t>ROBERTSFORS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52434-2023</t>
        </is>
      </c>
      <c r="B677" s="1" t="n">
        <v>45225</v>
      </c>
      <c r="C677" s="1" t="n">
        <v>45740</v>
      </c>
      <c r="D677" t="inlineStr">
        <is>
          <t>VÄSTERBOTTENS LÄN</t>
        </is>
      </c>
      <c r="E677" t="inlineStr">
        <is>
          <t>ROBERTSFORS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54477-2023</t>
        </is>
      </c>
      <c r="B678" s="1" t="n">
        <v>45226</v>
      </c>
      <c r="C678" s="1" t="n">
        <v>45740</v>
      </c>
      <c r="D678" t="inlineStr">
        <is>
          <t>VÄSTERBOTTENS LÄN</t>
        </is>
      </c>
      <c r="E678" t="inlineStr">
        <is>
          <t>ROBERTSFORS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54484-2023</t>
        </is>
      </c>
      <c r="B679" s="1" t="n">
        <v>45233</v>
      </c>
      <c r="C679" s="1" t="n">
        <v>45740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54500-2023</t>
        </is>
      </c>
      <c r="B680" s="1" t="n">
        <v>45233</v>
      </c>
      <c r="C680" s="1" t="n">
        <v>45740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54483-2023</t>
        </is>
      </c>
      <c r="B681" s="1" t="n">
        <v>45233</v>
      </c>
      <c r="C681" s="1" t="n">
        <v>45740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12.3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56449-2023</t>
        </is>
      </c>
      <c r="B682" s="1" t="n">
        <v>45237</v>
      </c>
      <c r="C682" s="1" t="n">
        <v>45740</v>
      </c>
      <c r="D682" t="inlineStr">
        <is>
          <t>VÄSTERBOTTENS LÄN</t>
        </is>
      </c>
      <c r="E682" t="inlineStr">
        <is>
          <t>ROBERTSFORS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56469-2023</t>
        </is>
      </c>
      <c r="B683" s="1" t="n">
        <v>45237</v>
      </c>
      <c r="C683" s="1" t="n">
        <v>45740</v>
      </c>
      <c r="D683" t="inlineStr">
        <is>
          <t>VÄSTERBOTTENS LÄN</t>
        </is>
      </c>
      <c r="E683" t="inlineStr">
        <is>
          <t>ROBERTSFORS</t>
        </is>
      </c>
      <c r="G683" t="n">
        <v>10.8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55552-2023</t>
        </is>
      </c>
      <c r="B684" s="1" t="n">
        <v>45238</v>
      </c>
      <c r="C684" s="1" t="n">
        <v>45740</v>
      </c>
      <c r="D684" t="inlineStr">
        <is>
          <t>VÄSTERBOTTENS LÄN</t>
        </is>
      </c>
      <c r="E684" t="inlineStr">
        <is>
          <t>ROBERTSFORS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55417-2023</t>
        </is>
      </c>
      <c r="B685" s="1" t="n">
        <v>45238</v>
      </c>
      <c r="C685" s="1" t="n">
        <v>45740</v>
      </c>
      <c r="D685" t="inlineStr">
        <is>
          <t>VÄSTERBOTTENS LÄN</t>
        </is>
      </c>
      <c r="E685" t="inlineStr">
        <is>
          <t>ROBERTSFORS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55544-2023</t>
        </is>
      </c>
      <c r="B686" s="1" t="n">
        <v>45238</v>
      </c>
      <c r="C686" s="1" t="n">
        <v>45740</v>
      </c>
      <c r="D686" t="inlineStr">
        <is>
          <t>VÄSTERBOTTENS LÄN</t>
        </is>
      </c>
      <c r="E686" t="inlineStr">
        <is>
          <t>ROBERTSFORS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55514-2023</t>
        </is>
      </c>
      <c r="B687" s="1" t="n">
        <v>45238</v>
      </c>
      <c r="C687" s="1" t="n">
        <v>45740</v>
      </c>
      <c r="D687" t="inlineStr">
        <is>
          <t>VÄSTERBOTTENS LÄN</t>
        </is>
      </c>
      <c r="E687" t="inlineStr">
        <is>
          <t>ROBERTSFORS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55603-2023</t>
        </is>
      </c>
      <c r="B688" s="1" t="n">
        <v>45238</v>
      </c>
      <c r="C688" s="1" t="n">
        <v>45740</v>
      </c>
      <c r="D688" t="inlineStr">
        <is>
          <t>VÄSTERBOTTENS LÄN</t>
        </is>
      </c>
      <c r="E688" t="inlineStr">
        <is>
          <t>ROBERTSFORS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57167-2023</t>
        </is>
      </c>
      <c r="B689" s="1" t="n">
        <v>45239</v>
      </c>
      <c r="C689" s="1" t="n">
        <v>45740</v>
      </c>
      <c r="D689" t="inlineStr">
        <is>
          <t>VÄSTERBOTTENS LÄN</t>
        </is>
      </c>
      <c r="E689" t="inlineStr">
        <is>
          <t>ROBERTSFORS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57265-2023</t>
        </is>
      </c>
      <c r="B690" s="1" t="n">
        <v>45245</v>
      </c>
      <c r="C690" s="1" t="n">
        <v>45740</v>
      </c>
      <c r="D690" t="inlineStr">
        <is>
          <t>VÄSTERBOTTENS LÄN</t>
        </is>
      </c>
      <c r="E690" t="inlineStr">
        <is>
          <t>ROBERTSFORS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45740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45740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45740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45740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45740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45740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45740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45740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45740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45740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45740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45740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45740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45740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45740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45740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45740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45740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45740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45740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45740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45740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45740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45740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45740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45740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45740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45740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45740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45740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45740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45740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45740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45740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45740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45740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45740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45740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45740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45740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45740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45740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45740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45740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45740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45740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45740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45740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45740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45740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45740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45740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45740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45740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45740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45740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45740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45740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45740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45740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45740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45740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45740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45740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45740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45740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45740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45740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45740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45740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45740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45740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45740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45740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45740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45740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45740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45740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45740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45740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45740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45740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45740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45740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45740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45740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45740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45740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45740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45740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45740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45740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45740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45740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45740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45740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45740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45740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45740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45740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45740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45740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45740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45740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45740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45740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45740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45740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45740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45740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45740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45740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45740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45740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45740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45740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45740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45740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45740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45740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45740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45740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45740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45740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45740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45740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45740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45740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45740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45740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45740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45740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45740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45740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45740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45740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45740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45740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45740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45740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45740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45740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45740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45740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45740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45740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45740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45740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45740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45740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45740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45740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45740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45740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45740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45740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45740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45740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45740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45740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45740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45740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45740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45740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45740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45740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45740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45740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45740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45740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45740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45740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45740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45740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45740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45740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45740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45740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45740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45740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45740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45740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45740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45740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45740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45740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45740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45740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45740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45740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45740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45740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45740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45740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45740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45740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45740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45740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45740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45740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45740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45740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45740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45740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45740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45740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45740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45740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45740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45740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45740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45740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45740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45740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45740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45740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45740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45740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45740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45740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45740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45740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45740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45740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45740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45740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45740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45740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45740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45740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45740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45740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45740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45740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45740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45740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45740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45740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45740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45740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45740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45740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45740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45740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45740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45740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45740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45740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45740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45740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45740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45740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45740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45740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45740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45740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45740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45740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45740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45740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45740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45740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45740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45740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45740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45740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45740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45740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45740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45740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45740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45740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45740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45740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45740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45740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45740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45740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45740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45740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45740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45740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45740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45740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45740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45740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45740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45740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45740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45740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45740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45740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45740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45740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45740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45740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45740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45740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45740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45740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45740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45740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45740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45740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45740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45740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45740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45740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45740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45740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45740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45740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45740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45740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45740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672-2025</t>
        </is>
      </c>
      <c r="B1006" s="1" t="n">
        <v>45664</v>
      </c>
      <c r="C1006" s="1" t="n">
        <v>45740</v>
      </c>
      <c r="D1006" t="inlineStr">
        <is>
          <t>VÄSTERBOTTENS LÄN</t>
        </is>
      </c>
      <c r="E1006" t="inlineStr">
        <is>
          <t>ROBERTSFORS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676-2025</t>
        </is>
      </c>
      <c r="B1007" s="1" t="n">
        <v>45664</v>
      </c>
      <c r="C1007" s="1" t="n">
        <v>45740</v>
      </c>
      <c r="D1007" t="inlineStr">
        <is>
          <t>VÄSTERBOTTENS LÄN</t>
        </is>
      </c>
      <c r="E1007" t="inlineStr">
        <is>
          <t>ROBERTSFORS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45740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45740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1243-2025</t>
        </is>
      </c>
      <c r="B1010" s="1" t="n">
        <v>45667</v>
      </c>
      <c r="C1010" s="1" t="n">
        <v>45740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45740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1578-2025</t>
        </is>
      </c>
      <c r="B1012" s="1" t="n">
        <v>45670</v>
      </c>
      <c r="C1012" s="1" t="n">
        <v>45740</v>
      </c>
      <c r="D1012" t="inlineStr">
        <is>
          <t>VÄSTERBOTTENS LÄN</t>
        </is>
      </c>
      <c r="E1012" t="inlineStr">
        <is>
          <t>ROBERTSFORS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1573-2025</t>
        </is>
      </c>
      <c r="B1013" s="1" t="n">
        <v>45670</v>
      </c>
      <c r="C1013" s="1" t="n">
        <v>45740</v>
      </c>
      <c r="D1013" t="inlineStr">
        <is>
          <t>VÄSTERBOTTENS LÄN</t>
        </is>
      </c>
      <c r="E1013" t="inlineStr">
        <is>
          <t>ROBERTSFORS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1691-2025</t>
        </is>
      </c>
      <c r="B1014" s="1" t="n">
        <v>45670</v>
      </c>
      <c r="C1014" s="1" t="n">
        <v>45740</v>
      </c>
      <c r="D1014" t="inlineStr">
        <is>
          <t>VÄSTERBOTTENS LÄN</t>
        </is>
      </c>
      <c r="E1014" t="inlineStr">
        <is>
          <t>ROBERTSFORS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1693-2025</t>
        </is>
      </c>
      <c r="B1015" s="1" t="n">
        <v>45670</v>
      </c>
      <c r="C1015" s="1" t="n">
        <v>45740</v>
      </c>
      <c r="D1015" t="inlineStr">
        <is>
          <t>VÄSTERBOTTENS LÄN</t>
        </is>
      </c>
      <c r="E1015" t="inlineStr">
        <is>
          <t>ROBERTSFORS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1689-2025</t>
        </is>
      </c>
      <c r="B1016" s="1" t="n">
        <v>45670</v>
      </c>
      <c r="C1016" s="1" t="n">
        <v>45740</v>
      </c>
      <c r="D1016" t="inlineStr">
        <is>
          <t>VÄSTERBOTTENS LÄN</t>
        </is>
      </c>
      <c r="E1016" t="inlineStr">
        <is>
          <t>ROBERTSFORS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1815-2025</t>
        </is>
      </c>
      <c r="B1017" s="1" t="n">
        <v>45671</v>
      </c>
      <c r="C1017" s="1" t="n">
        <v>45740</v>
      </c>
      <c r="D1017" t="inlineStr">
        <is>
          <t>VÄSTERBOTTENS LÄN</t>
        </is>
      </c>
      <c r="E1017" t="inlineStr">
        <is>
          <t>ROBERTSFORS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1814-2025</t>
        </is>
      </c>
      <c r="B1018" s="1" t="n">
        <v>45671</v>
      </c>
      <c r="C1018" s="1" t="n">
        <v>45740</v>
      </c>
      <c r="D1018" t="inlineStr">
        <is>
          <t>VÄSTERBOTTENS LÄN</t>
        </is>
      </c>
      <c r="E1018" t="inlineStr">
        <is>
          <t>ROBERTSFORS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45740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45740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45740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2696-2025</t>
        </is>
      </c>
      <c r="B1022" s="1" t="n">
        <v>45674</v>
      </c>
      <c r="C1022" s="1" t="n">
        <v>45740</v>
      </c>
      <c r="D1022" t="inlineStr">
        <is>
          <t>VÄSTERBOTTENS LÄN</t>
        </is>
      </c>
      <c r="E1022" t="inlineStr">
        <is>
          <t>ROBERTSFORS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2709-2025</t>
        </is>
      </c>
      <c r="B1023" s="1" t="n">
        <v>45674</v>
      </c>
      <c r="C1023" s="1" t="n">
        <v>45740</v>
      </c>
      <c r="D1023" t="inlineStr">
        <is>
          <t>VÄSTERBOTTENS LÄN</t>
        </is>
      </c>
      <c r="E1023" t="inlineStr">
        <is>
          <t>ROBERTSFORS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3124-2025</t>
        </is>
      </c>
      <c r="B1024" s="1" t="n">
        <v>45678</v>
      </c>
      <c r="C1024" s="1" t="n">
        <v>45740</v>
      </c>
      <c r="D1024" t="inlineStr">
        <is>
          <t>VÄSTERBOTTENS LÄN</t>
        </is>
      </c>
      <c r="E1024" t="inlineStr">
        <is>
          <t>ROBERTSFORS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3123-2025</t>
        </is>
      </c>
      <c r="B1025" s="1" t="n">
        <v>45678</v>
      </c>
      <c r="C1025" s="1" t="n">
        <v>45740</v>
      </c>
      <c r="D1025" t="inlineStr">
        <is>
          <t>VÄSTERBOTTENS LÄN</t>
        </is>
      </c>
      <c r="E1025" t="inlineStr">
        <is>
          <t>ROBERTSFORS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3050-2025</t>
        </is>
      </c>
      <c r="B1026" s="1" t="n">
        <v>45678</v>
      </c>
      <c r="C1026" s="1" t="n">
        <v>45740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3046-2025</t>
        </is>
      </c>
      <c r="B1027" s="1" t="n">
        <v>45678</v>
      </c>
      <c r="C1027" s="1" t="n">
        <v>45740</v>
      </c>
      <c r="D1027" t="inlineStr">
        <is>
          <t>VÄSTERBOTTENS LÄN</t>
        </is>
      </c>
      <c r="E1027" t="inlineStr">
        <is>
          <t>ROBERTSFORS</t>
        </is>
      </c>
      <c r="F1027" t="inlineStr">
        <is>
          <t>Holmen skog AB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3042-2025</t>
        </is>
      </c>
      <c r="B1028" s="1" t="n">
        <v>45678</v>
      </c>
      <c r="C1028" s="1" t="n">
        <v>45740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3222-2025</t>
        </is>
      </c>
      <c r="B1029" s="1" t="n">
        <v>45679</v>
      </c>
      <c r="C1029" s="1" t="n">
        <v>45740</v>
      </c>
      <c r="D1029" t="inlineStr">
        <is>
          <t>VÄSTERBOTTENS LÄN</t>
        </is>
      </c>
      <c r="E1029" t="inlineStr">
        <is>
          <t>ROBERTSFORS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3218-2025</t>
        </is>
      </c>
      <c r="B1030" s="1" t="n">
        <v>45679</v>
      </c>
      <c r="C1030" s="1" t="n">
        <v>45740</v>
      </c>
      <c r="D1030" t="inlineStr">
        <is>
          <t>VÄSTERBOTTENS LÄN</t>
        </is>
      </c>
      <c r="E1030" t="inlineStr">
        <is>
          <t>ROBERTSFORS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3783-2025</t>
        </is>
      </c>
      <c r="B1031" s="1" t="n">
        <v>45681</v>
      </c>
      <c r="C1031" s="1" t="n">
        <v>45740</v>
      </c>
      <c r="D1031" t="inlineStr">
        <is>
          <t>VÄSTERBOTTENS LÄN</t>
        </is>
      </c>
      <c r="E1031" t="inlineStr">
        <is>
          <t>ROBERTSFORS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4614-2025</t>
        </is>
      </c>
      <c r="B1032" s="1" t="n">
        <v>45687</v>
      </c>
      <c r="C1032" s="1" t="n">
        <v>45740</v>
      </c>
      <c r="D1032" t="inlineStr">
        <is>
          <t>VÄSTERBOTTENS LÄN</t>
        </is>
      </c>
      <c r="E1032" t="inlineStr">
        <is>
          <t>ROBERTSFORS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4618-2025</t>
        </is>
      </c>
      <c r="B1033" s="1" t="n">
        <v>45687</v>
      </c>
      <c r="C1033" s="1" t="n">
        <v>45740</v>
      </c>
      <c r="D1033" t="inlineStr">
        <is>
          <t>VÄSTERBOTTENS LÄN</t>
        </is>
      </c>
      <c r="E1033" t="inlineStr">
        <is>
          <t>ROBERTSFORS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4611-2025</t>
        </is>
      </c>
      <c r="B1034" s="1" t="n">
        <v>45687</v>
      </c>
      <c r="C1034" s="1" t="n">
        <v>45740</v>
      </c>
      <c r="D1034" t="inlineStr">
        <is>
          <t>VÄSTERBOTTENS LÄN</t>
        </is>
      </c>
      <c r="E1034" t="inlineStr">
        <is>
          <t>ROBERTSFORS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4552-2025</t>
        </is>
      </c>
      <c r="B1035" s="1" t="n">
        <v>45687</v>
      </c>
      <c r="C1035" s="1" t="n">
        <v>45740</v>
      </c>
      <c r="D1035" t="inlineStr">
        <is>
          <t>VÄSTERBOTTENS LÄN</t>
        </is>
      </c>
      <c r="E1035" t="inlineStr">
        <is>
          <t>ROBERTSFORS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4602-2025</t>
        </is>
      </c>
      <c r="B1036" s="1" t="n">
        <v>45687</v>
      </c>
      <c r="C1036" s="1" t="n">
        <v>45740</v>
      </c>
      <c r="D1036" t="inlineStr">
        <is>
          <t>VÄSTERBOTTENS LÄN</t>
        </is>
      </c>
      <c r="E1036" t="inlineStr">
        <is>
          <t>ROBERTSFORS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5251-2025</t>
        </is>
      </c>
      <c r="B1037" s="1" t="n">
        <v>45692</v>
      </c>
      <c r="C1037" s="1" t="n">
        <v>45740</v>
      </c>
      <c r="D1037" t="inlineStr">
        <is>
          <t>VÄSTERBOTTENS LÄN</t>
        </is>
      </c>
      <c r="E1037" t="inlineStr">
        <is>
          <t>ROBERTSFORS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5864-2025</t>
        </is>
      </c>
      <c r="B1038" s="1" t="n">
        <v>45695</v>
      </c>
      <c r="C1038" s="1" t="n">
        <v>45740</v>
      </c>
      <c r="D1038" t="inlineStr">
        <is>
          <t>VÄSTERBOTTENS LÄN</t>
        </is>
      </c>
      <c r="E1038" t="inlineStr">
        <is>
          <t>ROBERTSFORS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5877-2025</t>
        </is>
      </c>
      <c r="B1039" s="1" t="n">
        <v>45695</v>
      </c>
      <c r="C1039" s="1" t="n">
        <v>45740</v>
      </c>
      <c r="D1039" t="inlineStr">
        <is>
          <t>VÄSTERBOTTENS LÄN</t>
        </is>
      </c>
      <c r="E1039" t="inlineStr">
        <is>
          <t>ROBERTSFORS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5937-2025</t>
        </is>
      </c>
      <c r="B1040" s="1" t="n">
        <v>45695</v>
      </c>
      <c r="C1040" s="1" t="n">
        <v>45740</v>
      </c>
      <c r="D1040" t="inlineStr">
        <is>
          <t>VÄSTERBOTTENS LÄN</t>
        </is>
      </c>
      <c r="E1040" t="inlineStr">
        <is>
          <t>ROBERTSFORS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5969-2025</t>
        </is>
      </c>
      <c r="B1041" s="1" t="n">
        <v>45695</v>
      </c>
      <c r="C1041" s="1" t="n">
        <v>45740</v>
      </c>
      <c r="D1041" t="inlineStr">
        <is>
          <t>VÄSTERBOTTENS LÄN</t>
        </is>
      </c>
      <c r="E1041" t="inlineStr">
        <is>
          <t>ROBERTSFORS</t>
        </is>
      </c>
      <c r="G1041" t="n">
        <v>18.1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5997-2025</t>
        </is>
      </c>
      <c r="B1042" s="1" t="n">
        <v>45695</v>
      </c>
      <c r="C1042" s="1" t="n">
        <v>45740</v>
      </c>
      <c r="D1042" t="inlineStr">
        <is>
          <t>VÄSTERBOTTENS LÄN</t>
        </is>
      </c>
      <c r="E1042" t="inlineStr">
        <is>
          <t>ROBERTSFORS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5976-2025</t>
        </is>
      </c>
      <c r="B1043" s="1" t="n">
        <v>45695</v>
      </c>
      <c r="C1043" s="1" t="n">
        <v>45740</v>
      </c>
      <c r="D1043" t="inlineStr">
        <is>
          <t>VÄSTERBOTTENS LÄN</t>
        </is>
      </c>
      <c r="E1043" t="inlineStr">
        <is>
          <t>ROBERTSFORS</t>
        </is>
      </c>
      <c r="G1043" t="n">
        <v>16.8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6535-2025</t>
        </is>
      </c>
      <c r="B1044" s="1" t="n">
        <v>45699</v>
      </c>
      <c r="C1044" s="1" t="n">
        <v>45740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6725-2025</t>
        </is>
      </c>
      <c r="B1045" s="1" t="n">
        <v>45700</v>
      </c>
      <c r="C1045" s="1" t="n">
        <v>45740</v>
      </c>
      <c r="D1045" t="inlineStr">
        <is>
          <t>VÄSTERBOTTENS LÄN</t>
        </is>
      </c>
      <c r="E1045" t="inlineStr">
        <is>
          <t>ROBERTSFORS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7076-2025</t>
        </is>
      </c>
      <c r="B1046" s="1" t="n">
        <v>45701</v>
      </c>
      <c r="C1046" s="1" t="n">
        <v>45740</v>
      </c>
      <c r="D1046" t="inlineStr">
        <is>
          <t>VÄSTERBOTTENS LÄN</t>
        </is>
      </c>
      <c r="E1046" t="inlineStr">
        <is>
          <t>ROBERTSFORS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6914-2025</t>
        </is>
      </c>
      <c r="B1047" s="1" t="n">
        <v>45701</v>
      </c>
      <c r="C1047" s="1" t="n">
        <v>45740</v>
      </c>
      <c r="D1047" t="inlineStr">
        <is>
          <t>VÄSTERBOTTENS LÄN</t>
        </is>
      </c>
      <c r="E1047" t="inlineStr">
        <is>
          <t>ROBERTSFORS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6994-2025</t>
        </is>
      </c>
      <c r="B1048" s="1" t="n">
        <v>45701</v>
      </c>
      <c r="C1048" s="1" t="n">
        <v>45740</v>
      </c>
      <c r="D1048" t="inlineStr">
        <is>
          <t>VÄSTERBOTTENS LÄN</t>
        </is>
      </c>
      <c r="E1048" t="inlineStr">
        <is>
          <t>ROBERTSFORS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6983-2025</t>
        </is>
      </c>
      <c r="B1049" s="1" t="n">
        <v>45701</v>
      </c>
      <c r="C1049" s="1" t="n">
        <v>45740</v>
      </c>
      <c r="D1049" t="inlineStr">
        <is>
          <t>VÄSTERBOTTENS LÄN</t>
        </is>
      </c>
      <c r="E1049" t="inlineStr">
        <is>
          <t>ROBERTSFORS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7242-2025</t>
        </is>
      </c>
      <c r="B1050" s="1" t="n">
        <v>45702</v>
      </c>
      <c r="C1050" s="1" t="n">
        <v>45740</v>
      </c>
      <c r="D1050" t="inlineStr">
        <is>
          <t>VÄSTERBOTTENS LÄN</t>
        </is>
      </c>
      <c r="E1050" t="inlineStr">
        <is>
          <t>ROBERTSFORS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8309-2025</t>
        </is>
      </c>
      <c r="B1051" s="1" t="n">
        <v>45708</v>
      </c>
      <c r="C1051" s="1" t="n">
        <v>45740</v>
      </c>
      <c r="D1051" t="inlineStr">
        <is>
          <t>VÄSTERBOTTENS LÄN</t>
        </is>
      </c>
      <c r="E1051" t="inlineStr">
        <is>
          <t>ROBERTSFORS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8238-2025</t>
        </is>
      </c>
      <c r="B1052" s="1" t="n">
        <v>45708</v>
      </c>
      <c r="C1052" s="1" t="n">
        <v>45740</v>
      </c>
      <c r="D1052" t="inlineStr">
        <is>
          <t>VÄSTERBOTTENS LÄN</t>
        </is>
      </c>
      <c r="E1052" t="inlineStr">
        <is>
          <t>ROBERTSFORS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8201-2025</t>
        </is>
      </c>
      <c r="B1053" s="1" t="n">
        <v>45708</v>
      </c>
      <c r="C1053" s="1" t="n">
        <v>45740</v>
      </c>
      <c r="D1053" t="inlineStr">
        <is>
          <t>VÄSTERBOTTENS LÄN</t>
        </is>
      </c>
      <c r="E1053" t="inlineStr">
        <is>
          <t>ROBERTSFORS</t>
        </is>
      </c>
      <c r="F1053" t="inlineStr">
        <is>
          <t>Holmen skog AB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8256-2025</t>
        </is>
      </c>
      <c r="B1054" s="1" t="n">
        <v>45708</v>
      </c>
      <c r="C1054" s="1" t="n">
        <v>45740</v>
      </c>
      <c r="D1054" t="inlineStr">
        <is>
          <t>VÄSTERBOTTENS LÄN</t>
        </is>
      </c>
      <c r="E1054" t="inlineStr">
        <is>
          <t>ROBERTSFORS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8681-2025</t>
        </is>
      </c>
      <c r="B1055" s="1" t="n">
        <v>45712</v>
      </c>
      <c r="C1055" s="1" t="n">
        <v>45740</v>
      </c>
      <c r="D1055" t="inlineStr">
        <is>
          <t>VÄSTERBOTTENS LÄN</t>
        </is>
      </c>
      <c r="E1055" t="inlineStr">
        <is>
          <t>ROBERTSFORS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8686-2025</t>
        </is>
      </c>
      <c r="B1056" s="1" t="n">
        <v>45712</v>
      </c>
      <c r="C1056" s="1" t="n">
        <v>45740</v>
      </c>
      <c r="D1056" t="inlineStr">
        <is>
          <t>VÄSTERBOTTENS LÄN</t>
        </is>
      </c>
      <c r="E1056" t="inlineStr">
        <is>
          <t>ROBERTSFORS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8753-2025</t>
        </is>
      </c>
      <c r="B1057" s="1" t="n">
        <v>45712</v>
      </c>
      <c r="C1057" s="1" t="n">
        <v>45740</v>
      </c>
      <c r="D1057" t="inlineStr">
        <is>
          <t>VÄSTERBOTTENS LÄN</t>
        </is>
      </c>
      <c r="E1057" t="inlineStr">
        <is>
          <t>ROBERTSFORS</t>
        </is>
      </c>
      <c r="F1057" t="inlineStr">
        <is>
          <t>Kommuner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9251-2025</t>
        </is>
      </c>
      <c r="B1058" s="1" t="n">
        <v>45714</v>
      </c>
      <c r="C1058" s="1" t="n">
        <v>45740</v>
      </c>
      <c r="D1058" t="inlineStr">
        <is>
          <t>VÄSTERBOTTENS LÄN</t>
        </is>
      </c>
      <c r="E1058" t="inlineStr">
        <is>
          <t>ROBERTSFORS</t>
        </is>
      </c>
      <c r="F1058" t="inlineStr">
        <is>
          <t>Holmen skog AB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9187-2025</t>
        </is>
      </c>
      <c r="B1059" s="1" t="n">
        <v>45714</v>
      </c>
      <c r="C1059" s="1" t="n">
        <v>45740</v>
      </c>
      <c r="D1059" t="inlineStr">
        <is>
          <t>VÄSTERBOTTENS LÄN</t>
        </is>
      </c>
      <c r="E1059" t="inlineStr">
        <is>
          <t>ROBERTSFORS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9369-2025</t>
        </is>
      </c>
      <c r="B1060" s="1" t="n">
        <v>45715</v>
      </c>
      <c r="C1060" s="1" t="n">
        <v>45740</v>
      </c>
      <c r="D1060" t="inlineStr">
        <is>
          <t>VÄSTERBOTTENS LÄN</t>
        </is>
      </c>
      <c r="E1060" t="inlineStr">
        <is>
          <t>ROBERTSFORS</t>
        </is>
      </c>
      <c r="F1060" t="inlineStr">
        <is>
          <t>Holmen skog AB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9463-2025</t>
        </is>
      </c>
      <c r="B1061" s="1" t="n">
        <v>45715</v>
      </c>
      <c r="C1061" s="1" t="n">
        <v>45740</v>
      </c>
      <c r="D1061" t="inlineStr">
        <is>
          <t>VÄSTERBOTTENS LÄN</t>
        </is>
      </c>
      <c r="E1061" t="inlineStr">
        <is>
          <t>ROBERTSFORS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9476-2025</t>
        </is>
      </c>
      <c r="B1062" s="1" t="n">
        <v>45715</v>
      </c>
      <c r="C1062" s="1" t="n">
        <v>45740</v>
      </c>
      <c r="D1062" t="inlineStr">
        <is>
          <t>VÄSTERBOTTENS LÄN</t>
        </is>
      </c>
      <c r="E1062" t="inlineStr">
        <is>
          <t>ROBERTSFORS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10058-2025</t>
        </is>
      </c>
      <c r="B1063" s="1" t="n">
        <v>45719</v>
      </c>
      <c r="C1063" s="1" t="n">
        <v>45740</v>
      </c>
      <c r="D1063" t="inlineStr">
        <is>
          <t>VÄSTERBOTTENS LÄN</t>
        </is>
      </c>
      <c r="E1063" t="inlineStr">
        <is>
          <t>ROBERTSFORS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10052-2025</t>
        </is>
      </c>
      <c r="B1064" s="1" t="n">
        <v>45719</v>
      </c>
      <c r="C1064" s="1" t="n">
        <v>45740</v>
      </c>
      <c r="D1064" t="inlineStr">
        <is>
          <t>VÄSTERBOTTENS LÄN</t>
        </is>
      </c>
      <c r="E1064" t="inlineStr">
        <is>
          <t>ROBERTSFORS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10145-2025</t>
        </is>
      </c>
      <c r="B1065" s="1" t="n">
        <v>45719</v>
      </c>
      <c r="C1065" s="1" t="n">
        <v>45740</v>
      </c>
      <c r="D1065" t="inlineStr">
        <is>
          <t>VÄSTERBOTTENS LÄN</t>
        </is>
      </c>
      <c r="E1065" t="inlineStr">
        <is>
          <t>ROBERTSFORS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11985-2025</t>
        </is>
      </c>
      <c r="B1066" s="1" t="n">
        <v>45728</v>
      </c>
      <c r="C1066" s="1" t="n">
        <v>45740</v>
      </c>
      <c r="D1066" t="inlineStr">
        <is>
          <t>VÄSTERBOTTENS LÄN</t>
        </is>
      </c>
      <c r="E1066" t="inlineStr">
        <is>
          <t>ROBERTSFORS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12022-2025</t>
        </is>
      </c>
      <c r="B1067" s="1" t="n">
        <v>45728</v>
      </c>
      <c r="C1067" s="1" t="n">
        <v>45740</v>
      </c>
      <c r="D1067" t="inlineStr">
        <is>
          <t>VÄSTERBOTTENS LÄN</t>
        </is>
      </c>
      <c r="E1067" t="inlineStr">
        <is>
          <t>ROBERTSFORS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12034-2025</t>
        </is>
      </c>
      <c r="B1068" s="1" t="n">
        <v>45728</v>
      </c>
      <c r="C1068" s="1" t="n">
        <v>45740</v>
      </c>
      <c r="D1068" t="inlineStr">
        <is>
          <t>VÄSTERBOTTENS LÄN</t>
        </is>
      </c>
      <c r="E1068" t="inlineStr">
        <is>
          <t>ROBERTSFORS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11996-2025</t>
        </is>
      </c>
      <c r="B1069" s="1" t="n">
        <v>45728</v>
      </c>
      <c r="C1069" s="1" t="n">
        <v>45740</v>
      </c>
      <c r="D1069" t="inlineStr">
        <is>
          <t>VÄSTERBOTTENS LÄN</t>
        </is>
      </c>
      <c r="E1069" t="inlineStr">
        <is>
          <t>ROBERTSFORS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12881-2025</t>
        </is>
      </c>
      <c r="B1070" s="1" t="n">
        <v>45733</v>
      </c>
      <c r="C1070" s="1" t="n">
        <v>45740</v>
      </c>
      <c r="D1070" t="inlineStr">
        <is>
          <t>VÄSTERBOTTENS LÄN</t>
        </is>
      </c>
      <c r="E1070" t="inlineStr">
        <is>
          <t>ROBERTSFORS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12874-2025</t>
        </is>
      </c>
      <c r="B1071" s="1" t="n">
        <v>45733</v>
      </c>
      <c r="C1071" s="1" t="n">
        <v>45740</v>
      </c>
      <c r="D1071" t="inlineStr">
        <is>
          <t>VÄSTERBOTTENS LÄN</t>
        </is>
      </c>
      <c r="E1071" t="inlineStr">
        <is>
          <t>ROBERTSFORS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13026-2025</t>
        </is>
      </c>
      <c r="B1072" s="1" t="n">
        <v>45734</v>
      </c>
      <c r="C1072" s="1" t="n">
        <v>45740</v>
      </c>
      <c r="D1072" t="inlineStr">
        <is>
          <t>VÄSTERBOTTENS LÄN</t>
        </is>
      </c>
      <c r="E1072" t="inlineStr">
        <is>
          <t>ROBERTSFORS</t>
        </is>
      </c>
      <c r="G1072" t="n">
        <v>24.4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13277-2025</t>
        </is>
      </c>
      <c r="B1073" s="1" t="n">
        <v>45735</v>
      </c>
      <c r="C1073" s="1" t="n">
        <v>45740</v>
      </c>
      <c r="D1073" t="inlineStr">
        <is>
          <t>VÄSTERBOTTENS LÄN</t>
        </is>
      </c>
      <c r="E1073" t="inlineStr">
        <is>
          <t>ROBERTSFORS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>
      <c r="A1074" t="inlineStr">
        <is>
          <t>A 13282-2025</t>
        </is>
      </c>
      <c r="B1074" s="1" t="n">
        <v>45735</v>
      </c>
      <c r="C1074" s="1" t="n">
        <v>45740</v>
      </c>
      <c r="D1074" t="inlineStr">
        <is>
          <t>VÄSTERBOTTENS LÄN</t>
        </is>
      </c>
      <c r="E1074" t="inlineStr">
        <is>
          <t>ROBERTSFORS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2025-03-24T18:06:21Z</dcterms:created>
  <dcterms:modified xmlns:dcterms="http://purl.org/dc/terms/" xmlns:xsi="http://www.w3.org/2001/XMLSchema-instance" xsi:type="dcterms:W3CDTF">2025-03-24T18:06:22Z</dcterms:modified>
</cp:coreProperties>
</file>