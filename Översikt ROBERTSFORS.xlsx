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46265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46265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46265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46265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46265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46265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46265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46265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46265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46265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46265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46265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46265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46265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46265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46265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46265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46265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46265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46265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26204-2024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46265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3.9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8</v>
      </c>
      <c r="U26" t="n">
        <v>8</v>
      </c>
      <c r="V26" s="2" t="inlineStr">
        <is>
          <t>Tjäder
Orre</t>
        </is>
      </c>
      <c r="W26">
        <f>HYPERLINK("https://klasma.github.io/Logging_2409/artfynd/A 26204-2024 artfynd.xlsx", "A 26204-2024")</f>
        <v/>
      </c>
      <c r="X26">
        <f>HYPERLINK("https://klasma.github.io/Logging_2409/kartor/A 26204-2024 karta.png", "A 26204-2024")</f>
        <v/>
      </c>
      <c r="Y26">
        <f>HYPERLINK("https://klasma.github.io/Logging_2409/kartor_geotiff/A 26204-2024 georefererad karta.tif", "A 26204-2024")</f>
        <v/>
      </c>
      <c r="AA26">
        <f>HYPERLINK("https://klasma.github.io/Logging_2409/klagomål/A 26204-2024 FSC-klagomål.docx", "A 26204-2024")</f>
        <v/>
      </c>
      <c r="AB26">
        <f>HYPERLINK("https://klasma.github.io/Logging_2409/klagomålsmail/A 26204-2024 FSC-klagomål mail.docx", "A 26204-2024")</f>
        <v/>
      </c>
      <c r="AC26">
        <f>HYPERLINK("https://klasma.github.io/Logging_2409/tillsyn/A 26204-2024 tillsynsbegäran.docx", "A 26204-2024")</f>
        <v/>
      </c>
      <c r="AD26">
        <f>HYPERLINK("https://klasma.github.io/Logging_2409/tillsynsmail/A 26204-2024 tillsynsbegäran mail.docx", "A 26204-2024")</f>
        <v/>
      </c>
      <c r="AE26">
        <f>HYPERLINK("https://klasma.github.io/Logging_2409/fåglar/A 26204-2024 prioriterade fågelarter.docx", "A 26204-2024")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46265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46265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46265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46265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46265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46265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46265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46265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46265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46265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46265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46265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46265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46265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46265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46265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46265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46265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46265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46265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46265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46265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HYPERLINK("https://klasma.github.io/Logging_2409/artfynd/A 41767-2023 artfynd.xlsx", "A 41767-2023")</f>
        <v/>
      </c>
      <c r="X49">
        <f>HYPERLINK("https://klasma.github.io/Logging_2409/kartor/A 41767-2023 karta.png", "A 41767-2023")</f>
        <v/>
      </c>
      <c r="Y49">
        <f>HYPERLINK("https://klasma.github.io/Logging_2409/kartor_geotiff/A 41767-2023 georefererad karta.tif", "A 41767-2023")</f>
        <v/>
      </c>
      <c r="AA49">
        <f>HYPERLINK("https://klasma.github.io/Logging_2409/klagomål/A 41767-2023 FSC-klagomål.docx", "A 41767-2023")</f>
        <v/>
      </c>
      <c r="AB49">
        <f>HYPERLINK("https://klasma.github.io/Logging_2409/klagomålsmail/A 41767-2023 FSC-klagomål mail.docx", "A 41767-2023")</f>
        <v/>
      </c>
      <c r="AC49">
        <f>HYPERLINK("https://klasma.github.io/Logging_2409/tillsyn/A 41767-2023 tillsynsbegäran.docx", "A 41767-2023")</f>
        <v/>
      </c>
      <c r="AD49">
        <f>HYPERLINK("https://klasma.github.io/Logging_2409/tillsynsmail/A 41767-2023 tillsynsbegäran mail.docx", "A 41767-2023")</f>
        <v/>
      </c>
    </row>
    <row r="50" ht="15" customHeight="1">
      <c r="A50" t="inlineStr">
        <is>
          <t>A 5285-2026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46265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HYPERLINK("https://klasma.github.io/Logging_2409/artfynd/A 5285-2026 artfynd.xlsx", "A 5285-2026")</f>
        <v/>
      </c>
      <c r="X50">
        <f>HYPERLINK("https://klasma.github.io/Logging_2409/kartor/A 5285-2026 karta.png", "A 5285-2026")</f>
        <v/>
      </c>
      <c r="Y50">
        <f>HYPERLINK("https://klasma.github.io/Logging_2409/kartor_geotiff/A 5285-2026 georefererad karta.tif", "A 5285-2026")</f>
        <v/>
      </c>
      <c r="AA50">
        <f>HYPERLINK("https://klasma.github.io/Logging_2409/klagomål/A 5285-2026 FSC-klagomål.docx", "A 5285-2026")</f>
        <v/>
      </c>
      <c r="AB50">
        <f>HYPERLINK("https://klasma.github.io/Logging_2409/klagomålsmail/A 5285-2026 FSC-klagomål mail.docx", "A 5285-2026")</f>
        <v/>
      </c>
      <c r="AC50">
        <f>HYPERLINK("https://klasma.github.io/Logging_2409/tillsyn/A 5285-2026 tillsynsbegäran.docx", "A 5285-2026")</f>
        <v/>
      </c>
      <c r="AD50">
        <f>HYPERLINK("https://klasma.github.io/Logging_2409/tillsynsmail/A 5285-2026 tillsynsbegäran mail.docx", "A 5285-2026")</f>
        <v/>
      </c>
      <c r="AE50">
        <f>HYPERLINK("https://klasma.github.io/Logging_2409/fåglar/A 5285-2026 prioriterade fågelarter.docx", "A 5285-2026")</f>
        <v/>
      </c>
    </row>
    <row r="51" ht="15" customHeight="1">
      <c r="A51" t="inlineStr">
        <is>
          <t>A 5284-2026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46265</v>
      </c>
      <c r="F51" t="inlineStr">
        <is>
          <t>VÄSTERBOTTENS LÄN</t>
        </is>
      </c>
      <c r="G51" t="inlineStr">
        <is>
          <t>ROBERTSFORS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HYPERLINK("https://klasma.github.io/Logging_2409/artfynd/A 5284-2026 artfynd.xlsx", "A 5284-2026")</f>
        <v/>
      </c>
      <c r="X51">
        <f>HYPERLINK("https://klasma.github.io/Logging_2409/kartor/A 5284-2026 karta.png", "A 5284-2026")</f>
        <v/>
      </c>
      <c r="Y51">
        <f>HYPERLINK("https://klasma.github.io/Logging_2409/kartor_geotiff/A 5284-2026 georefererad karta.tif", "A 5284-2026")</f>
        <v/>
      </c>
      <c r="AA51">
        <f>HYPERLINK("https://klasma.github.io/Logging_2409/klagomål/A 5284-2026 FSC-klagomål.docx", "A 5284-2026")</f>
        <v/>
      </c>
      <c r="AB51">
        <f>HYPERLINK("https://klasma.github.io/Logging_2409/klagomålsmail/A 5284-2026 FSC-klagomål mail.docx", "A 5284-2026")</f>
        <v/>
      </c>
      <c r="AC51">
        <f>HYPERLINK("https://klasma.github.io/Logging_2409/tillsyn/A 5284-2026 tillsynsbegäran.docx", "A 5284-2026")</f>
        <v/>
      </c>
      <c r="AD51">
        <f>HYPERLINK("https://klasma.github.io/Logging_2409/tillsynsmail/A 5284-2026 tillsynsbegäran mail.docx", "A 5284-2026")</f>
        <v/>
      </c>
      <c r="AE51">
        <f>HYPERLINK("https://klasma.github.io/Logging_2409/fåglar/A 5284-2026 prioriterade fågelarter.docx", "A 5284-2026")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46265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Björktrast</t>
        </is>
      </c>
      <c r="W52">
        <f>HYPERLINK("https://klasma.github.io/Logging_2409/artfynd/A 5289-2026 artfynd.xlsx", "A 5289-2026")</f>
        <v/>
      </c>
      <c r="X52">
        <f>HYPERLINK("https://klasma.github.io/Logging_2409/kartor/A 5289-2026 karta.png", "A 5289-2026")</f>
        <v/>
      </c>
      <c r="Y52">
        <f>HYPERLINK("https://klasma.github.io/Logging_2409/kartor_geotiff/A 5289-2026 georefererad karta.tif", "A 5289-2026")</f>
        <v/>
      </c>
      <c r="AA52">
        <f>HYPERLINK("https://klasma.github.io/Logging_2409/klagomål/A 5289-2026 FSC-klagomål.docx", "A 5289-2026")</f>
        <v/>
      </c>
      <c r="AB52">
        <f>HYPERLINK("https://klasma.github.io/Logging_2409/klagomålsmail/A 5289-2026 FSC-klagomål mail.docx", "A 5289-2026")</f>
        <v/>
      </c>
      <c r="AC52">
        <f>HYPERLINK("https://klasma.github.io/Logging_2409/tillsyn/A 5289-2026 tillsynsbegäran.docx", "A 5289-2026")</f>
        <v/>
      </c>
      <c r="AD52">
        <f>HYPERLINK("https://klasma.github.io/Logging_2409/tillsynsmail/A 5289-2026 tillsynsbegäran mail.docx", "A 5289-2026")</f>
        <v/>
      </c>
      <c r="AE52">
        <f>HYPERLINK("https://klasma.github.io/Logging_2409/fåglar/A 5289-2026 prioriterade fågelarter.docx", "A 5289-2026")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46265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HYPERLINK("https://klasma.github.io/Logging_2409/artfynd/A 32876-2023 artfynd.xlsx", "A 32876-2023")</f>
        <v/>
      </c>
      <c r="X53">
        <f>HYPERLINK("https://klasma.github.io/Logging_2409/kartor/A 32876-2023 karta.png", "A 32876-2023")</f>
        <v/>
      </c>
      <c r="Y53">
        <f>HYPERLINK("https://klasma.github.io/Logging_2409/kartor_geotiff/A 32876-2023 georefererad karta.tif", "A 32876-2023")</f>
        <v/>
      </c>
      <c r="AA53">
        <f>HYPERLINK("https://klasma.github.io/Logging_2409/klagomål/A 32876-2023 FSC-klagomål.docx", "A 32876-2023")</f>
        <v/>
      </c>
      <c r="AB53">
        <f>HYPERLINK("https://klasma.github.io/Logging_2409/klagomålsmail/A 32876-2023 FSC-klagomål mail.docx", "A 32876-2023")</f>
        <v/>
      </c>
      <c r="AC53">
        <f>HYPERLINK("https://klasma.github.io/Logging_2409/tillsyn/A 32876-2023 tillsynsbegäran.docx", "A 32876-2023")</f>
        <v/>
      </c>
      <c r="AD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46265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46265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46265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HYPERLINK("https://klasma.github.io/Logging_2409/artfynd/A 8753-2025 artfynd.xlsx", "A 8753-2025")</f>
        <v/>
      </c>
      <c r="X56">
        <f>HYPERLINK("https://klasma.github.io/Logging_2409/kartor/A 8753-2025 karta.png", "A 8753-2025")</f>
        <v/>
      </c>
      <c r="Y56">
        <f>HYPERLINK("https://klasma.github.io/Logging_2409/kartor_geotiff/A 8753-2025 georefererad karta.tif", "A 8753-2025")</f>
        <v/>
      </c>
      <c r="AA56">
        <f>HYPERLINK("https://klasma.github.io/Logging_2409/klagomål/A 8753-2025 FSC-klagomål.docx", "A 8753-2025")</f>
        <v/>
      </c>
      <c r="AB56">
        <f>HYPERLINK("https://klasma.github.io/Logging_2409/klagomålsmail/A 8753-2025 FSC-klagomål mail.docx", "A 8753-2025")</f>
        <v/>
      </c>
      <c r="AC56">
        <f>HYPERLINK("https://klasma.github.io/Logging_2409/tillsyn/A 8753-2025 tillsynsbegäran.docx", "A 8753-2025")</f>
        <v/>
      </c>
      <c r="AD56">
        <f>HYPERLINK("https://klasma.github.io/Logging_2409/tillsynsmail/A 8753-2025 tillsynsbegäran mail.docx", "A 8753-2025")</f>
        <v/>
      </c>
    </row>
    <row r="57" ht="15" customHeight="1">
      <c r="A57" t="inlineStr">
        <is>
          <t>A 57284-2023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45245</v>
      </c>
      <c r="E57" s="1" t="n">
        <v>46265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6.8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HYPERLINK("https://klasma.github.io/Logging_2409/artfynd/A 57284-2023 artfynd.xlsx", "A 57284-2023")</f>
        <v/>
      </c>
      <c r="X57">
        <f>HYPERLINK("https://klasma.github.io/Logging_2409/kartor/A 57284-2023 karta.png", "A 57284-2023")</f>
        <v/>
      </c>
      <c r="Y57">
        <f>HYPERLINK("https://klasma.github.io/Logging_2409/kartor_geotiff/A 57284-2023 georefererad karta.tif", "A 57284-2023")</f>
        <v/>
      </c>
      <c r="AA57">
        <f>HYPERLINK("https://klasma.github.io/Logging_2409/klagomål/A 57284-2023 FSC-klagomål.docx", "A 57284-2023")</f>
        <v/>
      </c>
      <c r="AB57">
        <f>HYPERLINK("https://klasma.github.io/Logging_2409/klagomålsmail/A 57284-2023 FSC-klagomål mail.docx", "A 57284-2023")</f>
        <v/>
      </c>
      <c r="AC57">
        <f>HYPERLINK("https://klasma.github.io/Logging_2409/tillsyn/A 57284-2023 tillsynsbegäran.docx", "A 57284-2023")</f>
        <v/>
      </c>
      <c r="AD57">
        <f>HYPERLINK("https://klasma.github.io/Logging_2409/tillsynsmail/A 57284-2023 tillsynsbegäran mail.docx", "A 57284-2023")</f>
        <v/>
      </c>
    </row>
    <row r="58" ht="15" customHeight="1">
      <c r="A58" t="inlineStr">
        <is>
          <t>A 42891-2023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46265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HYPERLINK("https://klasma.github.io/Logging_2409/artfynd/A 42891-2023 artfynd.xlsx", "A 42891-2023")</f>
        <v/>
      </c>
      <c r="X58">
        <f>HYPERLINK("https://klasma.github.io/Logging_2409/kartor/A 42891-2023 karta.png", "A 42891-2023")</f>
        <v/>
      </c>
      <c r="Y58">
        <f>HYPERLINK("https://klasma.github.io/Logging_2409/kartor_geotiff/A 42891-2023 georefererad karta.tif", "A 42891-2023")</f>
        <v/>
      </c>
      <c r="AA58">
        <f>HYPERLINK("https://klasma.github.io/Logging_2409/klagomål/A 42891-2023 FSC-klagomål.docx", "A 42891-2023")</f>
        <v/>
      </c>
      <c r="AB58">
        <f>HYPERLINK("https://klasma.github.io/Logging_2409/klagomålsmail/A 42891-2023 FSC-klagomål mail.docx", "A 42891-2023")</f>
        <v/>
      </c>
      <c r="AC58">
        <f>HYPERLINK("https://klasma.github.io/Logging_2409/tillsyn/A 42891-2023 tillsynsbegäran.docx", "A 42891-2023")</f>
        <v/>
      </c>
      <c r="AD58">
        <f>HYPERLINK("https://klasma.github.io/Logging_2409/tillsynsmail/A 42891-2023 tillsynsbegäran mail.docx", "A 42891-2023")</f>
        <v/>
      </c>
    </row>
    <row r="59" ht="15" customHeight="1">
      <c r="A59" t="inlineStr">
        <is>
          <t>A 35551-2025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45856</v>
      </c>
      <c r="E59" s="1" t="n">
        <v>46265</v>
      </c>
      <c r="F59" t="inlineStr">
        <is>
          <t>VÄSTERBOTTENS LÄN</t>
        </is>
      </c>
      <c r="G59" t="inlineStr">
        <is>
          <t>ROBERTSFORS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HYPERLINK("https://klasma.github.io/Logging_2409/artfynd/A 35551-2025 artfynd.xlsx", "A 35551-2025")</f>
        <v/>
      </c>
      <c r="X59">
        <f>HYPERLINK("https://klasma.github.io/Logging_2409/kartor/A 35551-2025 karta.png", "A 35551-2025")</f>
        <v/>
      </c>
      <c r="Y59">
        <f>HYPERLINK("https://klasma.github.io/Logging_2409/kartor_geotiff/A 35551-2025 georefererad karta.tif", "A 35551-2025")</f>
        <v/>
      </c>
      <c r="AA59">
        <f>HYPERLINK("https://klasma.github.io/Logging_2409/klagomål/A 35551-2025 FSC-klagomål.docx", "A 35551-2025")</f>
        <v/>
      </c>
      <c r="AB59">
        <f>HYPERLINK("https://klasma.github.io/Logging_2409/klagomålsmail/A 35551-2025 FSC-klagomål mail.docx", "A 35551-2025")</f>
        <v/>
      </c>
      <c r="AC59">
        <f>HYPERLINK("https://klasma.github.io/Logging_2409/tillsyn/A 35551-2025 tillsynsbegäran.docx", "A 35551-2025")</f>
        <v/>
      </c>
      <c r="AD59">
        <f>HYPERLINK("https://klasma.github.io/Logging_2409/tillsynsmail/A 35551-2025 tillsynsbegäran mail.docx", "A 35551-2025")</f>
        <v/>
      </c>
      <c r="AE59">
        <f>HYPERLINK("https://klasma.github.io/Logging_2409/fåglar/A 35551-2025 prioriterade fågelarter.docx", "A 35551-2025")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46265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32023-2024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45510</v>
      </c>
      <c r="E61" s="1" t="n">
        <v>46265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HYPERLINK("https://klasma.github.io/Logging_2409/artfynd/A 32023-2024 artfynd.xlsx", "A 32023-2024")</f>
        <v/>
      </c>
      <c r="X61">
        <f>HYPERLINK("https://klasma.github.io/Logging_2409/kartor/A 32023-2024 karta.png", "A 32023-2024")</f>
        <v/>
      </c>
      <c r="Y61">
        <f>HYPERLINK("https://klasma.github.io/Logging_2409/kartor_geotiff/A 32023-2024 georefererad karta.tif", "A 32023-2024")</f>
        <v/>
      </c>
      <c r="AA61">
        <f>HYPERLINK("https://klasma.github.io/Logging_2409/klagomål/A 32023-2024 FSC-klagomål.docx", "A 32023-2024")</f>
        <v/>
      </c>
      <c r="AB61">
        <f>HYPERLINK("https://klasma.github.io/Logging_2409/klagomålsmail/A 32023-2024 FSC-klagomål mail.docx", "A 32023-2024")</f>
        <v/>
      </c>
      <c r="AC61">
        <f>HYPERLINK("https://klasma.github.io/Logging_2409/tillsyn/A 32023-2024 tillsynsbegäran.docx", "A 32023-2024")</f>
        <v/>
      </c>
      <c r="AD61">
        <f>HYPERLINK("https://klasma.github.io/Logging_2409/tillsynsmail/A 32023-2024 tillsynsbegäran mail.docx", "A 32023-2024")</f>
        <v/>
      </c>
    </row>
    <row r="62" ht="15" customHeight="1">
      <c r="A62" t="inlineStr">
        <is>
          <t>A 40600-2022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46265</v>
      </c>
      <c r="F62" t="inlineStr">
        <is>
          <t>VÄSTERBOTTENS LÄN</t>
        </is>
      </c>
      <c r="G62" t="inlineStr">
        <is>
          <t>ROBERTSFORS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Fiskgjuse</t>
        </is>
      </c>
      <c r="W62">
        <f>HYPERLINK("https://klasma.github.io/Logging_2409/artfynd/A 40600-2022 artfynd.xlsx", "A 40600-2022")</f>
        <v/>
      </c>
      <c r="X62">
        <f>HYPERLINK("https://klasma.github.io/Logging_2409/kartor/A 40600-2022 karta.png", "A 40600-2022")</f>
        <v/>
      </c>
      <c r="Y62">
        <f>HYPERLINK("https://klasma.github.io/Logging_2409/kartor_geotiff/A 40600-2022 georefererad karta.tif", "A 40600-2022")</f>
        <v/>
      </c>
      <c r="AA62">
        <f>HYPERLINK("https://klasma.github.io/Logging_2409/klagomål/A 40600-2022 FSC-klagomål.docx", "A 40600-2022")</f>
        <v/>
      </c>
      <c r="AB62">
        <f>HYPERLINK("https://klasma.github.io/Logging_2409/klagomålsmail/A 40600-2022 FSC-klagomål mail.docx", "A 40600-2022")</f>
        <v/>
      </c>
      <c r="AC62">
        <f>HYPERLINK("https://klasma.github.io/Logging_2409/tillsyn/A 40600-2022 tillsynsbegäran.docx", "A 40600-2022")</f>
        <v/>
      </c>
      <c r="AD62">
        <f>HYPERLINK("https://klasma.github.io/Logging_2409/tillsynsmail/A 40600-2022 tillsynsbegäran mail.docx", "A 40600-2022")</f>
        <v/>
      </c>
      <c r="AE62">
        <f>HYPERLINK("https://klasma.github.io/Logging_2409/fåglar/A 40600-2022 prioriterade fågelarter.docx", "A 40600-2022")</f>
        <v/>
      </c>
    </row>
    <row r="63" ht="15" customHeight="1">
      <c r="A63" t="inlineStr">
        <is>
          <t>A 54484-2023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46265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Dropptaggsvamp</t>
        </is>
      </c>
      <c r="W63">
        <f>HYPERLINK("https://klasma.github.io/Logging_2409/artfynd/A 54484-2023 artfynd.xlsx", "A 54484-2023")</f>
        <v/>
      </c>
      <c r="X63">
        <f>HYPERLINK("https://klasma.github.io/Logging_2409/kartor/A 54484-2023 karta.png", "A 54484-2023")</f>
        <v/>
      </c>
      <c r="Y63">
        <f>HYPERLINK("https://klasma.github.io/Logging_2409/kartor_geotiff/A 54484-2023 georefererad karta.tif", "A 54484-2023")</f>
        <v/>
      </c>
      <c r="AA63">
        <f>HYPERLINK("https://klasma.github.io/Logging_2409/klagomål/A 54484-2023 FSC-klagomål.docx", "A 54484-2023")</f>
        <v/>
      </c>
      <c r="AB63">
        <f>HYPERLINK("https://klasma.github.io/Logging_2409/klagomålsmail/A 54484-2023 FSC-klagomål mail.docx", "A 54484-2023")</f>
        <v/>
      </c>
      <c r="AC63">
        <f>HYPERLINK("https://klasma.github.io/Logging_2409/tillsyn/A 54484-2023 tillsynsbegäran.docx", "A 54484-2023")</f>
        <v/>
      </c>
      <c r="AD63">
        <f>HYPERLINK("https://klasma.github.io/Logging_2409/tillsynsmail/A 54484-2023 tillsynsbegäran mail.docx", "A 54484-2023")</f>
        <v/>
      </c>
    </row>
    <row r="64" ht="15" customHeight="1">
      <c r="A64" t="inlineStr">
        <is>
          <t>A 10145-2025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46265</v>
      </c>
      <c r="F64" t="inlineStr">
        <is>
          <t>VÄSTERBOTTENS LÄN</t>
        </is>
      </c>
      <c r="G64" t="inlineStr">
        <is>
          <t>ROBERTSFORS</t>
        </is>
      </c>
      <c r="I64" t="n">
        <v>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HYPERLINK("https://klasma.github.io/Logging_2409/artfynd/A 10145-2025 artfynd.xlsx", "A 10145-2025")</f>
        <v/>
      </c>
      <c r="X64">
        <f>HYPERLINK("https://klasma.github.io/Logging_2409/kartor/A 10145-2025 karta.png", "A 10145-2025")</f>
        <v/>
      </c>
      <c r="Y64">
        <f>HYPERLINK("https://klasma.github.io/Logging_2409/kartor_geotiff/A 10145-2025 georefererad karta.tif", "A 10145-2025")</f>
        <v/>
      </c>
      <c r="AA64">
        <f>HYPERLINK("https://klasma.github.io/Logging_2409/klagomål/A 10145-2025 FSC-klagomål.docx", "A 10145-2025")</f>
        <v/>
      </c>
      <c r="AB64">
        <f>HYPERLINK("https://klasma.github.io/Logging_2409/klagomålsmail/A 10145-2025 FSC-klagomål mail.docx", "A 10145-2025")</f>
        <v/>
      </c>
      <c r="AC64">
        <f>HYPERLINK("https://klasma.github.io/Logging_2409/tillsyn/A 10145-2025 tillsynsbegäran.docx", "A 10145-2025")</f>
        <v/>
      </c>
      <c r="AD64">
        <f>HYPERLINK("https://klasma.github.io/Logging_2409/tillsynsmail/A 10145-2025 tillsynsbegäran mail.docx", "A 10145-2025")</f>
        <v/>
      </c>
    </row>
    <row r="65" ht="15" customHeight="1">
      <c r="A65" t="inlineStr">
        <is>
          <t>A 52723-2025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46265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HYPERLINK("https://klasma.github.io/Logging_2409/artfynd/A 52723-2025 artfynd.xlsx", "A 52723-2025")</f>
        <v/>
      </c>
      <c r="X65">
        <f>HYPERLINK("https://klasma.github.io/Logging_2409/kartor/A 52723-2025 karta.png", "A 52723-2025")</f>
        <v/>
      </c>
      <c r="Y65">
        <f>HYPERLINK("https://klasma.github.io/Logging_2409/kartor_geotiff/A 52723-2025 georefererad karta.tif", "A 52723-2025")</f>
        <v/>
      </c>
      <c r="AA65">
        <f>HYPERLINK("https://klasma.github.io/Logging_2409/klagomål/A 52723-2025 FSC-klagomål.docx", "A 52723-2025")</f>
        <v/>
      </c>
      <c r="AB65">
        <f>HYPERLINK("https://klasma.github.io/Logging_2409/klagomålsmail/A 52723-2025 FSC-klagomål mail.docx", "A 52723-2025")</f>
        <v/>
      </c>
      <c r="AC65">
        <f>HYPERLINK("https://klasma.github.io/Logging_2409/tillsyn/A 52723-2025 tillsynsbegäran.docx", "A 52723-2025")</f>
        <v/>
      </c>
      <c r="AD65">
        <f>HYPERLINK("https://klasma.github.io/Logging_2409/tillsynsmail/A 52723-2025 tillsynsbegäran mail.docx", "A 52723-2025")</f>
        <v/>
      </c>
      <c r="AE65">
        <f>HYPERLINK("https://klasma.github.io/Logging_2409/fåglar/A 52723-2025 prioriterade fågelarter.docx", "A 52723-2025")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46265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t="n">
        <v>0</v>
      </c>
      <c r="V66" s="2" t="inlineStr">
        <is>
          <t>Garnlav</t>
        </is>
      </c>
      <c r="W66">
        <f>HYPERLINK("https://klasma.github.io/Logging_2409/artfynd/A 28224-2026 artfynd.xlsx", "A 28224-2026")</f>
        <v/>
      </c>
      <c r="X66">
        <f>HYPERLINK("https://klasma.github.io/Logging_2409/kartor/A 28224-2026 karta.png", "A 28224-2026")</f>
        <v/>
      </c>
      <c r="Y66">
        <f>HYPERLINK("https://klasma.github.io/Logging_2409/kartor_geotiff/A 28224-2026 georefererad karta.tif", "A 28224-2026")</f>
        <v/>
      </c>
      <c r="AA66">
        <f>HYPERLINK("https://klasma.github.io/Logging_2409/klagomål/A 28224-2026 FSC-klagomål.docx", "A 28224-2026")</f>
        <v/>
      </c>
      <c r="AB66">
        <f>HYPERLINK("https://klasma.github.io/Logging_2409/klagomålsmail/A 28224-2026 FSC-klagomål mail.docx", "A 28224-2026")</f>
        <v/>
      </c>
      <c r="AC66">
        <f>HYPERLINK("https://klasma.github.io/Logging_2409/tillsyn/A 28224-2026 tillsynsbegäran.docx", "A 28224-2026")</f>
        <v/>
      </c>
      <c r="AD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46265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46265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46265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46265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46265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46265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46265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46265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46265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46265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46265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46265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46265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46265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46265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46265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46265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46265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46265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46265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46265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46265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46265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46265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46265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46265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46265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44447</v>
      </c>
      <c r="E94" s="1" t="n">
        <v>46265</v>
      </c>
      <c r="F94" t="inlineStr">
        <is>
          <t>VÄSTERBOTTENS LÄN</t>
        </is>
      </c>
      <c r="G94" t="inlineStr">
        <is>
          <t>ROBERTSFORS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46265</v>
      </c>
      <c r="F95" t="inlineStr">
        <is>
          <t>VÄSTERBOTTENS LÄN</t>
        </is>
      </c>
      <c r="G95" t="inlineStr">
        <is>
          <t>ROBERTSFORS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54502-2021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46265</v>
      </c>
      <c r="F96" t="inlineStr">
        <is>
          <t>VÄSTERBOTTENS LÄN</t>
        </is>
      </c>
      <c r="G96" t="inlineStr">
        <is>
          <t>ROBERTSFORS</t>
        </is>
      </c>
      <c r="H96" t="inlineStr">
        <is>
          <t>Sveaskog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46265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46265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46265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46265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46265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46265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46265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46265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46265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46265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46265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46265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46265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46265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46265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46265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46265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46265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46265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46265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46265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46265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46265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46265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46265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46265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46265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46265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46265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46265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46265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46265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46265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46265</v>
      </c>
      <c r="F130" t="inlineStr">
        <is>
          <t>VÄSTERBOTTENS LÄN</t>
        </is>
      </c>
      <c r="G130" t="inlineStr">
        <is>
          <t>ROBERTSFORS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46265</v>
      </c>
      <c r="F131" t="inlineStr">
        <is>
          <t>VÄSTERBOTTENS LÄN</t>
        </is>
      </c>
      <c r="G131" t="inlineStr">
        <is>
          <t>ROBERTSFORS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45253</v>
      </c>
      <c r="E132" s="1" t="n">
        <v>46265</v>
      </c>
      <c r="F132" t="inlineStr">
        <is>
          <t>VÄSTERBOTTENS LÄN</t>
        </is>
      </c>
      <c r="G132" t="inlineStr">
        <is>
          <t>ROBERTSFORS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46265</v>
      </c>
      <c r="F133" t="inlineStr">
        <is>
          <t>VÄSTERBOTTENS LÄN</t>
        </is>
      </c>
      <c r="G133" t="inlineStr">
        <is>
          <t>ROBERTSFORS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46265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46265</v>
      </c>
      <c r="F135" t="inlineStr">
        <is>
          <t>VÄSTERBOTTENS LÄN</t>
        </is>
      </c>
      <c r="G135" t="inlineStr">
        <is>
          <t>ROBERTSFORS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46265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53320-2025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45959</v>
      </c>
      <c r="E137" s="1" t="n">
        <v>46265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46265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46265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46265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46265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46265</v>
      </c>
      <c r="F142" t="inlineStr">
        <is>
          <t>VÄSTERBOTTENS LÄN</t>
        </is>
      </c>
      <c r="G142" t="inlineStr">
        <is>
          <t>ROBERTSFORS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44945</v>
      </c>
      <c r="E143" s="1" t="n">
        <v>46265</v>
      </c>
      <c r="F143" t="inlineStr">
        <is>
          <t>VÄSTERBOTTENS LÄN</t>
        </is>
      </c>
      <c r="G143" t="inlineStr">
        <is>
          <t>ROBERTSFORS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46265</v>
      </c>
      <c r="F144" t="inlineStr">
        <is>
          <t>VÄSTERBOTTENS LÄN</t>
        </is>
      </c>
      <c r="G144" t="inlineStr">
        <is>
          <t>ROBERTSFORS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45526</v>
      </c>
      <c r="E145" s="1" t="n">
        <v>46265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45461</v>
      </c>
      <c r="E146" s="1" t="n">
        <v>46265</v>
      </c>
      <c r="F146" t="inlineStr">
        <is>
          <t>VÄSTERBOTTENS LÄN</t>
        </is>
      </c>
      <c r="G146" t="inlineStr">
        <is>
          <t>ROBERTSFORS</t>
        </is>
      </c>
      <c r="I146" t="n">
        <v>14.3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45495</v>
      </c>
      <c r="E147" s="1" t="n">
        <v>46265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46265</v>
      </c>
      <c r="F148" t="inlineStr">
        <is>
          <t>VÄSTERBOTTENS LÄN</t>
        </is>
      </c>
      <c r="G148" t="inlineStr">
        <is>
          <t>ROBERTSFORS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46265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46265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46265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44902</v>
      </c>
      <c r="E152" s="1" t="n">
        <v>46265</v>
      </c>
      <c r="F152" t="inlineStr">
        <is>
          <t>VÄSTERBOTTENS LÄN</t>
        </is>
      </c>
      <c r="G152" t="inlineStr">
        <is>
          <t>ROBERTSFORS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39982-2025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45893</v>
      </c>
      <c r="E153" s="1" t="n">
        <v>46265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46265</v>
      </c>
      <c r="F154" t="inlineStr">
        <is>
          <t>VÄSTERBOTTENS LÄN</t>
        </is>
      </c>
      <c r="G154" t="inlineStr">
        <is>
          <t>ROBERTSFORS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44860</v>
      </c>
      <c r="E155" s="1" t="n">
        <v>46265</v>
      </c>
      <c r="F155" t="inlineStr">
        <is>
          <t>VÄSTERBOTTENS LÄN</t>
        </is>
      </c>
      <c r="G155" t="inlineStr">
        <is>
          <t>ROBERTSFORS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46265</v>
      </c>
      <c r="F156" t="inlineStr">
        <is>
          <t>VÄSTERBOTTENS LÄN</t>
        </is>
      </c>
      <c r="G156" t="inlineStr">
        <is>
          <t>ROBERTSFORS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46265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46265</v>
      </c>
      <c r="F158" t="inlineStr">
        <is>
          <t>VÄSTERBOTTENS LÄN</t>
        </is>
      </c>
      <c r="G158" t="inlineStr">
        <is>
          <t>ROBERTSFORS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46265</v>
      </c>
      <c r="F159" t="inlineStr">
        <is>
          <t>VÄSTERBOTTENS LÄN</t>
        </is>
      </c>
      <c r="G159" t="inlineStr">
        <is>
          <t>ROBERTSFORS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45458</v>
      </c>
      <c r="E160" s="1" t="n">
        <v>46265</v>
      </c>
      <c r="F160" t="inlineStr">
        <is>
          <t>VÄSTERBOTTENS LÄN</t>
        </is>
      </c>
      <c r="G160" t="inlineStr">
        <is>
          <t>ROBERTSFORS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44372-2023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45188</v>
      </c>
      <c r="E161" s="1" t="n">
        <v>46265</v>
      </c>
      <c r="F161" t="inlineStr">
        <is>
          <t>VÄSTERBOTTENS LÄN</t>
        </is>
      </c>
      <c r="G161" t="inlineStr">
        <is>
          <t>ROBERTSFORS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46265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SCA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46265</v>
      </c>
      <c r="F163" t="inlineStr">
        <is>
          <t>VÄSTERBOTTENS LÄN</t>
        </is>
      </c>
      <c r="G163" t="inlineStr">
        <is>
          <t>ROBERTSFORS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46265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46265</v>
      </c>
      <c r="F165" t="inlineStr">
        <is>
          <t>VÄSTERBOTTENS LÄN</t>
        </is>
      </c>
      <c r="G165" t="inlineStr">
        <is>
          <t>ROBERTSFORS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46265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45794</v>
      </c>
      <c r="E167" s="1" t="n">
        <v>46265</v>
      </c>
      <c r="F167" t="inlineStr">
        <is>
          <t>VÄSTERBOTTENS LÄN</t>
        </is>
      </c>
      <c r="G167" t="inlineStr">
        <is>
          <t>ROBERTSFORS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46265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46265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45909</v>
      </c>
      <c r="E170" s="1" t="n">
        <v>46265</v>
      </c>
      <c r="F170" t="inlineStr">
        <is>
          <t>VÄSTERBOTTENS LÄN</t>
        </is>
      </c>
      <c r="G170" t="inlineStr">
        <is>
          <t>ROBERTSFORS</t>
        </is>
      </c>
      <c r="I170" t="n">
        <v>12.7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46265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44130-2025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45915</v>
      </c>
      <c r="E172" s="1" t="n">
        <v>46265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46265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46265</v>
      </c>
      <c r="F174" t="inlineStr">
        <is>
          <t>VÄSTERBOTTENS LÄN</t>
        </is>
      </c>
      <c r="G174" t="inlineStr">
        <is>
          <t>ROBERTSFORS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46265</v>
      </c>
      <c r="F175" t="inlineStr">
        <is>
          <t>VÄSTERBOTTENS LÄN</t>
        </is>
      </c>
      <c r="G175" t="inlineStr">
        <is>
          <t>ROBERTSFORS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57979-2021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44487</v>
      </c>
      <c r="E176" s="1" t="n">
        <v>46265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46265</v>
      </c>
      <c r="F177" t="inlineStr">
        <is>
          <t>VÄSTERBOTTENS LÄN</t>
        </is>
      </c>
      <c r="G177" t="inlineStr">
        <is>
          <t>ROBERTSFORS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46265</v>
      </c>
      <c r="F178" t="inlineStr">
        <is>
          <t>VÄSTERBOTTENS LÄN</t>
        </is>
      </c>
      <c r="G178" t="inlineStr">
        <is>
          <t>ROBERTSFORS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46168-2025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45924</v>
      </c>
      <c r="E179" s="1" t="n">
        <v>46265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44913</v>
      </c>
      <c r="E180" s="1" t="n">
        <v>46265</v>
      </c>
      <c r="F180" t="inlineStr">
        <is>
          <t>VÄSTERBOTTENS LÄN</t>
        </is>
      </c>
      <c r="G180" t="inlineStr">
        <is>
          <t>ROBERTSFORS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46265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46265</v>
      </c>
      <c r="F182" t="inlineStr">
        <is>
          <t>VÄSTERBOTTENS LÄN</t>
        </is>
      </c>
      <c r="G182" t="inlineStr">
        <is>
          <t>ROBERTSFORS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46265</v>
      </c>
      <c r="F183" t="inlineStr">
        <is>
          <t>VÄSTERBOTTENS LÄN</t>
        </is>
      </c>
      <c r="G183" t="inlineStr">
        <is>
          <t>ROBERTSFORS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46265</v>
      </c>
      <c r="F184" t="inlineStr">
        <is>
          <t>VÄSTERBOTTENS LÄN</t>
        </is>
      </c>
      <c r="G184" t="inlineStr">
        <is>
          <t>ROBERTSFORS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46265</v>
      </c>
      <c r="F185" t="inlineStr">
        <is>
          <t>VÄSTERBOTTENS LÄN</t>
        </is>
      </c>
      <c r="G185" t="inlineStr">
        <is>
          <t>ROBERTSFORS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46265</v>
      </c>
      <c r="F186" t="inlineStr">
        <is>
          <t>VÄSTERBOTTENS LÄN</t>
        </is>
      </c>
      <c r="G186" t="inlineStr">
        <is>
          <t>ROBERTSFORS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46265</v>
      </c>
      <c r="F187" t="inlineStr">
        <is>
          <t>VÄSTERBOTTENS LÄN</t>
        </is>
      </c>
      <c r="G187" t="inlineStr">
        <is>
          <t>ROBERTSFORS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46265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46265</v>
      </c>
      <c r="F189" t="inlineStr">
        <is>
          <t>VÄSTERBOTTENS LÄN</t>
        </is>
      </c>
      <c r="G189" t="inlineStr">
        <is>
          <t>ROBERTSFORS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46265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46265</v>
      </c>
      <c r="F191" t="inlineStr">
        <is>
          <t>VÄSTERBOTTENS LÄN</t>
        </is>
      </c>
      <c r="G191" t="inlineStr">
        <is>
          <t>ROBERTSFORS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46265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46265</v>
      </c>
      <c r="F193" t="inlineStr">
        <is>
          <t>VÄSTERBOTTENS LÄN</t>
        </is>
      </c>
      <c r="G193" t="inlineStr">
        <is>
          <t>ROBERTSFORS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46265</v>
      </c>
      <c r="F194" t="inlineStr">
        <is>
          <t>VÄSTERBOTTENS LÄN</t>
        </is>
      </c>
      <c r="G194" t="inlineStr">
        <is>
          <t>ROBERTSFORS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58426-2022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44901</v>
      </c>
      <c r="E195" s="1" t="n">
        <v>46265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9135-2024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45357</v>
      </c>
      <c r="E196" s="1" t="n">
        <v>46265</v>
      </c>
      <c r="F196" t="inlineStr">
        <is>
          <t>VÄSTERBOTTENS LÄN</t>
        </is>
      </c>
      <c r="G196" t="inlineStr">
        <is>
          <t>ROBERTSFORS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46265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12.7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54366-2024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45617</v>
      </c>
      <c r="E198" s="1" t="n">
        <v>46265</v>
      </c>
      <c r="F198" t="inlineStr">
        <is>
          <t>VÄSTERBOTTENS LÄN</t>
        </is>
      </c>
      <c r="G198" t="inlineStr">
        <is>
          <t>ROBERTSFORS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46265</v>
      </c>
      <c r="F199" t="inlineStr">
        <is>
          <t>VÄSTERBOTTENS LÄN</t>
        </is>
      </c>
      <c r="G199" t="inlineStr">
        <is>
          <t>ROBERTSFORS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45987</v>
      </c>
      <c r="E200" s="1" t="n">
        <v>46265</v>
      </c>
      <c r="F200" t="inlineStr">
        <is>
          <t>VÄSTERBOTTENS LÄN</t>
        </is>
      </c>
      <c r="G200" t="inlineStr">
        <is>
          <t>ROBERTSFORS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45818</v>
      </c>
      <c r="E201" s="1" t="n">
        <v>46265</v>
      </c>
      <c r="F201" t="inlineStr">
        <is>
          <t>VÄSTERBOTTENS LÄN</t>
        </is>
      </c>
      <c r="G201" t="inlineStr">
        <is>
          <t>ROBERTSFORS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46265</v>
      </c>
      <c r="F202" t="inlineStr">
        <is>
          <t>VÄSTERBOTTENS LÄN</t>
        </is>
      </c>
      <c r="G202" t="inlineStr">
        <is>
          <t>ROBERTSFORS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45782</v>
      </c>
      <c r="E203" s="1" t="n">
        <v>46265</v>
      </c>
      <c r="F203" t="inlineStr">
        <is>
          <t>VÄSTERBOTTENS LÄN</t>
        </is>
      </c>
      <c r="G203" t="inlineStr">
        <is>
          <t>ROBERTSFORS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45996</v>
      </c>
      <c r="E204" s="1" t="n">
        <v>46265</v>
      </c>
      <c r="F204" t="inlineStr">
        <is>
          <t>VÄSTERBOTTENS LÄN</t>
        </is>
      </c>
      <c r="G204" t="inlineStr">
        <is>
          <t>ROBERTSFORS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46265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45030</v>
      </c>
      <c r="E206" s="1" t="n">
        <v>46265</v>
      </c>
      <c r="F206" t="inlineStr">
        <is>
          <t>VÄSTERBOTTENS LÄN</t>
        </is>
      </c>
      <c r="G206" t="inlineStr">
        <is>
          <t>ROBERTSFORS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45636</v>
      </c>
      <c r="E207" s="1" t="n">
        <v>46265</v>
      </c>
      <c r="F207" t="inlineStr">
        <is>
          <t>VÄSTERBOTTENS LÄN</t>
        </is>
      </c>
      <c r="G207" t="inlineStr">
        <is>
          <t>ROBERTSFORS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46265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45496</v>
      </c>
      <c r="E209" s="1" t="n">
        <v>46265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46265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46265</v>
      </c>
      <c r="F211" t="inlineStr">
        <is>
          <t>VÄSTERBOTTENS LÄN</t>
        </is>
      </c>
      <c r="G211" t="inlineStr">
        <is>
          <t>ROBERTSFORS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46265</v>
      </c>
      <c r="F212" t="inlineStr">
        <is>
          <t>VÄSTERBOTTENS LÄN</t>
        </is>
      </c>
      <c r="G212" t="inlineStr">
        <is>
          <t>ROBERTSFORS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56703-2024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45627</v>
      </c>
      <c r="E213" s="1" t="n">
        <v>46265</v>
      </c>
      <c r="F213" t="inlineStr">
        <is>
          <t>VÄSTERBOTTENS LÄN</t>
        </is>
      </c>
      <c r="G213" t="inlineStr">
        <is>
          <t>ROBERTSFORS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46265</v>
      </c>
      <c r="F214" t="inlineStr">
        <is>
          <t>VÄSTERBOTTENS LÄN</t>
        </is>
      </c>
      <c r="G214" t="inlineStr">
        <is>
          <t>ROBERTSFORS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46265</v>
      </c>
      <c r="F215" t="inlineStr">
        <is>
          <t>VÄSTERBOTTENS LÄN</t>
        </is>
      </c>
      <c r="G215" t="inlineStr">
        <is>
          <t>ROBERTSFORS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46265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46265</v>
      </c>
      <c r="F217" t="inlineStr">
        <is>
          <t>VÄSTERBOTTENS LÄN</t>
        </is>
      </c>
      <c r="G217" t="inlineStr">
        <is>
          <t>ROBERTSFORS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45548</v>
      </c>
      <c r="E218" s="1" t="n">
        <v>46265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46265</v>
      </c>
      <c r="F219" t="inlineStr">
        <is>
          <t>VÄSTERBOTTENS LÄN</t>
        </is>
      </c>
      <c r="G219" t="inlineStr">
        <is>
          <t>ROBERTSFORS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46265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46265</v>
      </c>
      <c r="F221" t="inlineStr">
        <is>
          <t>VÄSTERBOTTENS LÄN</t>
        </is>
      </c>
      <c r="G221" t="inlineStr">
        <is>
          <t>ROBERTSFORS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46265</v>
      </c>
      <c r="F222" t="inlineStr">
        <is>
          <t>VÄSTERBOTTENS LÄN</t>
        </is>
      </c>
      <c r="G222" t="inlineStr">
        <is>
          <t>ROBERTSFORS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46265</v>
      </c>
      <c r="F223" t="inlineStr">
        <is>
          <t>VÄSTERBOTTENS LÄN</t>
        </is>
      </c>
      <c r="G223" t="inlineStr">
        <is>
          <t>ROBERTSFORS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33368-2025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45841</v>
      </c>
      <c r="E224" s="1" t="n">
        <v>46265</v>
      </c>
      <c r="F224" t="inlineStr">
        <is>
          <t>VÄSTERBOTTENS LÄN</t>
        </is>
      </c>
      <c r="G224" t="inlineStr">
        <is>
          <t>ROBERTSFORS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44732</v>
      </c>
      <c r="E225" s="1" t="n">
        <v>46265</v>
      </c>
      <c r="F225" t="inlineStr">
        <is>
          <t>VÄSTERBOTTENS LÄN</t>
        </is>
      </c>
      <c r="G225" t="inlineStr">
        <is>
          <t>ROBERTSFORS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33375-2025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45841</v>
      </c>
      <c r="E226" s="1" t="n">
        <v>46265</v>
      </c>
      <c r="F226" t="inlineStr">
        <is>
          <t>VÄSTERBOTTENS LÄN</t>
        </is>
      </c>
      <c r="G226" t="inlineStr">
        <is>
          <t>ROBERTSFORS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46265</v>
      </c>
      <c r="F227" t="inlineStr">
        <is>
          <t>VÄSTERBOTTENS LÄN</t>
        </is>
      </c>
      <c r="G227" t="inlineStr">
        <is>
          <t>ROBERTSFORS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46265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46265</v>
      </c>
      <c r="F229" t="inlineStr">
        <is>
          <t>VÄSTERBOTTENS LÄN</t>
        </is>
      </c>
      <c r="G229" t="inlineStr">
        <is>
          <t>ROBERTSFORS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46265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45712</v>
      </c>
      <c r="E231" s="1" t="n">
        <v>46265</v>
      </c>
      <c r="F231" t="inlineStr">
        <is>
          <t>VÄSTERBOTTENS LÄN</t>
        </is>
      </c>
      <c r="G231" t="inlineStr">
        <is>
          <t>ROBERTSFORS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46265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46265</v>
      </c>
      <c r="F233" t="inlineStr">
        <is>
          <t>VÄSTERBOTTENS LÄN</t>
        </is>
      </c>
      <c r="G233" t="inlineStr">
        <is>
          <t>ROBERTSFORS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46265</v>
      </c>
      <c r="F234" t="inlineStr">
        <is>
          <t>VÄSTERBOTTENS LÄN</t>
        </is>
      </c>
      <c r="G234" t="inlineStr">
        <is>
          <t>ROBERTSFORS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45856</v>
      </c>
      <c r="E235" s="1" t="n">
        <v>46265</v>
      </c>
      <c r="F235" t="inlineStr">
        <is>
          <t>VÄSTERBOTTENS LÄN</t>
        </is>
      </c>
      <c r="G235" t="inlineStr">
        <is>
          <t>ROBERTSFORS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46265</v>
      </c>
      <c r="F236" t="inlineStr">
        <is>
          <t>VÄSTERBOTTENS LÄN</t>
        </is>
      </c>
      <c r="G236" t="inlineStr">
        <is>
          <t>ROBERTSFORS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45856</v>
      </c>
      <c r="E237" s="1" t="n">
        <v>46265</v>
      </c>
      <c r="F237" t="inlineStr">
        <is>
          <t>VÄSTERBOTTENS LÄN</t>
        </is>
      </c>
      <c r="G237" t="inlineStr">
        <is>
          <t>ROBERTSFORS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46265</v>
      </c>
      <c r="F238" t="inlineStr">
        <is>
          <t>VÄSTERBOTTENS LÄN</t>
        </is>
      </c>
      <c r="G238" t="inlineStr">
        <is>
          <t>ROBERTSFORS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45789</v>
      </c>
      <c r="E239" s="1" t="n">
        <v>46265</v>
      </c>
      <c r="F239" t="inlineStr">
        <is>
          <t>VÄSTERBOTTENS LÄN</t>
        </is>
      </c>
      <c r="G239" t="inlineStr">
        <is>
          <t>ROBERTSFORS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46265</v>
      </c>
      <c r="F240" t="inlineStr">
        <is>
          <t>VÄSTERBOTTENS LÄN</t>
        </is>
      </c>
      <c r="G240" t="inlineStr">
        <is>
          <t>ROBERTSFORS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46265</v>
      </c>
      <c r="F241" t="inlineStr">
        <is>
          <t>VÄSTERBOTTENS LÄN</t>
        </is>
      </c>
      <c r="G241" t="inlineStr">
        <is>
          <t>ROBERTSFORS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46265</v>
      </c>
      <c r="F242" t="inlineStr">
        <is>
          <t>VÄSTERBOTTENS LÄN</t>
        </is>
      </c>
      <c r="G242" t="inlineStr">
        <is>
          <t>ROBERTSFORS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36594-2025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45870</v>
      </c>
      <c r="E243" s="1" t="n">
        <v>46265</v>
      </c>
      <c r="F243" t="inlineStr">
        <is>
          <t>VÄSTERBOTTENS LÄN</t>
        </is>
      </c>
      <c r="G243" t="inlineStr">
        <is>
          <t>ROBERTSFORS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45079</v>
      </c>
      <c r="E244" s="1" t="n">
        <v>46265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45565</v>
      </c>
      <c r="E245" s="1" t="n">
        <v>46265</v>
      </c>
      <c r="F245" t="inlineStr">
        <is>
          <t>VÄSTERBOTTENS LÄN</t>
        </is>
      </c>
      <c r="G245" t="inlineStr">
        <is>
          <t>ROBERTSFORS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45020</v>
      </c>
      <c r="E246" s="1" t="n">
        <v>46265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Sveaskog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45873</v>
      </c>
      <c r="E247" s="1" t="n">
        <v>46265</v>
      </c>
      <c r="F247" t="inlineStr">
        <is>
          <t>VÄSTERBOTTENS LÄN</t>
        </is>
      </c>
      <c r="G247" t="inlineStr">
        <is>
          <t>ROBERTSFORS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44952</v>
      </c>
      <c r="E248" s="1" t="n">
        <v>46265</v>
      </c>
      <c r="F248" t="inlineStr">
        <is>
          <t>VÄSTERBOTTENS LÄN</t>
        </is>
      </c>
      <c r="G248" t="inlineStr">
        <is>
          <t>ROBERTSFORS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65771-2021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46265</v>
      </c>
      <c r="F249" t="inlineStr">
        <is>
          <t>VÄSTERBOTTENS LÄN</t>
        </is>
      </c>
      <c r="G249" t="inlineStr">
        <is>
          <t>ROBERTSFORS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46265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45205</v>
      </c>
      <c r="E251" s="1" t="n">
        <v>46265</v>
      </c>
      <c r="F251" t="inlineStr">
        <is>
          <t>VÄSTERBOTTENS LÄN</t>
        </is>
      </c>
      <c r="G251" t="inlineStr">
        <is>
          <t>ROBERTSFORS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46265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45659</v>
      </c>
      <c r="E253" s="1" t="n">
        <v>46265</v>
      </c>
      <c r="F253" t="inlineStr">
        <is>
          <t>VÄSTERBOTTENS LÄN</t>
        </is>
      </c>
      <c r="G253" t="inlineStr">
        <is>
          <t>ROBERTSFORS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46265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45661</v>
      </c>
      <c r="E255" s="1" t="n">
        <v>46265</v>
      </c>
      <c r="F255" t="inlineStr">
        <is>
          <t>VÄSTERBOTTENS LÄN</t>
        </is>
      </c>
      <c r="G255" t="inlineStr">
        <is>
          <t>ROBERTSFORS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46265</v>
      </c>
      <c r="F256" t="inlineStr">
        <is>
          <t>VÄSTERBOTTENS LÄN</t>
        </is>
      </c>
      <c r="G256" t="inlineStr">
        <is>
          <t>ROBERTSFORS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45184</v>
      </c>
      <c r="E257" s="1" t="n">
        <v>46265</v>
      </c>
      <c r="F257" t="inlineStr">
        <is>
          <t>VÄSTERBOTTENS LÄN</t>
        </is>
      </c>
      <c r="G257" t="inlineStr">
        <is>
          <t>ROBERTSFORS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45635</v>
      </c>
      <c r="E258" s="1" t="n">
        <v>46265</v>
      </c>
      <c r="F258" t="inlineStr">
        <is>
          <t>VÄSTERBOTTENS LÄN</t>
        </is>
      </c>
      <c r="G258" t="inlineStr">
        <is>
          <t>ROBERTSFORS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45033</v>
      </c>
      <c r="E259" s="1" t="n">
        <v>46265</v>
      </c>
      <c r="F259" t="inlineStr">
        <is>
          <t>VÄSTERBOTTENS LÄN</t>
        </is>
      </c>
      <c r="G259" t="inlineStr">
        <is>
          <t>ROBERTSFORS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45644</v>
      </c>
      <c r="E260" s="1" t="n">
        <v>46265</v>
      </c>
      <c r="F260" t="inlineStr">
        <is>
          <t>VÄSTERBOTTENS LÄN</t>
        </is>
      </c>
      <c r="G260" t="inlineStr">
        <is>
          <t>ROBERTSFORS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45458</v>
      </c>
      <c r="E261" s="1" t="n">
        <v>46265</v>
      </c>
      <c r="F261" t="inlineStr">
        <is>
          <t>VÄSTERBOTTENS LÄN</t>
        </is>
      </c>
      <c r="G261" t="inlineStr">
        <is>
          <t>ROBERTSFORS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46265</v>
      </c>
      <c r="F262" t="inlineStr">
        <is>
          <t>VÄSTERBOTTENS LÄN</t>
        </is>
      </c>
      <c r="G262" t="inlineStr">
        <is>
          <t>ROBERTSFORS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45692</v>
      </c>
      <c r="E263" s="1" t="n">
        <v>46265</v>
      </c>
      <c r="F263" t="inlineStr">
        <is>
          <t>VÄSTERBOTTENS LÄN</t>
        </is>
      </c>
      <c r="G263" t="inlineStr">
        <is>
          <t>ROBERTSFORS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45182</v>
      </c>
      <c r="E264" s="1" t="n">
        <v>46265</v>
      </c>
      <c r="F264" t="inlineStr">
        <is>
          <t>VÄSTERBOTTENS LÄN</t>
        </is>
      </c>
      <c r="G264" t="inlineStr">
        <is>
          <t>ROBERTSFORS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45197</v>
      </c>
      <c r="E265" s="1" t="n">
        <v>46265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46265</v>
      </c>
      <c r="F266" t="inlineStr">
        <is>
          <t>VÄSTERBOTTENS LÄN</t>
        </is>
      </c>
      <c r="G266" t="inlineStr">
        <is>
          <t>ROBERTSFORS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45040</v>
      </c>
      <c r="E267" s="1" t="n">
        <v>46265</v>
      </c>
      <c r="F267" t="inlineStr">
        <is>
          <t>VÄSTERBOTTENS LÄN</t>
        </is>
      </c>
      <c r="G267" t="inlineStr">
        <is>
          <t>ROBERTSFORS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41850-2023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46265</v>
      </c>
      <c r="F268" t="inlineStr">
        <is>
          <t>VÄSTERBOTTENS LÄN</t>
        </is>
      </c>
      <c r="G268" t="inlineStr">
        <is>
          <t>ROBERTSFORS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45687</v>
      </c>
      <c r="E269" s="1" t="n">
        <v>46265</v>
      </c>
      <c r="F269" t="inlineStr">
        <is>
          <t>VÄSTERBOTTENS LÄN</t>
        </is>
      </c>
      <c r="G269" t="inlineStr">
        <is>
          <t>ROBERTSFORS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45005</v>
      </c>
      <c r="E270" s="1" t="n">
        <v>46265</v>
      </c>
      <c r="F270" t="inlineStr">
        <is>
          <t>VÄSTERBOTTENS LÄN</t>
        </is>
      </c>
      <c r="G270" t="inlineStr">
        <is>
          <t>ROBERTSFORS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45636</v>
      </c>
      <c r="E271" s="1" t="n">
        <v>46265</v>
      </c>
      <c r="F271" t="inlineStr">
        <is>
          <t>VÄSTERBOTTENS LÄN</t>
        </is>
      </c>
      <c r="G271" t="inlineStr">
        <is>
          <t>ROBERTSFORS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45002</v>
      </c>
      <c r="E272" s="1" t="n">
        <v>46265</v>
      </c>
      <c r="F272" t="inlineStr">
        <is>
          <t>VÄSTERBOTTENS LÄN</t>
        </is>
      </c>
      <c r="G272" t="inlineStr">
        <is>
          <t>ROBERTSFORS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46265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45133</v>
      </c>
      <c r="E274" s="1" t="n">
        <v>46265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46037</v>
      </c>
      <c r="E275" s="1" t="n">
        <v>46265</v>
      </c>
      <c r="F275" t="inlineStr">
        <is>
          <t>VÄSTERBOTTENS LÄN</t>
        </is>
      </c>
      <c r="G275" t="inlineStr">
        <is>
          <t>ROBERTSFORS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46265</v>
      </c>
      <c r="F276" t="inlineStr">
        <is>
          <t>VÄSTERBOTTENS LÄN</t>
        </is>
      </c>
      <c r="G276" t="inlineStr">
        <is>
          <t>ROBERTSFORS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46265</v>
      </c>
      <c r="F277" t="inlineStr">
        <is>
          <t>VÄSTERBOTTENS LÄN</t>
        </is>
      </c>
      <c r="G277" t="inlineStr">
        <is>
          <t>ROBERTSFORS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46265</v>
      </c>
      <c r="F278" t="inlineStr">
        <is>
          <t>VÄSTERBOTTENS LÄN</t>
        </is>
      </c>
      <c r="G278" t="inlineStr">
        <is>
          <t>ROBERTSFORS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46265</v>
      </c>
      <c r="F279" t="inlineStr">
        <is>
          <t>VÄSTERBOTTENS LÄN</t>
        </is>
      </c>
      <c r="G279" t="inlineStr">
        <is>
          <t>ROBERTSFORS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46265</v>
      </c>
      <c r="F280" t="inlineStr">
        <is>
          <t>VÄSTERBOTTENS LÄN</t>
        </is>
      </c>
      <c r="G280" t="inlineStr">
        <is>
          <t>ROBERTSFORS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46265</v>
      </c>
      <c r="F281" t="inlineStr">
        <is>
          <t>VÄSTERBOTTENS LÄN</t>
        </is>
      </c>
      <c r="G281" t="inlineStr">
        <is>
          <t>ROBERTSFORS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59833-2022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46265</v>
      </c>
      <c r="F282" t="inlineStr">
        <is>
          <t>VÄSTERBOTTENS LÄN</t>
        </is>
      </c>
      <c r="G282" t="inlineStr">
        <is>
          <t>ROBERTSFORS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46265</v>
      </c>
      <c r="F283" t="inlineStr">
        <is>
          <t>VÄSTERBOTTENS LÄN</t>
        </is>
      </c>
      <c r="G283" t="inlineStr">
        <is>
          <t>ROBERTSFORS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46265</v>
      </c>
      <c r="F284" t="inlineStr">
        <is>
          <t>VÄSTERBOTTENS LÄN</t>
        </is>
      </c>
      <c r="G284" t="inlineStr">
        <is>
          <t>ROBERTSFORS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44895</v>
      </c>
      <c r="E285" s="1" t="n">
        <v>46265</v>
      </c>
      <c r="F285" t="inlineStr">
        <is>
          <t>VÄSTERBOTTENS LÄN</t>
        </is>
      </c>
      <c r="G285" t="inlineStr">
        <is>
          <t>ROBERTSFORS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46265</v>
      </c>
      <c r="F286" t="inlineStr">
        <is>
          <t>VÄSTERBOTTENS LÄN</t>
        </is>
      </c>
      <c r="G286" t="inlineStr">
        <is>
          <t>ROBERTSFORS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46265</v>
      </c>
      <c r="F287" t="inlineStr">
        <is>
          <t>VÄSTERBOTTENS LÄN</t>
        </is>
      </c>
      <c r="G287" t="inlineStr">
        <is>
          <t>ROBERTSFORS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34029-2023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45135</v>
      </c>
      <c r="E288" s="1" t="n">
        <v>46265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46265</v>
      </c>
      <c r="F289" t="inlineStr">
        <is>
          <t>VÄSTERBOTTENS LÄN</t>
        </is>
      </c>
      <c r="G289" t="inlineStr">
        <is>
          <t>ROBERTSFORS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46265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46265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46265</v>
      </c>
      <c r="F292" t="inlineStr">
        <is>
          <t>VÄSTERBOTTENS LÄN</t>
        </is>
      </c>
      <c r="G292" t="inlineStr">
        <is>
          <t>ROBERTSFORS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46265</v>
      </c>
      <c r="F293" t="inlineStr">
        <is>
          <t>VÄSTERBOTTENS LÄN</t>
        </is>
      </c>
      <c r="G293" t="inlineStr">
        <is>
          <t>ROBERTSFORS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46265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44571</v>
      </c>
      <c r="E295" s="1" t="n">
        <v>46265</v>
      </c>
      <c r="F295" t="inlineStr">
        <is>
          <t>VÄSTERBOTTENS LÄN</t>
        </is>
      </c>
      <c r="G295" t="inlineStr">
        <is>
          <t>ROBERTSFORS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47420-2024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45587</v>
      </c>
      <c r="E296" s="1" t="n">
        <v>46265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46265</v>
      </c>
      <c r="F297" t="inlineStr">
        <is>
          <t>VÄSTERBOTTENS LÄN</t>
        </is>
      </c>
      <c r="G297" t="inlineStr">
        <is>
          <t>ROBERTSFORS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45405</v>
      </c>
      <c r="E298" s="1" t="n">
        <v>46265</v>
      </c>
      <c r="F298" t="inlineStr">
        <is>
          <t>VÄSTERBOTTENS LÄN</t>
        </is>
      </c>
      <c r="G298" t="inlineStr">
        <is>
          <t>ROBERTSFORS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44901</v>
      </c>
      <c r="E299" s="1" t="n">
        <v>46265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15294-2023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45019</v>
      </c>
      <c r="E300" s="1" t="n">
        <v>46265</v>
      </c>
      <c r="F300" t="inlineStr">
        <is>
          <t>VÄSTERBOTTENS LÄN</t>
        </is>
      </c>
      <c r="G300" t="inlineStr">
        <is>
          <t>ROBERTSFORS</t>
        </is>
      </c>
      <c r="I300" t="n">
        <v>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45610</v>
      </c>
      <c r="E301" s="1" t="n">
        <v>46265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45572</v>
      </c>
      <c r="E302" s="1" t="n">
        <v>46265</v>
      </c>
      <c r="F302" t="inlineStr">
        <is>
          <t>VÄSTERBOTTENS LÄN</t>
        </is>
      </c>
      <c r="G302" t="inlineStr">
        <is>
          <t>ROBERTSFORS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46265</v>
      </c>
      <c r="F303" t="inlineStr">
        <is>
          <t>VÄSTERBOTTENS LÄN</t>
        </is>
      </c>
      <c r="G303" t="inlineStr">
        <is>
          <t>ROBERTSFORS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15484-2023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45020</v>
      </c>
      <c r="E304" s="1" t="n">
        <v>46265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45480</v>
      </c>
      <c r="E305" s="1" t="n">
        <v>46265</v>
      </c>
      <c r="F305" t="inlineStr">
        <is>
          <t>VÄSTERBOTTENS LÄN</t>
        </is>
      </c>
      <c r="G305" t="inlineStr">
        <is>
          <t>ROBERTSFORS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45141</v>
      </c>
      <c r="E306" s="1" t="n">
        <v>46265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46265</v>
      </c>
      <c r="F307" t="inlineStr">
        <is>
          <t>VÄSTERBOTTENS LÄN</t>
        </is>
      </c>
      <c r="G307" t="inlineStr">
        <is>
          <t>ROBERTSFORS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45468</v>
      </c>
      <c r="E308" s="1" t="n">
        <v>46265</v>
      </c>
      <c r="F308" t="inlineStr">
        <is>
          <t>VÄSTERBOTTENS LÄN</t>
        </is>
      </c>
      <c r="G308" t="inlineStr">
        <is>
          <t>ROBERTSFORS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45475</v>
      </c>
      <c r="E309" s="1" t="n">
        <v>46265</v>
      </c>
      <c r="F309" t="inlineStr">
        <is>
          <t>VÄSTERBOTTENS LÄN</t>
        </is>
      </c>
      <c r="G309" t="inlineStr">
        <is>
          <t>ROBERTSFORS</t>
        </is>
      </c>
      <c r="I309" t="n">
        <v>10.5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46265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SCA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46265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46265</v>
      </c>
      <c r="F312" t="inlineStr">
        <is>
          <t>VÄSTERBOTTENS LÄN</t>
        </is>
      </c>
      <c r="G312" t="inlineStr">
        <is>
          <t>ROBERTSFORS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36139-2023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45149</v>
      </c>
      <c r="E313" s="1" t="n">
        <v>46265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45474</v>
      </c>
      <c r="E314" s="1" t="n">
        <v>46265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45246</v>
      </c>
      <c r="E315" s="1" t="n">
        <v>46265</v>
      </c>
      <c r="F315" t="inlineStr">
        <is>
          <t>VÄSTERBOTTENS LÄN</t>
        </is>
      </c>
      <c r="G315" t="inlineStr">
        <is>
          <t>ROBERTSFORS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45458</v>
      </c>
      <c r="E316" s="1" t="n">
        <v>46265</v>
      </c>
      <c r="F316" t="inlineStr">
        <is>
          <t>VÄSTERBOTTENS LÄN</t>
        </is>
      </c>
      <c r="G316" t="inlineStr">
        <is>
          <t>ROBERTSFORS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46265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46265</v>
      </c>
      <c r="F318" t="inlineStr">
        <is>
          <t>VÄSTERBOTTENS LÄN</t>
        </is>
      </c>
      <c r="G318" t="inlineStr">
        <is>
          <t>ROBERTSFORS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73557-2021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44551</v>
      </c>
      <c r="E319" s="1" t="n">
        <v>46265</v>
      </c>
      <c r="F319" t="inlineStr">
        <is>
          <t>VÄSTERBOTTENS LÄN</t>
        </is>
      </c>
      <c r="G319" t="inlineStr">
        <is>
          <t>ROBERTSFORS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45484</v>
      </c>
      <c r="E320" s="1" t="n">
        <v>46265</v>
      </c>
      <c r="F320" t="inlineStr">
        <is>
          <t>VÄSTERBOTTENS LÄN</t>
        </is>
      </c>
      <c r="G320" t="inlineStr">
        <is>
          <t>ROBERTSFORS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45041</v>
      </c>
      <c r="E321" s="1" t="n">
        <v>46265</v>
      </c>
      <c r="F321" t="inlineStr">
        <is>
          <t>VÄSTERBOTTENS LÄN</t>
        </is>
      </c>
      <c r="G321" t="inlineStr">
        <is>
          <t>ROBERTSFORS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45302</v>
      </c>
      <c r="E322" s="1" t="n">
        <v>46265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45583</v>
      </c>
      <c r="E323" s="1" t="n">
        <v>46265</v>
      </c>
      <c r="F323" t="inlineStr">
        <is>
          <t>VÄSTERBOTTENS LÄN</t>
        </is>
      </c>
      <c r="G323" t="inlineStr">
        <is>
          <t>ROBERTSFORS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46265</v>
      </c>
      <c r="F324" t="inlineStr">
        <is>
          <t>VÄSTERBOTTENS LÄN</t>
        </is>
      </c>
      <c r="G324" t="inlineStr">
        <is>
          <t>ROBERTSFORS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45405</v>
      </c>
      <c r="E325" s="1" t="n">
        <v>46265</v>
      </c>
      <c r="F325" t="inlineStr">
        <is>
          <t>VÄSTERBOTTENS LÄN</t>
        </is>
      </c>
      <c r="G325" t="inlineStr">
        <is>
          <t>ROBERTSFORS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46265</v>
      </c>
      <c r="F326" t="inlineStr">
        <is>
          <t>VÄSTERBOTTENS LÄN</t>
        </is>
      </c>
      <c r="G326" t="inlineStr">
        <is>
          <t>ROBERTSFORS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45335</v>
      </c>
      <c r="E327" s="1" t="n">
        <v>46265</v>
      </c>
      <c r="F327" t="inlineStr">
        <is>
          <t>VÄSTERBOTTENS LÄN</t>
        </is>
      </c>
      <c r="G327" t="inlineStr">
        <is>
          <t>ROBERTSFORS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25572-2023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45082</v>
      </c>
      <c r="E328" s="1" t="n">
        <v>46265</v>
      </c>
      <c r="F328" t="inlineStr">
        <is>
          <t>VÄSTERBOTTENS LÄN</t>
        </is>
      </c>
      <c r="G328" t="inlineStr">
        <is>
          <t>ROBERTSFORS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46265</v>
      </c>
      <c r="F329" t="inlineStr">
        <is>
          <t>VÄSTERBOTTENS LÄN</t>
        </is>
      </c>
      <c r="G329" t="inlineStr">
        <is>
          <t>ROBERTSFORS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45512</v>
      </c>
      <c r="E330" s="1" t="n">
        <v>46265</v>
      </c>
      <c r="F330" t="inlineStr">
        <is>
          <t>VÄSTERBOTTENS LÄN</t>
        </is>
      </c>
      <c r="G330" t="inlineStr">
        <is>
          <t>ROBERTSFORS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46265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43095-2023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46265</v>
      </c>
      <c r="F332" t="inlineStr">
        <is>
          <t>VÄSTERBOTTENS LÄN</t>
        </is>
      </c>
      <c r="G332" t="inlineStr">
        <is>
          <t>ROBERTSFORS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45553</v>
      </c>
      <c r="E333" s="1" t="n">
        <v>46265</v>
      </c>
      <c r="F333" t="inlineStr">
        <is>
          <t>VÄSTERBOTTENS LÄN</t>
        </is>
      </c>
      <c r="G333" t="inlineStr">
        <is>
          <t>ROBERTSFORS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46265</v>
      </c>
      <c r="F334" t="inlineStr">
        <is>
          <t>VÄSTERBOTTENS LÄN</t>
        </is>
      </c>
      <c r="G334" t="inlineStr">
        <is>
          <t>ROBERTSFORS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46265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46265</v>
      </c>
      <c r="F336" t="inlineStr">
        <is>
          <t>VÄSTERBOTTENS LÄN</t>
        </is>
      </c>
      <c r="G336" t="inlineStr">
        <is>
          <t>ROBERTSFORS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46265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46265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SCA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44683</v>
      </c>
      <c r="E339" s="1" t="n">
        <v>46265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46099</v>
      </c>
      <c r="E340" s="1" t="n">
        <v>46265</v>
      </c>
      <c r="F340" t="inlineStr">
        <is>
          <t>VÄSTERBOTTENS LÄN</t>
        </is>
      </c>
      <c r="G340" t="inlineStr">
        <is>
          <t>ROBERTSFORS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46265</v>
      </c>
      <c r="F341" t="inlineStr">
        <is>
          <t>VÄSTERBOTTENS LÄN</t>
        </is>
      </c>
      <c r="G341" t="inlineStr">
        <is>
          <t>ROBERTSFORS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45625</v>
      </c>
      <c r="E342" s="1" t="n">
        <v>46265</v>
      </c>
      <c r="F342" t="inlineStr">
        <is>
          <t>VÄSTERBOTTENS LÄN</t>
        </is>
      </c>
      <c r="G342" t="inlineStr">
        <is>
          <t>ROBERTSFORS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46265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46265</v>
      </c>
      <c r="F344" t="inlineStr">
        <is>
          <t>VÄSTERBOTTENS LÄN</t>
        </is>
      </c>
      <c r="G344" t="inlineStr">
        <is>
          <t>ROBERTSFORS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46265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44805</v>
      </c>
      <c r="E346" s="1" t="n">
        <v>46265</v>
      </c>
      <c r="F346" t="inlineStr">
        <is>
          <t>VÄSTERBOTTENS LÄN</t>
        </is>
      </c>
      <c r="G346" t="inlineStr">
        <is>
          <t>ROBERTSFORS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45687</v>
      </c>
      <c r="E347" s="1" t="n">
        <v>46265</v>
      </c>
      <c r="F347" t="inlineStr">
        <is>
          <t>VÄSTERBOTTENS LÄN</t>
        </is>
      </c>
      <c r="G347" t="inlineStr">
        <is>
          <t>ROBERTSFORS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46265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8238-2025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45708</v>
      </c>
      <c r="E349" s="1" t="n">
        <v>46265</v>
      </c>
      <c r="F349" t="inlineStr">
        <is>
          <t>VÄSTERBOTTENS LÄN</t>
        </is>
      </c>
      <c r="G349" t="inlineStr">
        <is>
          <t>ROBERTSFORS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4376-2022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44588</v>
      </c>
      <c r="E350" s="1" t="n">
        <v>46265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10173-2022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44622</v>
      </c>
      <c r="E351" s="1" t="n">
        <v>46265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45653</v>
      </c>
      <c r="E352" s="1" t="n">
        <v>46265</v>
      </c>
      <c r="F352" t="inlineStr">
        <is>
          <t>VÄSTERBOTTENS LÄN</t>
        </is>
      </c>
      <c r="G352" t="inlineStr">
        <is>
          <t>ROBERTSFORS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45664</v>
      </c>
      <c r="E353" s="1" t="n">
        <v>46265</v>
      </c>
      <c r="F353" t="inlineStr">
        <is>
          <t>VÄSTERBOTTENS LÄN</t>
        </is>
      </c>
      <c r="G353" t="inlineStr">
        <is>
          <t>ROBERTSFORS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20519-2022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44699</v>
      </c>
      <c r="E354" s="1" t="n">
        <v>46265</v>
      </c>
      <c r="F354" t="inlineStr">
        <is>
          <t>VÄSTERBOTTENS LÄN</t>
        </is>
      </c>
      <c r="G354" t="inlineStr">
        <is>
          <t>ROBERTSFORS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46265</v>
      </c>
      <c r="F355" t="inlineStr">
        <is>
          <t>VÄSTERBOTTENS LÄN</t>
        </is>
      </c>
      <c r="G355" t="inlineStr">
        <is>
          <t>ROBERTSFORS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46122</v>
      </c>
      <c r="E356" s="1" t="n">
        <v>46265</v>
      </c>
      <c r="F356" t="inlineStr">
        <is>
          <t>VÄSTERBOTTENS LÄN</t>
        </is>
      </c>
      <c r="G356" t="inlineStr">
        <is>
          <t>ROBERTSFORS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45659</v>
      </c>
      <c r="E357" s="1" t="n">
        <v>46265</v>
      </c>
      <c r="F357" t="inlineStr">
        <is>
          <t>VÄSTERBOTTENS LÄN</t>
        </is>
      </c>
      <c r="G357" t="inlineStr">
        <is>
          <t>ROBERTSFORS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46126</v>
      </c>
      <c r="E358" s="1" t="n">
        <v>46265</v>
      </c>
      <c r="F358" t="inlineStr">
        <is>
          <t>VÄSTERBOTTENS LÄN</t>
        </is>
      </c>
      <c r="G358" t="inlineStr">
        <is>
          <t>ROBERTSFORS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46126</v>
      </c>
      <c r="E359" s="1" t="n">
        <v>46265</v>
      </c>
      <c r="F359" t="inlineStr">
        <is>
          <t>VÄSTERBOTTENS LÄN</t>
        </is>
      </c>
      <c r="G359" t="inlineStr">
        <is>
          <t>ROBERTSFORS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18289-2026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46126</v>
      </c>
      <c r="E360" s="1" t="n">
        <v>46265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46265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53564-2024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45611</v>
      </c>
      <c r="E362" s="1" t="n">
        <v>46265</v>
      </c>
      <c r="F362" t="inlineStr">
        <is>
          <t>VÄSTERBOTTENS LÄN</t>
        </is>
      </c>
      <c r="G362" t="inlineStr">
        <is>
          <t>ROBERTSFORS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46265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46265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45670</v>
      </c>
      <c r="E365" s="1" t="n">
        <v>46265</v>
      </c>
      <c r="F365" t="inlineStr">
        <is>
          <t>VÄSTERBOTTENS LÄN</t>
        </is>
      </c>
      <c r="G365" t="inlineStr">
        <is>
          <t>ROBERTSFORS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46265</v>
      </c>
      <c r="F366" t="inlineStr">
        <is>
          <t>VÄSTERBOTTENS LÄN</t>
        </is>
      </c>
      <c r="G366" t="inlineStr">
        <is>
          <t>ROBERTSFORS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44838</v>
      </c>
      <c r="E367" s="1" t="n">
        <v>46265</v>
      </c>
      <c r="F367" t="inlineStr">
        <is>
          <t>VÄSTERBOTTENS LÄN</t>
        </is>
      </c>
      <c r="G367" t="inlineStr">
        <is>
          <t>ROBERTSFORS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45446</v>
      </c>
      <c r="E368" s="1" t="n">
        <v>46265</v>
      </c>
      <c r="F368" t="inlineStr">
        <is>
          <t>VÄSTERBOTTENS LÄN</t>
        </is>
      </c>
      <c r="G368" t="inlineStr">
        <is>
          <t>ROBERTSFORS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45700</v>
      </c>
      <c r="E369" s="1" t="n">
        <v>46265</v>
      </c>
      <c r="F369" t="inlineStr">
        <is>
          <t>VÄSTERBOTTENS LÄN</t>
        </is>
      </c>
      <c r="G369" t="inlineStr">
        <is>
          <t>ROBERTSFORS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19925-2026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46136</v>
      </c>
      <c r="E370" s="1" t="n">
        <v>46265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46265</v>
      </c>
      <c r="F371" t="inlineStr">
        <is>
          <t>VÄSTERBOTTENS LÄN</t>
        </is>
      </c>
      <c r="G371" t="inlineStr">
        <is>
          <t>ROBERTSFORS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46265</v>
      </c>
      <c r="F372" t="inlineStr">
        <is>
          <t>VÄSTERBOTTENS LÄN</t>
        </is>
      </c>
      <c r="G372" t="inlineStr">
        <is>
          <t>ROBERTSFORS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45202</v>
      </c>
      <c r="E373" s="1" t="n">
        <v>46265</v>
      </c>
      <c r="F373" t="inlineStr">
        <is>
          <t>VÄSTERBOTTENS LÄN</t>
        </is>
      </c>
      <c r="G373" t="inlineStr">
        <is>
          <t>ROBERTSFORS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46265</v>
      </c>
      <c r="F374" t="inlineStr">
        <is>
          <t>VÄSTERBOTTENS LÄN</t>
        </is>
      </c>
      <c r="G374" t="inlineStr">
        <is>
          <t>ROBERTSFORS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46265</v>
      </c>
      <c r="F375" t="inlineStr">
        <is>
          <t>VÄSTERBOTTENS LÄN</t>
        </is>
      </c>
      <c r="G375" t="inlineStr">
        <is>
          <t>ROBERTSFORS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46265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46265</v>
      </c>
      <c r="F377" t="inlineStr">
        <is>
          <t>VÄSTERBOTTENS LÄN</t>
        </is>
      </c>
      <c r="G377" t="inlineStr">
        <is>
          <t>ROBERTSFORS</t>
        </is>
      </c>
      <c r="I377" t="n">
        <v>24.4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45708</v>
      </c>
      <c r="E378" s="1" t="n">
        <v>46265</v>
      </c>
      <c r="F378" t="inlineStr">
        <is>
          <t>VÄSTERBOTTENS LÄN</t>
        </is>
      </c>
      <c r="G378" t="inlineStr">
        <is>
          <t>ROBERTSFORS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45756</v>
      </c>
      <c r="E379" s="1" t="n">
        <v>46265</v>
      </c>
      <c r="F379" t="inlineStr">
        <is>
          <t>VÄSTERBOTTENS LÄN</t>
        </is>
      </c>
      <c r="G379" t="inlineStr">
        <is>
          <t>ROBERTSFORS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32581-2022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44783</v>
      </c>
      <c r="E380" s="1" t="n">
        <v>46265</v>
      </c>
      <c r="F380" t="inlineStr">
        <is>
          <t>VÄSTERBOTTENS LÄN</t>
        </is>
      </c>
      <c r="G380" t="inlineStr">
        <is>
          <t>ROBERTSFORS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45463</v>
      </c>
      <c r="E381" s="1" t="n">
        <v>46265</v>
      </c>
      <c r="F381" t="inlineStr">
        <is>
          <t>VÄSTERBOTTENS LÄN</t>
        </is>
      </c>
      <c r="G381" t="inlineStr">
        <is>
          <t>ROBERTSFORS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45301</v>
      </c>
      <c r="E382" s="1" t="n">
        <v>46265</v>
      </c>
      <c r="F382" t="inlineStr">
        <is>
          <t>VÄSTERBOTTENS LÄN</t>
        </is>
      </c>
      <c r="G382" t="inlineStr">
        <is>
          <t>ROBERTSFORS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46265</v>
      </c>
      <c r="F383" t="inlineStr">
        <is>
          <t>VÄSTERBOTTENS LÄN</t>
        </is>
      </c>
      <c r="G383" t="inlineStr">
        <is>
          <t>ROBERTSFORS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45013</v>
      </c>
      <c r="E384" s="1" t="n">
        <v>46265</v>
      </c>
      <c r="F384" t="inlineStr">
        <is>
          <t>VÄSTERBOTTENS LÄN</t>
        </is>
      </c>
      <c r="G384" t="inlineStr">
        <is>
          <t>ROBERTSFORS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45502</v>
      </c>
      <c r="E385" s="1" t="n">
        <v>46265</v>
      </c>
      <c r="F385" t="inlineStr">
        <is>
          <t>VÄSTERBOTTENS LÄN</t>
        </is>
      </c>
      <c r="G385" t="inlineStr">
        <is>
          <t>ROBERTSFORS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46265</v>
      </c>
      <c r="F386" t="inlineStr">
        <is>
          <t>VÄSTERBOTTENS LÄN</t>
        </is>
      </c>
      <c r="G386" t="inlineStr">
        <is>
          <t>ROBERTSFORS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46265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46265</v>
      </c>
      <c r="F388" t="inlineStr">
        <is>
          <t>VÄSTERBOTTENS LÄN</t>
        </is>
      </c>
      <c r="G388" t="inlineStr">
        <is>
          <t>ROBERTSFORS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46265</v>
      </c>
      <c r="F389" t="inlineStr">
        <is>
          <t>VÄSTERBOTTENS LÄN</t>
        </is>
      </c>
      <c r="G389" t="inlineStr">
        <is>
          <t>ROBERTSFORS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45238</v>
      </c>
      <c r="E390" s="1" t="n">
        <v>46265</v>
      </c>
      <c r="F390" t="inlineStr">
        <is>
          <t>VÄSTERBOTTENS LÄN</t>
        </is>
      </c>
      <c r="G390" t="inlineStr">
        <is>
          <t>ROBERTSFORS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61553-2023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45261</v>
      </c>
      <c r="E391" s="1" t="n">
        <v>46265</v>
      </c>
      <c r="F391" t="inlineStr">
        <is>
          <t>VÄSTERBOTTENS LÄN</t>
        </is>
      </c>
      <c r="G391" t="inlineStr">
        <is>
          <t>ROBERTSFORS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45468</v>
      </c>
      <c r="E392" s="1" t="n">
        <v>46265</v>
      </c>
      <c r="F392" t="inlineStr">
        <is>
          <t>VÄSTERBOTTENS LÄN</t>
        </is>
      </c>
      <c r="G392" t="inlineStr">
        <is>
          <t>ROBERTSFORS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46265</v>
      </c>
      <c r="F393" t="inlineStr">
        <is>
          <t>VÄSTERBOTTENS LÄN</t>
        </is>
      </c>
      <c r="G393" t="inlineStr">
        <is>
          <t>ROBERTSFORS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45510</v>
      </c>
      <c r="E394" s="1" t="n">
        <v>46265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45622</v>
      </c>
      <c r="E395" s="1" t="n">
        <v>46265</v>
      </c>
      <c r="F395" t="inlineStr">
        <is>
          <t>VÄSTERBOTTENS LÄN</t>
        </is>
      </c>
      <c r="G395" t="inlineStr">
        <is>
          <t>ROBERTSFORS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45671</v>
      </c>
      <c r="E396" s="1" t="n">
        <v>46265</v>
      </c>
      <c r="F396" t="inlineStr">
        <is>
          <t>VÄSTERBOTTENS LÄN</t>
        </is>
      </c>
      <c r="G396" t="inlineStr">
        <is>
          <t>ROBERTSFORS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46265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46265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46300-2024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46265</v>
      </c>
      <c r="F399" t="inlineStr">
        <is>
          <t>VÄSTERBOTTENS LÄN</t>
        </is>
      </c>
      <c r="G399" t="inlineStr">
        <is>
          <t>ROBERTSFORS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38951-2024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45548</v>
      </c>
      <c r="E400" s="1" t="n">
        <v>46265</v>
      </c>
      <c r="F400" t="inlineStr">
        <is>
          <t>VÄSTERBOTTENS LÄN</t>
        </is>
      </c>
      <c r="G400" t="inlineStr">
        <is>
          <t>ROBERTSFORS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65772-2021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44516</v>
      </c>
      <c r="E401" s="1" t="n">
        <v>46265</v>
      </c>
      <c r="F401" t="inlineStr">
        <is>
          <t>VÄSTERBOTTENS LÄN</t>
        </is>
      </c>
      <c r="G401" t="inlineStr">
        <is>
          <t>ROBERTSFORS</t>
        </is>
      </c>
      <c r="I401" t="n">
        <v>18.2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45033</v>
      </c>
      <c r="E402" s="1" t="n">
        <v>46265</v>
      </c>
      <c r="F402" t="inlineStr">
        <is>
          <t>VÄSTERBOTTENS LÄN</t>
        </is>
      </c>
      <c r="G402" t="inlineStr">
        <is>
          <t>ROBERTSFORS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46265</v>
      </c>
      <c r="F403" t="inlineStr">
        <is>
          <t>VÄSTERBOTTENS LÄN</t>
        </is>
      </c>
      <c r="G403" t="inlineStr">
        <is>
          <t>ROBERTSFORS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46265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44936</v>
      </c>
      <c r="E405" s="1" t="n">
        <v>46265</v>
      </c>
      <c r="F405" t="inlineStr">
        <is>
          <t>VÄSTERBOTTENS LÄN</t>
        </is>
      </c>
      <c r="G405" t="inlineStr">
        <is>
          <t>ROBERTSFORS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46265</v>
      </c>
      <c r="F406" t="inlineStr">
        <is>
          <t>VÄSTERBOTTENS LÄN</t>
        </is>
      </c>
      <c r="G406" t="inlineStr">
        <is>
          <t>ROBERTSFORS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46969-2025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46265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38092-2022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44811</v>
      </c>
      <c r="E408" s="1" t="n">
        <v>46265</v>
      </c>
      <c r="F408" t="inlineStr">
        <is>
          <t>VÄSTERBOTTENS LÄN</t>
        </is>
      </c>
      <c r="G408" t="inlineStr">
        <is>
          <t>ROBERTSFORS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51966-2024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45607</v>
      </c>
      <c r="E409" s="1" t="n">
        <v>46265</v>
      </c>
      <c r="F409" t="inlineStr">
        <is>
          <t>VÄSTERBOTTENS LÄN</t>
        </is>
      </c>
      <c r="G409" t="inlineStr">
        <is>
          <t>ROBERTSFORS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62187-2021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44502</v>
      </c>
      <c r="E410" s="1" t="n">
        <v>46265</v>
      </c>
      <c r="F410" t="inlineStr">
        <is>
          <t>VÄSTERBOTTENS LÄN</t>
        </is>
      </c>
      <c r="G410" t="inlineStr">
        <is>
          <t>ROBERTSFORS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44580</v>
      </c>
      <c r="E411" s="1" t="n">
        <v>46265</v>
      </c>
      <c r="F411" t="inlineStr">
        <is>
          <t>VÄSTERBOTTENS LÄN</t>
        </is>
      </c>
      <c r="G411" t="inlineStr">
        <is>
          <t>ROBERTSFORS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53271-2021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44467</v>
      </c>
      <c r="E412" s="1" t="n">
        <v>46265</v>
      </c>
      <c r="F412" t="inlineStr">
        <is>
          <t>VÄSTERBOTTENS LÄN</t>
        </is>
      </c>
      <c r="G412" t="inlineStr">
        <is>
          <t>ROBERTSFORS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45580</v>
      </c>
      <c r="E413" s="1" t="n">
        <v>46265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46265</v>
      </c>
      <c r="F414" t="inlineStr">
        <is>
          <t>VÄSTERBOTTENS LÄN</t>
        </is>
      </c>
      <c r="G414" t="inlineStr">
        <is>
          <t>ROBERTSFORS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46265</v>
      </c>
      <c r="F415" t="inlineStr">
        <is>
          <t>VÄSTERBOTTENS LÄN</t>
        </is>
      </c>
      <c r="G415" t="inlineStr">
        <is>
          <t>ROBERTSFORS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46265</v>
      </c>
      <c r="F416" t="inlineStr">
        <is>
          <t>VÄSTERBOTTENS LÄN</t>
        </is>
      </c>
      <c r="G416" t="inlineStr">
        <is>
          <t>ROBERTSFORS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44952</v>
      </c>
      <c r="E417" s="1" t="n">
        <v>46265</v>
      </c>
      <c r="F417" t="inlineStr">
        <is>
          <t>VÄSTERBOTTENS LÄN</t>
        </is>
      </c>
      <c r="G417" t="inlineStr">
        <is>
          <t>ROBERTSFORS</t>
        </is>
      </c>
      <c r="I417" t="n">
        <v>16.1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26038-2022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44734</v>
      </c>
      <c r="E418" s="1" t="n">
        <v>46265</v>
      </c>
      <c r="F418" t="inlineStr">
        <is>
          <t>VÄSTERBOTTENS LÄN</t>
        </is>
      </c>
      <c r="G418" t="inlineStr">
        <is>
          <t>ROBERTSFORS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45076</v>
      </c>
      <c r="E419" s="1" t="n">
        <v>46265</v>
      </c>
      <c r="F419" t="inlineStr">
        <is>
          <t>VÄSTERBOTTENS LÄN</t>
        </is>
      </c>
      <c r="G419" t="inlineStr">
        <is>
          <t>ROBERTSFORS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45129</v>
      </c>
      <c r="E420" s="1" t="n">
        <v>46265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45160</v>
      </c>
      <c r="E421" s="1" t="n">
        <v>46265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45146</v>
      </c>
      <c r="E422" s="1" t="n">
        <v>46265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46265</v>
      </c>
      <c r="F423" t="inlineStr">
        <is>
          <t>VÄSTERBOTTENS LÄN</t>
        </is>
      </c>
      <c r="G423" t="inlineStr">
        <is>
          <t>ROBERTSFORS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55469-2021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44475</v>
      </c>
      <c r="E424" s="1" t="n">
        <v>46265</v>
      </c>
      <c r="F424" t="inlineStr">
        <is>
          <t>VÄSTERBOTTENS LÄN</t>
        </is>
      </c>
      <c r="G424" t="inlineStr">
        <is>
          <t>ROBERTSFORS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26797-2023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46265</v>
      </c>
      <c r="F425" t="inlineStr">
        <is>
          <t>VÄSTERBOTTENS LÄN</t>
        </is>
      </c>
      <c r="G425" t="inlineStr">
        <is>
          <t>ROBERTSFORS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59256-2022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44904</v>
      </c>
      <c r="E426" s="1" t="n">
        <v>46265</v>
      </c>
      <c r="F426" t="inlineStr">
        <is>
          <t>VÄSTERBOTTENS LÄN</t>
        </is>
      </c>
      <c r="G426" t="inlineStr">
        <is>
          <t>ROBERTSFORS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46265</v>
      </c>
      <c r="F427" t="inlineStr">
        <is>
          <t>VÄSTERBOTTENS LÄN</t>
        </is>
      </c>
      <c r="G427" t="inlineStr">
        <is>
          <t>ROBERTSFORS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45307</v>
      </c>
      <c r="E428" s="1" t="n">
        <v>46265</v>
      </c>
      <c r="F428" t="inlineStr">
        <is>
          <t>VÄSTERBOTTENS LÄN</t>
        </is>
      </c>
      <c r="G428" t="inlineStr">
        <is>
          <t>ROBERTSFORS</t>
        </is>
      </c>
      <c r="I428" t="n">
        <v>12.1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46265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46265</v>
      </c>
      <c r="F430" t="inlineStr">
        <is>
          <t>VÄSTERBOTTENS LÄN</t>
        </is>
      </c>
      <c r="G430" t="inlineStr">
        <is>
          <t>ROBERTSFORS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46265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45251</v>
      </c>
      <c r="E432" s="1" t="n">
        <v>46265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13.9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46265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46265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46265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46265</v>
      </c>
      <c r="F436" t="inlineStr">
        <is>
          <t>VÄSTERBOTTENS LÄN</t>
        </is>
      </c>
      <c r="G436" t="inlineStr">
        <is>
          <t>ROBERTSFORS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46265</v>
      </c>
      <c r="F437" t="inlineStr">
        <is>
          <t>VÄSTERBOTTENS LÄN</t>
        </is>
      </c>
      <c r="G437" t="inlineStr">
        <is>
          <t>ROBERTSFORS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34434-2024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45525</v>
      </c>
      <c r="E438" s="1" t="n">
        <v>46265</v>
      </c>
      <c r="F438" t="inlineStr">
        <is>
          <t>VÄSTERBOTTENS LÄN</t>
        </is>
      </c>
      <c r="G438" t="inlineStr">
        <is>
          <t>ROBERTSFORS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46150</v>
      </c>
      <c r="E439" s="1" t="n">
        <v>46265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38480-2023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45162</v>
      </c>
      <c r="E440" s="1" t="n">
        <v>46265</v>
      </c>
      <c r="F440" t="inlineStr">
        <is>
          <t>VÄSTERBOTTENS LÄN</t>
        </is>
      </c>
      <c r="G440" t="inlineStr">
        <is>
          <t>ROBERTSFORS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10234-2024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45365</v>
      </c>
      <c r="E441" s="1" t="n">
        <v>46265</v>
      </c>
      <c r="F441" t="inlineStr">
        <is>
          <t>VÄSTERBOTTENS LÄN</t>
        </is>
      </c>
      <c r="G441" t="inlineStr">
        <is>
          <t>ROBERTSFORS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46265</v>
      </c>
      <c r="F442" t="inlineStr">
        <is>
          <t>VÄSTERBOTTENS LÄN</t>
        </is>
      </c>
      <c r="G442" t="inlineStr">
        <is>
          <t>ROBERTSFORS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45365</v>
      </c>
      <c r="E443" s="1" t="n">
        <v>46265</v>
      </c>
      <c r="F443" t="inlineStr">
        <is>
          <t>VÄSTERBOTTENS LÄN</t>
        </is>
      </c>
      <c r="G443" t="inlineStr">
        <is>
          <t>ROBERTSFORS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46265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45610</v>
      </c>
      <c r="E445" s="1" t="n">
        <v>46265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SCA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44980</v>
      </c>
      <c r="E446" s="1" t="n">
        <v>46265</v>
      </c>
      <c r="F446" t="inlineStr">
        <is>
          <t>VÄSTERBOTTENS LÄN</t>
        </is>
      </c>
      <c r="G446" t="inlineStr">
        <is>
          <t>ROBERTSFORS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46265</v>
      </c>
      <c r="F447" t="inlineStr">
        <is>
          <t>VÄSTERBOTTENS LÄN</t>
        </is>
      </c>
      <c r="G447" t="inlineStr">
        <is>
          <t>ROBERTSFORS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46265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46155</v>
      </c>
      <c r="E449" s="1" t="n">
        <v>46265</v>
      </c>
      <c r="F449" t="inlineStr">
        <is>
          <t>VÄSTERBOTTENS LÄN</t>
        </is>
      </c>
      <c r="G449" t="inlineStr">
        <is>
          <t>ROBERTSFORS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46265</v>
      </c>
      <c r="F450" t="inlineStr">
        <is>
          <t>VÄSTERBOTTENS LÄN</t>
        </is>
      </c>
      <c r="G450" t="inlineStr">
        <is>
          <t>ROBERTSFORS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45687</v>
      </c>
      <c r="E451" s="1" t="n">
        <v>46265</v>
      </c>
      <c r="F451" t="inlineStr">
        <is>
          <t>VÄSTERBOTTENS LÄN</t>
        </is>
      </c>
      <c r="G451" t="inlineStr">
        <is>
          <t>ROBERTSFORS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38120-2024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45545</v>
      </c>
      <c r="E452" s="1" t="n">
        <v>46265</v>
      </c>
      <c r="F452" t="inlineStr">
        <is>
          <t>VÄSTERBOTTENS LÄN</t>
        </is>
      </c>
      <c r="G452" t="inlineStr">
        <is>
          <t>ROBERTSFORS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58679-2024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45635</v>
      </c>
      <c r="E453" s="1" t="n">
        <v>46265</v>
      </c>
      <c r="F453" t="inlineStr">
        <is>
          <t>VÄSTERBOTTENS LÄN</t>
        </is>
      </c>
      <c r="G453" t="inlineStr">
        <is>
          <t>ROBERTSFORS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56724-2024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45628</v>
      </c>
      <c r="E454" s="1" t="n">
        <v>46265</v>
      </c>
      <c r="F454" t="inlineStr">
        <is>
          <t>VÄSTERBOTTENS LÄN</t>
        </is>
      </c>
      <c r="G454" t="inlineStr">
        <is>
          <t>ROBERTSFORS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46265</v>
      </c>
      <c r="F455" t="inlineStr">
        <is>
          <t>VÄSTERBOTTENS LÄN</t>
        </is>
      </c>
      <c r="G455" t="inlineStr">
        <is>
          <t>ROBERTSFORS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60570-2024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46265</v>
      </c>
      <c r="F456" t="inlineStr">
        <is>
          <t>VÄSTERBOTTENS LÄN</t>
        </is>
      </c>
      <c r="G456" t="inlineStr">
        <is>
          <t>ROBERTSFORS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45628</v>
      </c>
      <c r="E457" s="1" t="n">
        <v>46265</v>
      </c>
      <c r="F457" t="inlineStr">
        <is>
          <t>VÄSTERBOTTENS LÄN</t>
        </is>
      </c>
      <c r="G457" t="inlineStr">
        <is>
          <t>ROBERTSFORS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45160</v>
      </c>
      <c r="E458" s="1" t="n">
        <v>46265</v>
      </c>
      <c r="F458" t="inlineStr">
        <is>
          <t>VÄSTERBOTTENS LÄN</t>
        </is>
      </c>
      <c r="G458" t="inlineStr">
        <is>
          <t>ROBERTSFORS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46265</v>
      </c>
      <c r="F459" t="inlineStr">
        <is>
          <t>VÄSTERBOTTENS LÄN</t>
        </is>
      </c>
      <c r="G459" t="inlineStr">
        <is>
          <t>ROBERTSFORS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46265</v>
      </c>
      <c r="F460" t="inlineStr">
        <is>
          <t>VÄSTERBOTTENS LÄN</t>
        </is>
      </c>
      <c r="G460" t="inlineStr">
        <is>
          <t>ROBERTSFORS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22934-2026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46265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46265</v>
      </c>
      <c r="F462" t="inlineStr">
        <is>
          <t>VÄSTERBOTTENS LÄN</t>
        </is>
      </c>
      <c r="G462" t="inlineStr">
        <is>
          <t>ROBERTSFORS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22929-2026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46265</v>
      </c>
      <c r="F463" t="inlineStr">
        <is>
          <t>VÄSTERBOTTENS LÄN</t>
        </is>
      </c>
      <c r="G463" t="inlineStr">
        <is>
          <t>ROBERTSFORS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45502</v>
      </c>
      <c r="E464" s="1" t="n">
        <v>46265</v>
      </c>
      <c r="F464" t="inlineStr">
        <is>
          <t>VÄSTERBOTTENS LÄN</t>
        </is>
      </c>
      <c r="G464" t="inlineStr">
        <is>
          <t>ROBERTSFORS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45580</v>
      </c>
      <c r="E465" s="1" t="n">
        <v>46265</v>
      </c>
      <c r="F465" t="inlineStr">
        <is>
          <t>VÄSTERBOTTENS LÄN</t>
        </is>
      </c>
      <c r="G465" t="inlineStr">
        <is>
          <t>ROBERTSFORS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46169</v>
      </c>
      <c r="E466" s="1" t="n">
        <v>46265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15.9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13164-2024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45386</v>
      </c>
      <c r="E467" s="1" t="n">
        <v>46265</v>
      </c>
      <c r="F467" t="inlineStr">
        <is>
          <t>VÄSTERBOTTENS LÄN</t>
        </is>
      </c>
      <c r="G467" t="inlineStr">
        <is>
          <t>ROBERTSFORS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46265</v>
      </c>
      <c r="F468" t="inlineStr">
        <is>
          <t>VÄSTERBOTTENS LÄN</t>
        </is>
      </c>
      <c r="G468" t="inlineStr">
        <is>
          <t>ROBERTSFORS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46170</v>
      </c>
      <c r="E469" s="1" t="n">
        <v>46265</v>
      </c>
      <c r="F469" t="inlineStr">
        <is>
          <t>VÄSTERBOTTENS LÄN</t>
        </is>
      </c>
      <c r="G469" t="inlineStr">
        <is>
          <t>ROBERTSFORS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24647-2026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46171</v>
      </c>
      <c r="E470" s="1" t="n">
        <v>46265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46265</v>
      </c>
      <c r="F471" t="inlineStr">
        <is>
          <t>VÄSTERBOTTENS LÄN</t>
        </is>
      </c>
      <c r="G471" t="inlineStr">
        <is>
          <t>ROBERTSFORS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46265</v>
      </c>
      <c r="F472" t="inlineStr">
        <is>
          <t>VÄSTERBOTTENS LÄN</t>
        </is>
      </c>
      <c r="G472" t="inlineStr">
        <is>
          <t>ROBERTSFORS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46265</v>
      </c>
      <c r="F473" t="inlineStr">
        <is>
          <t>VÄSTERBOTTENS LÄN</t>
        </is>
      </c>
      <c r="G473" t="inlineStr">
        <is>
          <t>ROBERTSFORS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23647-2024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45454</v>
      </c>
      <c r="E474" s="1" t="n">
        <v>46265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46265</v>
      </c>
      <c r="F475" t="inlineStr">
        <is>
          <t>VÄSTERBOTTENS LÄN</t>
        </is>
      </c>
      <c r="G475" t="inlineStr">
        <is>
          <t>ROBERTSFORS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26045-2026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46265</v>
      </c>
      <c r="F476" t="inlineStr">
        <is>
          <t>VÄSTERBOTTENS LÄN</t>
        </is>
      </c>
      <c r="G476" t="inlineStr">
        <is>
          <t>ROBERTSFORS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26538-2026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46183</v>
      </c>
      <c r="E477" s="1" t="n">
        <v>46265</v>
      </c>
      <c r="F477" t="inlineStr">
        <is>
          <t>VÄSTERBOTTENS LÄN</t>
        </is>
      </c>
      <c r="G477" t="inlineStr">
        <is>
          <t>ROBERTSFORS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46225</v>
      </c>
      <c r="E478" s="1" t="n">
        <v>46265</v>
      </c>
      <c r="F478" t="inlineStr">
        <is>
          <t>VÄSTERBOTTENS LÄN</t>
        </is>
      </c>
      <c r="G478" t="inlineStr">
        <is>
          <t>ROBERTSFORS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46225</v>
      </c>
      <c r="E479" s="1" t="n">
        <v>46265</v>
      </c>
      <c r="F479" t="inlineStr">
        <is>
          <t>VÄSTERBOTTENS LÄN</t>
        </is>
      </c>
      <c r="G479" t="inlineStr">
        <is>
          <t>ROBERTSFORS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46225</v>
      </c>
      <c r="E480" s="1" t="n">
        <v>46265</v>
      </c>
      <c r="F480" t="inlineStr">
        <is>
          <t>VÄSTERBOTTENS LÄN</t>
        </is>
      </c>
      <c r="G480" t="inlineStr">
        <is>
          <t>ROBERTSFORS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46265</v>
      </c>
      <c r="F481" t="inlineStr">
        <is>
          <t>VÄSTERBOTTENS LÄN</t>
        </is>
      </c>
      <c r="G481" t="inlineStr">
        <is>
          <t>ROBERTSFORS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26949-2026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46265</v>
      </c>
      <c r="F482" t="inlineStr">
        <is>
          <t>VÄSTERBOTTENS LÄN</t>
        </is>
      </c>
      <c r="G482" t="inlineStr">
        <is>
          <t>ROBERTSFORS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46265</v>
      </c>
      <c r="F483" t="inlineStr">
        <is>
          <t>VÄSTERBOTTENS LÄN</t>
        </is>
      </c>
      <c r="G483" t="inlineStr">
        <is>
          <t>ROBERTSFORS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46230</v>
      </c>
      <c r="E484" s="1" t="n">
        <v>46265</v>
      </c>
      <c r="F484" t="inlineStr">
        <is>
          <t>VÄSTERBOTTENS LÄN</t>
        </is>
      </c>
      <c r="G484" t="inlineStr">
        <is>
          <t>ROBERTSFORS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26833-2026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46265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46265</v>
      </c>
      <c r="F486" t="inlineStr">
        <is>
          <t>VÄSTERBOTTENS LÄN</t>
        </is>
      </c>
      <c r="G486" t="inlineStr">
        <is>
          <t>ROBERTSFORS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46265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46265</v>
      </c>
      <c r="F488" t="inlineStr">
        <is>
          <t>VÄSTERBOTTENS LÄN</t>
        </is>
      </c>
      <c r="G488" t="inlineStr">
        <is>
          <t>ROBERTSFORS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46265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46265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45620</v>
      </c>
      <c r="E491" s="1" t="n">
        <v>46265</v>
      </c>
      <c r="F491" t="inlineStr">
        <is>
          <t>VÄSTERBOTTENS LÄN</t>
        </is>
      </c>
      <c r="G491" t="inlineStr">
        <is>
          <t>ROBERTSFORS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46265</v>
      </c>
      <c r="F492" t="inlineStr">
        <is>
          <t>VÄSTERBOTTENS LÄN</t>
        </is>
      </c>
      <c r="G492" t="inlineStr">
        <is>
          <t>ROBERTSFORS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46265</v>
      </c>
      <c r="F493" t="inlineStr">
        <is>
          <t>VÄSTERBOTTENS LÄN</t>
        </is>
      </c>
      <c r="G493" t="inlineStr">
        <is>
          <t>ROBERTSFORS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46265</v>
      </c>
      <c r="F494" t="inlineStr">
        <is>
          <t>VÄSTERBOTTENS LÄN</t>
        </is>
      </c>
      <c r="G494" t="inlineStr">
        <is>
          <t>ROBERTSFORS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46265</v>
      </c>
      <c r="F495" t="inlineStr">
        <is>
          <t>VÄSTERBOTTENS LÄN</t>
        </is>
      </c>
      <c r="G495" t="inlineStr">
        <is>
          <t>ROBERTSFORS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46265</v>
      </c>
      <c r="F496" t="inlineStr">
        <is>
          <t>VÄSTERBOTTENS LÄN</t>
        </is>
      </c>
      <c r="G496" t="inlineStr">
        <is>
          <t>ROBERTSFORS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46265</v>
      </c>
      <c r="F497" t="inlineStr">
        <is>
          <t>VÄSTERBOTTENS LÄN</t>
        </is>
      </c>
      <c r="G497" t="inlineStr">
        <is>
          <t>ROBERTSFORS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46265</v>
      </c>
      <c r="F498" t="inlineStr">
        <is>
          <t>VÄSTERBOTTENS LÄN</t>
        </is>
      </c>
      <c r="G498" t="inlineStr">
        <is>
          <t>ROBERTSFORS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46265</v>
      </c>
      <c r="F499" t="inlineStr">
        <is>
          <t>VÄSTERBOTTENS LÄN</t>
        </is>
      </c>
      <c r="G499" t="inlineStr">
        <is>
          <t>ROBERTSFORS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28222-2026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46265</v>
      </c>
      <c r="F500" t="inlineStr">
        <is>
          <t>VÄSTERBOTTENS LÄN</t>
        </is>
      </c>
      <c r="G500" t="inlineStr">
        <is>
          <t>ROBERTSFORS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46239</v>
      </c>
      <c r="E501" s="1" t="n">
        <v>46265</v>
      </c>
      <c r="F501" t="inlineStr">
        <is>
          <t>VÄSTERBOTTENS LÄN</t>
        </is>
      </c>
      <c r="G501" t="inlineStr">
        <is>
          <t>ROBERTSFORS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46265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46265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46265</v>
      </c>
      <c r="F504" t="inlineStr">
        <is>
          <t>VÄSTERBOTTENS LÄN</t>
        </is>
      </c>
      <c r="G504" t="inlineStr">
        <is>
          <t>ROBERTSFORS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32681-2026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46240</v>
      </c>
      <c r="E505" s="1" t="n">
        <v>46265</v>
      </c>
      <c r="F505" t="inlineStr">
        <is>
          <t>VÄSTERBOTTENS LÄN</t>
        </is>
      </c>
      <c r="G505" t="inlineStr">
        <is>
          <t>ROBERTSFORS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28651-2026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46265</v>
      </c>
      <c r="F506" t="inlineStr">
        <is>
          <t>VÄSTERBOTTENS LÄN</t>
        </is>
      </c>
      <c r="G506" t="inlineStr">
        <is>
          <t>ROBERTSFORS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32912-2026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46265</v>
      </c>
      <c r="F507" t="inlineStr">
        <is>
          <t>VÄSTERBOTTENS LÄN</t>
        </is>
      </c>
      <c r="G507" t="inlineStr">
        <is>
          <t>ROBERTSFORS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46202</v>
      </c>
      <c r="E508" s="1" t="n">
        <v>46265</v>
      </c>
      <c r="F508" t="inlineStr">
        <is>
          <t>VÄSTERBOTTENS LÄN</t>
        </is>
      </c>
      <c r="G508" t="inlineStr">
        <is>
          <t>ROBERTSFORS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46265</v>
      </c>
      <c r="F509" t="inlineStr">
        <is>
          <t>VÄSTERBOTTENS LÄN</t>
        </is>
      </c>
      <c r="G509" t="inlineStr">
        <is>
          <t>ROBERTSFORS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46265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SCA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46265</v>
      </c>
      <c r="F511" t="inlineStr">
        <is>
          <t>VÄSTERBOTTENS LÄN</t>
        </is>
      </c>
      <c r="G511" t="inlineStr">
        <is>
          <t>ROBERTSFORS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46265</v>
      </c>
      <c r="F512" t="inlineStr">
        <is>
          <t>VÄSTERBOTTENS LÄN</t>
        </is>
      </c>
      <c r="G512" t="inlineStr">
        <is>
          <t>ROBERTSFORS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46265</v>
      </c>
      <c r="F513" t="inlineStr">
        <is>
          <t>VÄSTERBOTTENS LÄN</t>
        </is>
      </c>
      <c r="G513" t="inlineStr">
        <is>
          <t>ROBERTSFORS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46265</v>
      </c>
      <c r="F514" t="inlineStr">
        <is>
          <t>VÄSTERBOTTENS LÄN</t>
        </is>
      </c>
      <c r="G514" t="inlineStr">
        <is>
          <t>ROBERTSFORS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46265</v>
      </c>
      <c r="F515" t="inlineStr">
        <is>
          <t>VÄSTERBOTTENS LÄN</t>
        </is>
      </c>
      <c r="G515" t="inlineStr">
        <is>
          <t>ROBERTSFORS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46265</v>
      </c>
      <c r="F516" t="inlineStr">
        <is>
          <t>VÄSTERBOTTENS LÄN</t>
        </is>
      </c>
      <c r="G516" t="inlineStr">
        <is>
          <t>ROBERTSFORS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46265</v>
      </c>
      <c r="F517" t="inlineStr">
        <is>
          <t>VÄSTERBOTTENS LÄN</t>
        </is>
      </c>
      <c r="G517" t="inlineStr">
        <is>
          <t>ROBERTSFORS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46265</v>
      </c>
      <c r="F518" t="inlineStr">
        <is>
          <t>VÄSTERBOTTENS LÄN</t>
        </is>
      </c>
      <c r="G518" t="inlineStr">
        <is>
          <t>ROBERTSFORS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35011-2026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46259</v>
      </c>
      <c r="E519" s="1" t="n">
        <v>46265</v>
      </c>
      <c r="F519" t="inlineStr">
        <is>
          <t>VÄSTERBOTTENS LÄN</t>
        </is>
      </c>
      <c r="G519" t="inlineStr">
        <is>
          <t>ROBERTSFORS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46265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46262</v>
      </c>
      <c r="E521" s="1" t="n">
        <v>46265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46261</v>
      </c>
      <c r="E522" s="1" t="n">
        <v>46265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21.2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2849-2022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44707</v>
      </c>
      <c r="E523" s="1" t="n">
        <v>46265</v>
      </c>
      <c r="F523" t="inlineStr">
        <is>
          <t>VÄSTERBOTTENS LÄN</t>
        </is>
      </c>
      <c r="G523" t="inlineStr">
        <is>
          <t>ROBERTSFORS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8592-2021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44501</v>
      </c>
      <c r="E524" s="1" t="n">
        <v>46265</v>
      </c>
      <c r="F524" t="inlineStr">
        <is>
          <t>VÄSTERBOTTENS LÄN</t>
        </is>
      </c>
      <c r="G524" t="inlineStr">
        <is>
          <t>ROBERTSFORS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1034-2025</t>
        </is>
      </c>
      <c r="B525" t="inlineStr">
        <is>
          <t>samrådsanmälan</t>
        </is>
      </c>
      <c r="C525" t="inlineStr">
        <is>
          <t>Skogsgödsling</t>
        </is>
      </c>
      <c r="D525" s="1" t="n">
        <v>45747</v>
      </c>
      <c r="E525" s="1" t="n">
        <v>46265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1249-2025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45762</v>
      </c>
      <c r="E526" s="1" t="n">
        <v>46265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175.8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702-2026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46092</v>
      </c>
      <c r="E527" s="1" t="n">
        <v>46265</v>
      </c>
      <c r="F527" t="inlineStr">
        <is>
          <t>VÄSTERBOTTENS LÄN</t>
        </is>
      </c>
      <c r="G527" t="inlineStr">
        <is>
          <t>ROBERTSFORS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1273-2026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46147</v>
      </c>
      <c r="E528" s="1" t="n">
        <v>46265</v>
      </c>
      <c r="F528" t="inlineStr">
        <is>
          <t>VÄSTERBOTTENS LÄN</t>
        </is>
      </c>
      <c r="G528" t="inlineStr">
        <is>
          <t>ROBERTSFORS</t>
        </is>
      </c>
      <c r="I528" t="n">
        <v>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1322-2026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46149</v>
      </c>
      <c r="E529" s="1" t="n">
        <v>46265</v>
      </c>
      <c r="F529" t="inlineStr">
        <is>
          <t>VÄSTERBOTTENS LÄN</t>
        </is>
      </c>
      <c r="G529" t="inlineStr">
        <is>
          <t>ROBERTSFORS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1416-2026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46155</v>
      </c>
      <c r="E530" s="1" t="n">
        <v>46265</v>
      </c>
      <c r="F530" t="inlineStr">
        <is>
          <t>VÄSTERBOTTENS LÄN</t>
        </is>
      </c>
      <c r="G530" t="inlineStr">
        <is>
          <t>ROBERTSFORS</t>
        </is>
      </c>
      <c r="I530" t="n">
        <v>32.7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2026-08-31T09:59:34Z</dcterms:created>
  <dcterms:modified xmlns:dcterms="http://purl.org/dc/terms/" xmlns:xsi="http://www.w3.org/2001/XMLSchema-instance" xsi:type="dcterms:W3CDTF">2026-08-31T09:59:35Z</dcterms:modified>
</cp:coreProperties>
</file>