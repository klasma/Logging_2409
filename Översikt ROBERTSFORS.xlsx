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46250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46250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46250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46250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46250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46250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46250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46250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46250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46250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46250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46250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46250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46250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46250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46250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46250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46250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46250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33347-2025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46250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Holmen skog AB</t>
        </is>
      </c>
      <c r="I21" t="n">
        <v>2.9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Garnlav
Lunglav
Stuplav</t>
        </is>
      </c>
      <c r="W21">
        <f>HYPERLINK("https://klasma.github.io/Logging_2409/artfynd/A 33347-2025 artfynd.xlsx", "A 33347-2025")</f>
        <v/>
      </c>
      <c r="X21">
        <f>HYPERLINK("https://klasma.github.io/Logging_2409/kartor/A 33347-2025 karta.png", "A 33347-2025")</f>
        <v/>
      </c>
      <c r="Y21">
        <f>HYPERLINK("https://klasma.github.io/Logging_2409/kartor_geotiff/A 33347-2025 georefererad karta.tif", "A 33347-2025")</f>
        <v/>
      </c>
      <c r="AA21">
        <f>HYPERLINK("https://klasma.github.io/Logging_2409/klagomål/A 33347-2025 FSC-klagomål.docx", "A 33347-2025")</f>
        <v/>
      </c>
      <c r="AB21">
        <f>HYPERLINK("https://klasma.github.io/Logging_2409/klagomålsmail/A 33347-2025 FSC-klagomål mail.docx", "A 33347-2025")</f>
        <v/>
      </c>
      <c r="AC21">
        <f>HYPERLINK("https://klasma.github.io/Logging_2409/tillsyn/A 33347-2025 tillsynsbegäran.docx", "A 33347-2025")</f>
        <v/>
      </c>
      <c r="AD21">
        <f>HYPERLINK("https://klasma.github.io/Logging_2409/tillsynsmail/A 33347-2025 tillsynsbegäran mail.docx", "A 33347-2025")</f>
        <v/>
      </c>
    </row>
    <row r="22" ht="15" customHeight="1">
      <c r="A22" t="inlineStr">
        <is>
          <t>A 34727-2025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45848</v>
      </c>
      <c r="E22" s="1" t="n">
        <v>46250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4.3</v>
      </c>
      <c r="J22" t="n">
        <v>2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Ullticka
Spindelblomster</t>
        </is>
      </c>
      <c r="W22">
        <f>HYPERLINK("https://klasma.github.io/Logging_2409/artfynd/A 34727-2025 artfynd.xlsx", "A 34727-2025")</f>
        <v/>
      </c>
      <c r="X22">
        <f>HYPERLINK("https://klasma.github.io/Logging_2409/kartor/A 34727-2025 karta.png", "A 34727-2025")</f>
        <v/>
      </c>
      <c r="Y22">
        <f>HYPERLINK("https://klasma.github.io/Logging_2409/kartor_geotiff/A 34727-2025 georefererad karta.tif", "A 34727-2025")</f>
        <v/>
      </c>
      <c r="AA22">
        <f>HYPERLINK("https://klasma.github.io/Logging_2409/klagomål/A 34727-2025 FSC-klagomål.docx", "A 34727-2025")</f>
        <v/>
      </c>
      <c r="AB22">
        <f>HYPERLINK("https://klasma.github.io/Logging_2409/klagomålsmail/A 34727-2025 FSC-klagomål mail.docx", "A 34727-2025")</f>
        <v/>
      </c>
      <c r="AC22">
        <f>HYPERLINK("https://klasma.github.io/Logging_2409/tillsyn/A 34727-2025 tillsynsbegäran.docx", "A 34727-2025")</f>
        <v/>
      </c>
      <c r="AD22">
        <f>HYPERLINK("https://klasma.github.io/Logging_2409/tillsynsmail/A 34727-2025 tillsynsbegäran mail.docx", "A 34727-2025")</f>
        <v/>
      </c>
      <c r="AE22">
        <f>HYPERLINK("https://klasma.github.io/Logging_2409/fåglar/A 34727-2025 prioriterade fågelarter.docx", "A 34727-2025")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46250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46250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48882-2025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45937</v>
      </c>
      <c r="E25" s="1" t="n">
        <v>46250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Kyrkan</t>
        </is>
      </c>
      <c r="I25" t="n">
        <v>5.5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Harticka
Ullticka</t>
        </is>
      </c>
      <c r="W25">
        <f>HYPERLINK("https://klasma.github.io/Logging_2409/artfynd/A 48882-2025 artfynd.xlsx", "A 48882-2025")</f>
        <v/>
      </c>
      <c r="X25">
        <f>HYPERLINK("https://klasma.github.io/Logging_2409/kartor/A 48882-2025 karta.png", "A 48882-2025")</f>
        <v/>
      </c>
      <c r="Y25">
        <f>HYPERLINK("https://klasma.github.io/Logging_2409/kartor_geotiff/A 48882-2025 georefererad karta.tif", "A 48882-2025")</f>
        <v/>
      </c>
      <c r="AA25">
        <f>HYPERLINK("https://klasma.github.io/Logging_2409/klagomål/A 48882-2025 FSC-klagomål.docx", "A 48882-2025")</f>
        <v/>
      </c>
      <c r="AB25">
        <f>HYPERLINK("https://klasma.github.io/Logging_2409/klagomålsmail/A 48882-2025 FSC-klagomål mail.docx", "A 48882-2025")</f>
        <v/>
      </c>
      <c r="AC25">
        <f>HYPERLINK("https://klasma.github.io/Logging_2409/tillsyn/A 48882-2025 tillsynsbegäran.docx", "A 48882-2025")</f>
        <v/>
      </c>
      <c r="AD25">
        <f>HYPERLINK("https://klasma.github.io/Logging_2409/tillsynsmail/A 48882-2025 tillsynsbegäran mail.docx", "A 48882-2025")</f>
        <v/>
      </c>
    </row>
    <row r="26" ht="15" customHeight="1">
      <c r="A26" t="inlineStr">
        <is>
          <t>A 19724-2023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45051</v>
      </c>
      <c r="E26" s="1" t="n">
        <v>46250</v>
      </c>
      <c r="F26" t="inlineStr">
        <is>
          <t>VÄSTERBOTTENS LÄN</t>
        </is>
      </c>
      <c r="G26" t="inlineStr">
        <is>
          <t>ROBERTSFORS</t>
        </is>
      </c>
      <c r="I26" t="n">
        <v>6.1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Motaggsvamp
Skarp dropptaggsvamp</t>
        </is>
      </c>
      <c r="W26">
        <f>HYPERLINK("https://klasma.github.io/Logging_2409/artfynd/A 19724-2023 artfynd.xlsx", "A 19724-2023")</f>
        <v/>
      </c>
      <c r="X26">
        <f>HYPERLINK("https://klasma.github.io/Logging_2409/kartor/A 19724-2023 karta.png", "A 19724-2023")</f>
        <v/>
      </c>
      <c r="Y26">
        <f>HYPERLINK("https://klasma.github.io/Logging_2409/kartor_geotiff/A 19724-2023 georefererad karta.tif", "A 19724-2023")</f>
        <v/>
      </c>
      <c r="AA26">
        <f>HYPERLINK("https://klasma.github.io/Logging_2409/klagomål/A 19724-2023 FSC-klagomål.docx", "A 19724-2023")</f>
        <v/>
      </c>
      <c r="AB26">
        <f>HYPERLINK("https://klasma.github.io/Logging_2409/klagomålsmail/A 19724-2023 FSC-klagomål mail.docx", "A 19724-2023")</f>
        <v/>
      </c>
      <c r="AC26">
        <f>HYPERLINK("https://klasma.github.io/Logging_2409/tillsyn/A 19724-2023 tillsynsbegäran.docx", "A 19724-2023")</f>
        <v/>
      </c>
      <c r="AD26">
        <f>HYPERLINK("https://klasma.github.io/Logging_2409/tillsynsmail/A 19724-2023 tillsynsbegäran mail.docx", "A 19724-2023")</f>
        <v/>
      </c>
    </row>
    <row r="27" ht="15" customHeight="1">
      <c r="A27" t="inlineStr">
        <is>
          <t>A 43097-2023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46250</v>
      </c>
      <c r="F27" t="inlineStr">
        <is>
          <t>VÄSTERBOTTENS LÄN</t>
        </is>
      </c>
      <c r="G27" t="inlineStr">
        <is>
          <t>ROBERTSFORS</t>
        </is>
      </c>
      <c r="I27" t="n">
        <v>3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Garnlav
Talltita</t>
        </is>
      </c>
      <c r="W27">
        <f>HYPERLINK("https://klasma.github.io/Logging_2409/artfynd/A 43097-2023 artfynd.xlsx", "A 43097-2023")</f>
        <v/>
      </c>
      <c r="X27">
        <f>HYPERLINK("https://klasma.github.io/Logging_2409/kartor/A 43097-2023 karta.png", "A 43097-2023")</f>
        <v/>
      </c>
      <c r="Y27">
        <f>HYPERLINK("https://klasma.github.io/Logging_2409/kartor_geotiff/A 43097-2023 georefererad karta.tif", "A 43097-2023")</f>
        <v/>
      </c>
      <c r="AA27">
        <f>HYPERLINK("https://klasma.github.io/Logging_2409/klagomål/A 43097-2023 FSC-klagomål.docx", "A 43097-2023")</f>
        <v/>
      </c>
      <c r="AB27">
        <f>HYPERLINK("https://klasma.github.io/Logging_2409/klagomålsmail/A 43097-2023 FSC-klagomål mail.docx", "A 43097-2023")</f>
        <v/>
      </c>
      <c r="AC27">
        <f>HYPERLINK("https://klasma.github.io/Logging_2409/tillsyn/A 43097-2023 tillsynsbegäran.docx", "A 43097-2023")</f>
        <v/>
      </c>
      <c r="AD27">
        <f>HYPERLINK("https://klasma.github.io/Logging_2409/tillsynsmail/A 43097-2023 tillsynsbegäran mail.docx", "A 43097-2023")</f>
        <v/>
      </c>
      <c r="AE27">
        <f>HYPERLINK("https://klasma.github.io/Logging_2409/fåglar/A 43097-2023 prioriterade fågelarter.docx", "A 43097-2023")</f>
        <v/>
      </c>
    </row>
    <row r="28" ht="15" customHeight="1">
      <c r="A28" t="inlineStr">
        <is>
          <t>A 41723-2024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45560</v>
      </c>
      <c r="E28" s="1" t="n">
        <v>46250</v>
      </c>
      <c r="F28" t="inlineStr">
        <is>
          <t>VÄSTERBOTTENS LÄN</t>
        </is>
      </c>
      <c r="G28" t="inlineStr">
        <is>
          <t>ROBERTSFORS</t>
        </is>
      </c>
      <c r="I28" t="n">
        <v>2.4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Tretåig hackspett
Spillkråka</t>
        </is>
      </c>
      <c r="W28">
        <f>HYPERLINK("https://klasma.github.io/Logging_2409/artfynd/A 41723-2024 artfynd.xlsx", "A 41723-2024")</f>
        <v/>
      </c>
      <c r="X28">
        <f>HYPERLINK("https://klasma.github.io/Logging_2409/kartor/A 41723-2024 karta.png", "A 41723-2024")</f>
        <v/>
      </c>
      <c r="Y28">
        <f>HYPERLINK("https://klasma.github.io/Logging_2409/kartor_geotiff/A 41723-2024 georefererad karta.tif", "A 41723-2024")</f>
        <v/>
      </c>
      <c r="AA28">
        <f>HYPERLINK("https://klasma.github.io/Logging_2409/klagomål/A 41723-2024 FSC-klagomål.docx", "A 41723-2024")</f>
        <v/>
      </c>
      <c r="AB28">
        <f>HYPERLINK("https://klasma.github.io/Logging_2409/klagomålsmail/A 41723-2024 FSC-klagomål mail.docx", "A 41723-2024")</f>
        <v/>
      </c>
      <c r="AC28">
        <f>HYPERLINK("https://klasma.github.io/Logging_2409/tillsyn/A 41723-2024 tillsynsbegäran.docx", "A 41723-2024")</f>
        <v/>
      </c>
      <c r="AD28">
        <f>HYPERLINK("https://klasma.github.io/Logging_2409/tillsynsmail/A 41723-2024 tillsynsbegäran mail.docx", "A 41723-2024")</f>
        <v/>
      </c>
      <c r="AE28">
        <f>HYPERLINK("https://klasma.github.io/Logging_2409/fåglar/A 41723-2024 prioriterade fågelarter.docx", "A 41723-2024")</f>
        <v/>
      </c>
    </row>
    <row r="29" ht="15" customHeight="1">
      <c r="A29" t="inlineStr">
        <is>
          <t>A 2777-2026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46250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2777-2026 artfynd.xlsx", "A 2777-2026")</f>
        <v/>
      </c>
      <c r="X29">
        <f>HYPERLINK("https://klasma.github.io/Logging_2409/kartor/A 2777-2026 karta.png", "A 2777-2026")</f>
        <v/>
      </c>
      <c r="Y29">
        <f>HYPERLINK("https://klasma.github.io/Logging_2409/kartor_geotiff/A 2777-2026 georefererad karta.tif", "A 2777-2026")</f>
        <v/>
      </c>
      <c r="AA29">
        <f>HYPERLINK("https://klasma.github.io/Logging_2409/klagomål/A 2777-2026 FSC-klagomål.docx", "A 2777-2026")</f>
        <v/>
      </c>
      <c r="AB29">
        <f>HYPERLINK("https://klasma.github.io/Logging_2409/klagomålsmail/A 2777-2026 FSC-klagomål mail.docx", "A 2777-2026")</f>
        <v/>
      </c>
      <c r="AC29">
        <f>HYPERLINK("https://klasma.github.io/Logging_2409/tillsyn/A 2777-2026 tillsynsbegäran.docx", "A 2777-2026")</f>
        <v/>
      </c>
      <c r="AD29">
        <f>HYPERLINK("https://klasma.github.io/Logging_2409/tillsynsmail/A 2777-2026 tillsynsbegäran mail.docx", "A 2777-2026")</f>
        <v/>
      </c>
    </row>
    <row r="30" ht="15" customHeight="1">
      <c r="A30" t="inlineStr">
        <is>
          <t>A 5283-2026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46050</v>
      </c>
      <c r="E30" s="1" t="n">
        <v>46250</v>
      </c>
      <c r="F30" t="inlineStr">
        <is>
          <t>VÄSTERBOTTENS LÄN</t>
        </is>
      </c>
      <c r="G30" t="inlineStr">
        <is>
          <t>ROBERTSFORS</t>
        </is>
      </c>
      <c r="I30" t="n">
        <v>1.2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Talltita
Utter</t>
        </is>
      </c>
      <c r="W30">
        <f>HYPERLINK("https://klasma.github.io/Logging_2409/artfynd/A 5283-2026 artfynd.xlsx", "A 5283-2026")</f>
        <v/>
      </c>
      <c r="X30">
        <f>HYPERLINK("https://klasma.github.io/Logging_2409/kartor/A 5283-2026 karta.png", "A 5283-2026")</f>
        <v/>
      </c>
      <c r="Y30">
        <f>HYPERLINK("https://klasma.github.io/Logging_2409/kartor_geotiff/A 5283-2026 georefererad karta.tif", "A 5283-2026")</f>
        <v/>
      </c>
      <c r="AA30">
        <f>HYPERLINK("https://klasma.github.io/Logging_2409/klagomål/A 5283-2026 FSC-klagomål.docx", "A 5283-2026")</f>
        <v/>
      </c>
      <c r="AB30">
        <f>HYPERLINK("https://klasma.github.io/Logging_2409/klagomålsmail/A 5283-2026 FSC-klagomål mail.docx", "A 5283-2026")</f>
        <v/>
      </c>
      <c r="AC30">
        <f>HYPERLINK("https://klasma.github.io/Logging_2409/tillsyn/A 5283-2026 tillsynsbegäran.docx", "A 5283-2026")</f>
        <v/>
      </c>
      <c r="AD30">
        <f>HYPERLINK("https://klasma.github.io/Logging_2409/tillsynsmail/A 5283-2026 tillsynsbegäran mail.docx", "A 5283-2026")</f>
        <v/>
      </c>
      <c r="AE30">
        <f>HYPERLINK("https://klasma.github.io/Logging_2409/fåglar/A 5283-2026 prioriterade fågelarter.docx", "A 5283-2026")</f>
        <v/>
      </c>
    </row>
    <row r="31" ht="15" customHeight="1">
      <c r="A31" t="inlineStr">
        <is>
          <t>A 5287-2026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46250</v>
      </c>
      <c r="F31" t="inlineStr">
        <is>
          <t>VÄSTERBOTTENS LÄN</t>
        </is>
      </c>
      <c r="G31" t="inlineStr">
        <is>
          <t>ROBERTSFORS</t>
        </is>
      </c>
      <c r="I31" t="n">
        <v>3.2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Gammelgransskål
Spillkråka</t>
        </is>
      </c>
      <c r="W31">
        <f>HYPERLINK("https://klasma.github.io/Logging_2409/artfynd/A 5287-2026 artfynd.xlsx", "A 5287-2026")</f>
        <v/>
      </c>
      <c r="X31">
        <f>HYPERLINK("https://klasma.github.io/Logging_2409/kartor/A 5287-2026 karta.png", "A 5287-2026")</f>
        <v/>
      </c>
      <c r="Y31">
        <f>HYPERLINK("https://klasma.github.io/Logging_2409/kartor_geotiff/A 5287-2026 georefererad karta.tif", "A 5287-2026")</f>
        <v/>
      </c>
      <c r="AA31">
        <f>HYPERLINK("https://klasma.github.io/Logging_2409/klagomål/A 5287-2026 FSC-klagomål.docx", "A 5287-2026")</f>
        <v/>
      </c>
      <c r="AB31">
        <f>HYPERLINK("https://klasma.github.io/Logging_2409/klagomålsmail/A 5287-2026 FSC-klagomål mail.docx", "A 5287-2026")</f>
        <v/>
      </c>
      <c r="AC31">
        <f>HYPERLINK("https://klasma.github.io/Logging_2409/tillsyn/A 5287-2026 tillsynsbegäran.docx", "A 5287-2026")</f>
        <v/>
      </c>
      <c r="AD31">
        <f>HYPERLINK("https://klasma.github.io/Logging_2409/tillsynsmail/A 5287-2026 tillsynsbegäran mail.docx", "A 5287-2026")</f>
        <v/>
      </c>
      <c r="AE31">
        <f>HYPERLINK("https://klasma.github.io/Logging_2409/fåglar/A 5287-2026 prioriterade fågelarter.docx", "A 5287-2026")</f>
        <v/>
      </c>
    </row>
    <row r="32" ht="15" customHeight="1">
      <c r="A32" t="inlineStr">
        <is>
          <t>A 5290-2026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46250</v>
      </c>
      <c r="F32" t="inlineStr">
        <is>
          <t>VÄSTERBOTTENS LÄN</t>
        </is>
      </c>
      <c r="G32" t="inlineStr">
        <is>
          <t>ROBERTSFORS</t>
        </is>
      </c>
      <c r="I32" t="n">
        <v>2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Harticka
Vedticka</t>
        </is>
      </c>
      <c r="W32">
        <f>HYPERLINK("https://klasma.github.io/Logging_2409/artfynd/A 5290-2026 artfynd.xlsx", "A 5290-2026")</f>
        <v/>
      </c>
      <c r="X32">
        <f>HYPERLINK("https://klasma.github.io/Logging_2409/kartor/A 5290-2026 karta.png", "A 5290-2026")</f>
        <v/>
      </c>
      <c r="Y32">
        <f>HYPERLINK("https://klasma.github.io/Logging_2409/kartor_geotiff/A 5290-2026 georefererad karta.tif", "A 5290-2026")</f>
        <v/>
      </c>
      <c r="AA32">
        <f>HYPERLINK("https://klasma.github.io/Logging_2409/klagomål/A 5290-2026 FSC-klagomål.docx", "A 5290-2026")</f>
        <v/>
      </c>
      <c r="AB32">
        <f>HYPERLINK("https://klasma.github.io/Logging_2409/klagomålsmail/A 5290-2026 FSC-klagomål mail.docx", "A 5290-2026")</f>
        <v/>
      </c>
      <c r="AC32">
        <f>HYPERLINK("https://klasma.github.io/Logging_2409/tillsyn/A 5290-2026 tillsynsbegäran.docx", "A 5290-2026")</f>
        <v/>
      </c>
      <c r="AD32">
        <f>HYPERLINK("https://klasma.github.io/Logging_2409/tillsynsmail/A 5290-2026 tillsynsbegäran mail.docx", "A 5290-2026")</f>
        <v/>
      </c>
    </row>
    <row r="33" ht="15" customHeight="1">
      <c r="A33" t="inlineStr">
        <is>
          <t>A 31320-2024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45504</v>
      </c>
      <c r="E33" s="1" t="n">
        <v>46250</v>
      </c>
      <c r="F33" t="inlineStr">
        <is>
          <t>VÄSTERBOTTENS LÄN</t>
        </is>
      </c>
      <c r="G33" t="inlineStr">
        <is>
          <t>ROBERTSFORS</t>
        </is>
      </c>
      <c r="H33" t="inlineStr">
        <is>
          <t>Holmen skog AB</t>
        </is>
      </c>
      <c r="I33" t="n">
        <v>4.9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Kolflarnlav
Vedflamlav</t>
        </is>
      </c>
      <c r="W33">
        <f>HYPERLINK("https://klasma.github.io/Logging_2409/artfynd/A 31320-2024 artfynd.xlsx", "A 31320-2024")</f>
        <v/>
      </c>
      <c r="X33">
        <f>HYPERLINK("https://klasma.github.io/Logging_2409/kartor/A 31320-2024 karta.png", "A 31320-2024")</f>
        <v/>
      </c>
      <c r="Y33">
        <f>HYPERLINK("https://klasma.github.io/Logging_2409/kartor_geotiff/A 31320-2024 georefererad karta.tif", "A 31320-2024")</f>
        <v/>
      </c>
      <c r="AA33">
        <f>HYPERLINK("https://klasma.github.io/Logging_2409/klagomål/A 31320-2024 FSC-klagomål.docx", "A 31320-2024")</f>
        <v/>
      </c>
      <c r="AB33">
        <f>HYPERLINK("https://klasma.github.io/Logging_2409/klagomålsmail/A 31320-2024 FSC-klagomål mail.docx", "A 31320-2024")</f>
        <v/>
      </c>
      <c r="AC33">
        <f>HYPERLINK("https://klasma.github.io/Logging_2409/tillsyn/A 31320-2024 tillsynsbegäran.docx", "A 31320-2024")</f>
        <v/>
      </c>
      <c r="AD33">
        <f>HYPERLINK("https://klasma.github.io/Logging_2409/tillsynsmail/A 31320-2024 tillsynsbegäran mail.docx", "A 31320-2024")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46250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46250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26204-2024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45468</v>
      </c>
      <c r="E36" s="1" t="n">
        <v>46250</v>
      </c>
      <c r="F36" t="inlineStr">
        <is>
          <t>VÄSTERBOTTENS LÄN</t>
        </is>
      </c>
      <c r="G36" t="inlineStr">
        <is>
          <t>ROBERTSFORS</t>
        </is>
      </c>
      <c r="H36" t="inlineStr">
        <is>
          <t>Holmen skog AB</t>
        </is>
      </c>
      <c r="I36" t="n">
        <v>3.9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8</v>
      </c>
      <c r="U36" t="n">
        <v>8</v>
      </c>
      <c r="V36" s="2" t="inlineStr">
        <is>
          <t>Tjäder
Orre</t>
        </is>
      </c>
      <c r="W36">
        <f>HYPERLINK("https://klasma.github.io/Logging_2409/artfynd/A 26204-2024 artfynd.xlsx", "A 26204-2024")</f>
        <v/>
      </c>
      <c r="X36">
        <f>HYPERLINK("https://klasma.github.io/Logging_2409/kartor/A 26204-2024 karta.png", "A 26204-2024")</f>
        <v/>
      </c>
      <c r="Y36">
        <f>HYPERLINK("https://klasma.github.io/Logging_2409/kartor_geotiff/A 26204-2024 georefererad karta.tif", "A 26204-2024")</f>
        <v/>
      </c>
      <c r="AA36">
        <f>HYPERLINK("https://klasma.github.io/Logging_2409/klagomål/A 26204-2024 FSC-klagomål.docx", "A 26204-2024")</f>
        <v/>
      </c>
      <c r="AB36">
        <f>HYPERLINK("https://klasma.github.io/Logging_2409/klagomålsmail/A 26204-2024 FSC-klagomål mail.docx", "A 26204-2024")</f>
        <v/>
      </c>
      <c r="AC36">
        <f>HYPERLINK("https://klasma.github.io/Logging_2409/tillsyn/A 26204-2024 tillsynsbegäran.docx", "A 26204-2024")</f>
        <v/>
      </c>
      <c r="AD36">
        <f>HYPERLINK("https://klasma.github.io/Logging_2409/tillsynsmail/A 26204-2024 tillsynsbegäran mail.docx", "A 26204-2024")</f>
        <v/>
      </c>
      <c r="AE36">
        <f>HYPERLINK("https://klasma.github.io/Logging_2409/fåglar/A 26204-2024 prioriterade fågelarter.docx", "A 26204-2024")</f>
        <v/>
      </c>
    </row>
    <row r="37" ht="15" customHeight="1">
      <c r="A37" t="inlineStr">
        <is>
          <t>A 26807-2026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46185</v>
      </c>
      <c r="E37" s="1" t="n">
        <v>46250</v>
      </c>
      <c r="F37" t="inlineStr">
        <is>
          <t>VÄSTERBOTTENS LÄN</t>
        </is>
      </c>
      <c r="G37" t="inlineStr">
        <is>
          <t>ROBERTSFORS</t>
        </is>
      </c>
      <c r="I37" t="n">
        <v>4.2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16</v>
      </c>
      <c r="U37" t="n">
        <v>0</v>
      </c>
      <c r="V37" s="2" t="inlineStr">
        <is>
          <t>Garnlav
Tretåig hackspett</t>
        </is>
      </c>
      <c r="W37">
        <f>HYPERLINK("https://klasma.github.io/Logging_2409/artfynd/A 26807-2026 artfynd.xlsx", "A 26807-2026")</f>
        <v/>
      </c>
      <c r="X37">
        <f>HYPERLINK("https://klasma.github.io/Logging_2409/kartor/A 26807-2026 karta.png", "A 26807-2026")</f>
        <v/>
      </c>
      <c r="Y37">
        <f>HYPERLINK("https://klasma.github.io/Logging_2409/kartor_geotiff/A 26807-2026 georefererad karta.tif", "A 26807-2026")</f>
        <v/>
      </c>
      <c r="AA37">
        <f>HYPERLINK("https://klasma.github.io/Logging_2409/klagomål/A 26807-2026 FSC-klagomål.docx", "A 26807-2026")</f>
        <v/>
      </c>
      <c r="AB37">
        <f>HYPERLINK("https://klasma.github.io/Logging_2409/klagomålsmail/A 26807-2026 FSC-klagomål mail.docx", "A 26807-2026")</f>
        <v/>
      </c>
      <c r="AC37">
        <f>HYPERLINK("https://klasma.github.io/Logging_2409/tillsyn/A 26807-2026 tillsynsbegäran.docx", "A 26807-2026")</f>
        <v/>
      </c>
      <c r="AD37">
        <f>HYPERLINK("https://klasma.github.io/Logging_2409/tillsynsmail/A 26807-2026 tillsynsbegäran mail.docx", "A 26807-2026")</f>
        <v/>
      </c>
      <c r="AE37">
        <f>HYPERLINK("https://klasma.github.io/Logging_2409/fåglar/A 26807-2026 prioriterade fågelarter.docx", "A 26807-2026")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46250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46250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46250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46250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46250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57284-2023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45245</v>
      </c>
      <c r="E43" s="1" t="n">
        <v>46250</v>
      </c>
      <c r="F43" t="inlineStr">
        <is>
          <t>VÄSTERBOTTENS LÄN</t>
        </is>
      </c>
      <c r="G43" t="inlineStr">
        <is>
          <t>ROBERTSFORS</t>
        </is>
      </c>
      <c r="H43" t="inlineStr">
        <is>
          <t>Holmen skog AB</t>
        </is>
      </c>
      <c r="I43" t="n">
        <v>6.8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Tallticka</t>
        </is>
      </c>
      <c r="W43">
        <f>HYPERLINK("https://klasma.github.io/Logging_2409/artfynd/A 57284-2023 artfynd.xlsx", "A 57284-2023")</f>
        <v/>
      </c>
      <c r="X43">
        <f>HYPERLINK("https://klasma.github.io/Logging_2409/kartor/A 57284-2023 karta.png", "A 57284-2023")</f>
        <v/>
      </c>
      <c r="Y43">
        <f>HYPERLINK("https://klasma.github.io/Logging_2409/kartor_geotiff/A 57284-2023 georefererad karta.tif", "A 57284-2023")</f>
        <v/>
      </c>
      <c r="AA43">
        <f>HYPERLINK("https://klasma.github.io/Logging_2409/klagomål/A 57284-2023 FSC-klagomål.docx", "A 57284-2023")</f>
        <v/>
      </c>
      <c r="AB43">
        <f>HYPERLINK("https://klasma.github.io/Logging_2409/klagomålsmail/A 57284-2023 FSC-klagomål mail.docx", "A 57284-2023")</f>
        <v/>
      </c>
      <c r="AC43">
        <f>HYPERLINK("https://klasma.github.io/Logging_2409/tillsyn/A 57284-2023 tillsynsbegäran.docx", "A 57284-2023")</f>
        <v/>
      </c>
      <c r="AD43">
        <f>HYPERLINK("https://klasma.github.io/Logging_2409/tillsynsmail/A 57284-2023 tillsynsbegäran mail.docx", "A 57284-2023")</f>
        <v/>
      </c>
    </row>
    <row r="44" ht="15" customHeight="1">
      <c r="A44" t="inlineStr">
        <is>
          <t>A 35497-2023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45146</v>
      </c>
      <c r="E44" s="1" t="n">
        <v>46250</v>
      </c>
      <c r="F44" t="inlineStr">
        <is>
          <t>VÄSTERBOTTENS LÄN</t>
        </is>
      </c>
      <c r="G44" t="inlineStr">
        <is>
          <t>ROBERTSFORS</t>
        </is>
      </c>
      <c r="I44" t="n">
        <v>0.2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HYPERLINK("https://klasma.github.io/Logging_2409/artfynd/A 35497-2023 artfynd.xlsx", "A 35497-2023")</f>
        <v/>
      </c>
      <c r="X44">
        <f>HYPERLINK("https://klasma.github.io/Logging_2409/kartor/A 35497-2023 karta.png", "A 35497-2023")</f>
        <v/>
      </c>
      <c r="Y44">
        <f>HYPERLINK("https://klasma.github.io/Logging_2409/kartor_geotiff/A 35497-2023 georefererad karta.tif", "A 35497-2023")</f>
        <v/>
      </c>
      <c r="AA44">
        <f>HYPERLINK("https://klasma.github.io/Logging_2409/klagomål/A 35497-2023 FSC-klagomål.docx", "A 35497-2023")</f>
        <v/>
      </c>
      <c r="AB44">
        <f>HYPERLINK("https://klasma.github.io/Logging_2409/klagomålsmail/A 35497-2023 FSC-klagomål mail.docx", "A 35497-2023")</f>
        <v/>
      </c>
      <c r="AC44">
        <f>HYPERLINK("https://klasma.github.io/Logging_2409/tillsyn/A 35497-2023 tillsynsbegäran.docx", "A 35497-2023")</f>
        <v/>
      </c>
      <c r="AD44">
        <f>HYPERLINK("https://klasma.github.io/Logging_2409/tillsynsmail/A 35497-2023 tillsynsbegäran mail.docx", "A 35497-2023")</f>
        <v/>
      </c>
    </row>
    <row r="45" ht="15" customHeight="1">
      <c r="A45" t="inlineStr">
        <is>
          <t>A 57270-2023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45245</v>
      </c>
      <c r="E45" s="1" t="n">
        <v>46250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3.4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Tallticka</t>
        </is>
      </c>
      <c r="W45">
        <f>HYPERLINK("https://klasma.github.io/Logging_2409/artfynd/A 57270-2023 artfynd.xlsx", "A 57270-2023")</f>
        <v/>
      </c>
      <c r="X45">
        <f>HYPERLINK("https://klasma.github.io/Logging_2409/kartor/A 57270-2023 karta.png", "A 57270-2023")</f>
        <v/>
      </c>
      <c r="Y45">
        <f>HYPERLINK("https://klasma.github.io/Logging_2409/kartor_geotiff/A 57270-2023 georefererad karta.tif", "A 57270-2023")</f>
        <v/>
      </c>
      <c r="AA45">
        <f>HYPERLINK("https://klasma.github.io/Logging_2409/klagomål/A 57270-2023 FSC-klagomål.docx", "A 57270-2023")</f>
        <v/>
      </c>
      <c r="AB45">
        <f>HYPERLINK("https://klasma.github.io/Logging_2409/klagomålsmail/A 57270-2023 FSC-klagomål mail.docx", "A 57270-2023")</f>
        <v/>
      </c>
      <c r="AC45">
        <f>HYPERLINK("https://klasma.github.io/Logging_2409/tillsyn/A 57270-2023 tillsynsbegäran.docx", "A 57270-2023")</f>
        <v/>
      </c>
      <c r="AD45">
        <f>HYPERLINK("https://klasma.github.io/Logging_2409/tillsynsmail/A 57270-2023 tillsynsbegäran mail.docx", "A 57270-2023")</f>
        <v/>
      </c>
    </row>
    <row r="46" ht="15" customHeight="1">
      <c r="A46" t="inlineStr">
        <is>
          <t>A 5969-2025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45695</v>
      </c>
      <c r="E46" s="1" t="n">
        <v>46250</v>
      </c>
      <c r="F46" t="inlineStr">
        <is>
          <t>VÄSTERBOTTENS LÄN</t>
        </is>
      </c>
      <c r="G46" t="inlineStr">
        <is>
          <t>ROBERTSFORS</t>
        </is>
      </c>
      <c r="I46" t="n">
        <v>18.1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Tretåig hackspett</t>
        </is>
      </c>
      <c r="W46">
        <f>HYPERLINK("https://klasma.github.io/Logging_2409/artfynd/A 5969-2025 artfynd.xlsx", "A 5969-2025")</f>
        <v/>
      </c>
      <c r="X46">
        <f>HYPERLINK("https://klasma.github.io/Logging_2409/kartor/A 5969-2025 karta.png", "A 5969-2025")</f>
        <v/>
      </c>
      <c r="Y46">
        <f>HYPERLINK("https://klasma.github.io/Logging_2409/kartor_geotiff/A 5969-2025 georefererad karta.tif", "A 5969-2025")</f>
        <v/>
      </c>
      <c r="AA46">
        <f>HYPERLINK("https://klasma.github.io/Logging_2409/klagomål/A 5969-2025 FSC-klagomål.docx", "A 5969-2025")</f>
        <v/>
      </c>
      <c r="AB46">
        <f>HYPERLINK("https://klasma.github.io/Logging_2409/klagomålsmail/A 5969-2025 FSC-klagomål mail.docx", "A 5969-2025")</f>
        <v/>
      </c>
      <c r="AC46">
        <f>HYPERLINK("https://klasma.github.io/Logging_2409/tillsyn/A 5969-2025 tillsynsbegäran.docx", "A 5969-2025")</f>
        <v/>
      </c>
      <c r="AD46">
        <f>HYPERLINK("https://klasma.github.io/Logging_2409/tillsynsmail/A 5969-2025 tillsynsbegäran mail.docx", "A 5969-2025")</f>
        <v/>
      </c>
      <c r="AE46">
        <f>HYPERLINK("https://klasma.github.io/Logging_2409/fåglar/A 5969-2025 prioriterade fågelarter.docx", "A 5969-2025")</f>
        <v/>
      </c>
    </row>
    <row r="47" ht="15" customHeight="1">
      <c r="A47" t="inlineStr">
        <is>
          <t>A 42891-2023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46250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3.8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HYPERLINK("https://klasma.github.io/Logging_2409/artfynd/A 42891-2023 artfynd.xlsx", "A 42891-2023")</f>
        <v/>
      </c>
      <c r="X47">
        <f>HYPERLINK("https://klasma.github.io/Logging_2409/kartor/A 42891-2023 karta.png", "A 42891-2023")</f>
        <v/>
      </c>
      <c r="Y47">
        <f>HYPERLINK("https://klasma.github.io/Logging_2409/kartor_geotiff/A 42891-2023 georefererad karta.tif", "A 42891-2023")</f>
        <v/>
      </c>
      <c r="AA47">
        <f>HYPERLINK("https://klasma.github.io/Logging_2409/klagomål/A 42891-2023 FSC-klagomål.docx", "A 42891-2023")</f>
        <v/>
      </c>
      <c r="AB47">
        <f>HYPERLINK("https://klasma.github.io/Logging_2409/klagomålsmail/A 42891-2023 FSC-klagomål mail.docx", "A 42891-2023")</f>
        <v/>
      </c>
      <c r="AC47">
        <f>HYPERLINK("https://klasma.github.io/Logging_2409/tillsyn/A 42891-2023 tillsynsbegäran.docx", "A 42891-2023")</f>
        <v/>
      </c>
      <c r="AD47">
        <f>HYPERLINK("https://klasma.github.io/Logging_2409/tillsynsmail/A 42891-2023 tillsynsbegäran mail.docx", "A 42891-2023")</f>
        <v/>
      </c>
    </row>
    <row r="48" ht="15" customHeight="1">
      <c r="A48" t="inlineStr">
        <is>
          <t>A 35551-2025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45856</v>
      </c>
      <c r="E48" s="1" t="n">
        <v>46250</v>
      </c>
      <c r="F48" t="inlineStr">
        <is>
          <t>VÄSTERBOTTENS LÄN</t>
        </is>
      </c>
      <c r="G48" t="inlineStr">
        <is>
          <t>ROBERTSFORS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HYPERLINK("https://klasma.github.io/Logging_2409/artfynd/A 35551-2025 artfynd.xlsx", "A 35551-2025")</f>
        <v/>
      </c>
      <c r="X48">
        <f>HYPERLINK("https://klasma.github.io/Logging_2409/kartor/A 35551-2025 karta.png", "A 35551-2025")</f>
        <v/>
      </c>
      <c r="Y48">
        <f>HYPERLINK("https://klasma.github.io/Logging_2409/kartor_geotiff/A 35551-2025 georefererad karta.tif", "A 35551-2025")</f>
        <v/>
      </c>
      <c r="AA48">
        <f>HYPERLINK("https://klasma.github.io/Logging_2409/klagomål/A 35551-2025 FSC-klagomål.docx", "A 35551-2025")</f>
        <v/>
      </c>
      <c r="AB48">
        <f>HYPERLINK("https://klasma.github.io/Logging_2409/klagomålsmail/A 35551-2025 FSC-klagomål mail.docx", "A 35551-2025")</f>
        <v/>
      </c>
      <c r="AC48">
        <f>HYPERLINK("https://klasma.github.io/Logging_2409/tillsyn/A 35551-2025 tillsynsbegäran.docx", "A 35551-2025")</f>
        <v/>
      </c>
      <c r="AD48">
        <f>HYPERLINK("https://klasma.github.io/Logging_2409/tillsynsmail/A 35551-2025 tillsynsbegäran mail.docx", "A 35551-2025")</f>
        <v/>
      </c>
      <c r="AE48">
        <f>HYPERLINK("https://klasma.github.io/Logging_2409/fåglar/A 35551-2025 prioriterade fågelarter.docx", "A 35551-2025")</f>
        <v/>
      </c>
    </row>
    <row r="49" ht="15" customHeight="1">
      <c r="A49" t="inlineStr">
        <is>
          <t>A 38777-2023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45163</v>
      </c>
      <c r="E49" s="1" t="n">
        <v>46250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5.9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Talltita</t>
        </is>
      </c>
      <c r="W49">
        <f>HYPERLINK("https://klasma.github.io/Logging_2409/artfynd/A 38777-2023 artfynd.xlsx", "A 38777-2023")</f>
        <v/>
      </c>
      <c r="X49">
        <f>HYPERLINK("https://klasma.github.io/Logging_2409/kartor/A 38777-2023 karta.png", "A 38777-2023")</f>
        <v/>
      </c>
      <c r="Y49">
        <f>HYPERLINK("https://klasma.github.io/Logging_2409/kartor_geotiff/A 38777-2023 georefererad karta.tif", "A 38777-2023")</f>
        <v/>
      </c>
      <c r="AA49">
        <f>HYPERLINK("https://klasma.github.io/Logging_2409/klagomål/A 38777-2023 FSC-klagomål.docx", "A 38777-2023")</f>
        <v/>
      </c>
      <c r="AB49">
        <f>HYPERLINK("https://klasma.github.io/Logging_2409/klagomålsmail/A 38777-2023 FSC-klagomål mail.docx", "A 38777-2023")</f>
        <v/>
      </c>
      <c r="AC49">
        <f>HYPERLINK("https://klasma.github.io/Logging_2409/tillsyn/A 38777-2023 tillsynsbegäran.docx", "A 38777-2023")</f>
        <v/>
      </c>
      <c r="AD49">
        <f>HYPERLINK("https://klasma.github.io/Logging_2409/tillsynsmail/A 38777-2023 tillsynsbegäran mail.docx", "A 38777-2023")</f>
        <v/>
      </c>
      <c r="AE49">
        <f>HYPERLINK("https://klasma.github.io/Logging_2409/fåglar/A 38777-2023 prioriterade fågelarter.docx", "A 38777-2023")</f>
        <v/>
      </c>
    </row>
    <row r="50" ht="15" customHeight="1">
      <c r="A50" t="inlineStr">
        <is>
          <t>A 41767-2023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45176</v>
      </c>
      <c r="E50" s="1" t="n">
        <v>46250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0.8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HYPERLINK("https://klasma.github.io/Logging_2409/artfynd/A 41767-2023 artfynd.xlsx", "A 41767-2023")</f>
        <v/>
      </c>
      <c r="X50">
        <f>HYPERLINK("https://klasma.github.io/Logging_2409/kartor/A 41767-2023 karta.png", "A 41767-2023")</f>
        <v/>
      </c>
      <c r="Y50">
        <f>HYPERLINK("https://klasma.github.io/Logging_2409/kartor_geotiff/A 41767-2023 georefererad karta.tif", "A 41767-2023")</f>
        <v/>
      </c>
      <c r="AA50">
        <f>HYPERLINK("https://klasma.github.io/Logging_2409/klagomål/A 41767-2023 FSC-klagomål.docx", "A 41767-2023")</f>
        <v/>
      </c>
      <c r="AB50">
        <f>HYPERLINK("https://klasma.github.io/Logging_2409/klagomålsmail/A 41767-2023 FSC-klagomål mail.docx", "A 41767-2023")</f>
        <v/>
      </c>
      <c r="AC50">
        <f>HYPERLINK("https://klasma.github.io/Logging_2409/tillsyn/A 41767-2023 tillsynsbegäran.docx", "A 41767-2023")</f>
        <v/>
      </c>
      <c r="AD50">
        <f>HYPERLINK("https://klasma.github.io/Logging_2409/tillsynsmail/A 41767-2023 tillsynsbegäran mail.docx", "A 41767-2023")</f>
        <v/>
      </c>
    </row>
    <row r="51" ht="15" customHeight="1">
      <c r="A51" t="inlineStr">
        <is>
          <t>A 5285-2026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46050</v>
      </c>
      <c r="E51" s="1" t="n">
        <v>46250</v>
      </c>
      <c r="F51" t="inlineStr">
        <is>
          <t>VÄSTERBOTTENS LÄN</t>
        </is>
      </c>
      <c r="G51" t="inlineStr">
        <is>
          <t>ROBERTSFORS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HYPERLINK("https://klasma.github.io/Logging_2409/artfynd/A 5285-2026 artfynd.xlsx", "A 5285-2026")</f>
        <v/>
      </c>
      <c r="X51">
        <f>HYPERLINK("https://klasma.github.io/Logging_2409/kartor/A 5285-2026 karta.png", "A 5285-2026")</f>
        <v/>
      </c>
      <c r="Y51">
        <f>HYPERLINK("https://klasma.github.io/Logging_2409/kartor_geotiff/A 5285-2026 georefererad karta.tif", "A 5285-2026")</f>
        <v/>
      </c>
      <c r="AA51">
        <f>HYPERLINK("https://klasma.github.io/Logging_2409/klagomål/A 5285-2026 FSC-klagomål.docx", "A 5285-2026")</f>
        <v/>
      </c>
      <c r="AB51">
        <f>HYPERLINK("https://klasma.github.io/Logging_2409/klagomålsmail/A 5285-2026 FSC-klagomål mail.docx", "A 5285-2026")</f>
        <v/>
      </c>
      <c r="AC51">
        <f>HYPERLINK("https://klasma.github.io/Logging_2409/tillsyn/A 5285-2026 tillsynsbegäran.docx", "A 5285-2026")</f>
        <v/>
      </c>
      <c r="AD51">
        <f>HYPERLINK("https://klasma.github.io/Logging_2409/tillsynsmail/A 5285-2026 tillsynsbegäran mail.docx", "A 5285-2026")</f>
        <v/>
      </c>
      <c r="AE51">
        <f>HYPERLINK("https://klasma.github.io/Logging_2409/fåglar/A 5285-2026 prioriterade fågelarter.docx", "A 5285-2026")</f>
        <v/>
      </c>
    </row>
    <row r="52" ht="15" customHeight="1">
      <c r="A52" t="inlineStr">
        <is>
          <t>A 5284-2026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46050</v>
      </c>
      <c r="E52" s="1" t="n">
        <v>46250</v>
      </c>
      <c r="F52" t="inlineStr">
        <is>
          <t>VÄSTERBOTTENS LÄN</t>
        </is>
      </c>
      <c r="G52" t="inlineStr">
        <is>
          <t>ROBERTSFORS</t>
        </is>
      </c>
      <c r="I52" t="n">
        <v>3.1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Talltita</t>
        </is>
      </c>
      <c r="W52">
        <f>HYPERLINK("https://klasma.github.io/Logging_2409/artfynd/A 5284-2026 artfynd.xlsx", "A 5284-2026")</f>
        <v/>
      </c>
      <c r="X52">
        <f>HYPERLINK("https://klasma.github.io/Logging_2409/kartor/A 5284-2026 karta.png", "A 5284-2026")</f>
        <v/>
      </c>
      <c r="Y52">
        <f>HYPERLINK("https://klasma.github.io/Logging_2409/kartor_geotiff/A 5284-2026 georefererad karta.tif", "A 5284-2026")</f>
        <v/>
      </c>
      <c r="AA52">
        <f>HYPERLINK("https://klasma.github.io/Logging_2409/klagomål/A 5284-2026 FSC-klagomål.docx", "A 5284-2026")</f>
        <v/>
      </c>
      <c r="AB52">
        <f>HYPERLINK("https://klasma.github.io/Logging_2409/klagomålsmail/A 5284-2026 FSC-klagomål mail.docx", "A 5284-2026")</f>
        <v/>
      </c>
      <c r="AC52">
        <f>HYPERLINK("https://klasma.github.io/Logging_2409/tillsyn/A 5284-2026 tillsynsbegäran.docx", "A 5284-2026")</f>
        <v/>
      </c>
      <c r="AD52">
        <f>HYPERLINK("https://klasma.github.io/Logging_2409/tillsynsmail/A 5284-2026 tillsynsbegäran mail.docx", "A 5284-2026")</f>
        <v/>
      </c>
      <c r="AE52">
        <f>HYPERLINK("https://klasma.github.io/Logging_2409/fåglar/A 5284-2026 prioriterade fågelarter.docx", "A 5284-2026")</f>
        <v/>
      </c>
    </row>
    <row r="53" ht="15" customHeight="1">
      <c r="A53" t="inlineStr">
        <is>
          <t>A 5289-2026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46250</v>
      </c>
      <c r="F53" t="inlineStr">
        <is>
          <t>VÄSTERBOTTENS LÄN</t>
        </is>
      </c>
      <c r="G53" t="inlineStr">
        <is>
          <t>ROBERTSFORS</t>
        </is>
      </c>
      <c r="I53" t="n">
        <v>2.1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Björktrast</t>
        </is>
      </c>
      <c r="W53">
        <f>HYPERLINK("https://klasma.github.io/Logging_2409/artfynd/A 5289-2026 artfynd.xlsx", "A 5289-2026")</f>
        <v/>
      </c>
      <c r="X53">
        <f>HYPERLINK("https://klasma.github.io/Logging_2409/kartor/A 5289-2026 karta.png", "A 5289-2026")</f>
        <v/>
      </c>
      <c r="Y53">
        <f>HYPERLINK("https://klasma.github.io/Logging_2409/kartor_geotiff/A 5289-2026 georefererad karta.tif", "A 5289-2026")</f>
        <v/>
      </c>
      <c r="AA53">
        <f>HYPERLINK("https://klasma.github.io/Logging_2409/klagomål/A 5289-2026 FSC-klagomål.docx", "A 5289-2026")</f>
        <v/>
      </c>
      <c r="AB53">
        <f>HYPERLINK("https://klasma.github.io/Logging_2409/klagomålsmail/A 5289-2026 FSC-klagomål mail.docx", "A 5289-2026")</f>
        <v/>
      </c>
      <c r="AC53">
        <f>HYPERLINK("https://klasma.github.io/Logging_2409/tillsyn/A 5289-2026 tillsynsbegäran.docx", "A 5289-2026")</f>
        <v/>
      </c>
      <c r="AD53">
        <f>HYPERLINK("https://klasma.github.io/Logging_2409/tillsynsmail/A 5289-2026 tillsynsbegäran mail.docx", "A 5289-2026")</f>
        <v/>
      </c>
      <c r="AE53">
        <f>HYPERLINK("https://klasma.github.io/Logging_2409/fåglar/A 5289-2026 prioriterade fågelarter.docx", "A 5289-2026")</f>
        <v/>
      </c>
    </row>
    <row r="54" ht="15" customHeight="1">
      <c r="A54" t="inlineStr">
        <is>
          <t>A 32023-2024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45510</v>
      </c>
      <c r="E54" s="1" t="n">
        <v>46250</v>
      </c>
      <c r="F54" t="inlineStr">
        <is>
          <t>VÄSTERBOTTENS LÄN</t>
        </is>
      </c>
      <c r="G54" t="inlineStr">
        <is>
          <t>ROBERTSFORS</t>
        </is>
      </c>
      <c r="H54" t="inlineStr">
        <is>
          <t>Holmen skog AB</t>
        </is>
      </c>
      <c r="I54" t="n">
        <v>1.8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Dropptaggsvamp</t>
        </is>
      </c>
      <c r="W54">
        <f>HYPERLINK("https://klasma.github.io/Logging_2409/artfynd/A 32023-2024 artfynd.xlsx", "A 32023-2024")</f>
        <v/>
      </c>
      <c r="X54">
        <f>HYPERLINK("https://klasma.github.io/Logging_2409/kartor/A 32023-2024 karta.png", "A 32023-2024")</f>
        <v/>
      </c>
      <c r="Y54">
        <f>HYPERLINK("https://klasma.github.io/Logging_2409/kartor_geotiff/A 32023-2024 georefererad karta.tif", "A 32023-2024")</f>
        <v/>
      </c>
      <c r="AA54">
        <f>HYPERLINK("https://klasma.github.io/Logging_2409/klagomål/A 32023-2024 FSC-klagomål.docx", "A 32023-2024")</f>
        <v/>
      </c>
      <c r="AB54">
        <f>HYPERLINK("https://klasma.github.io/Logging_2409/klagomålsmail/A 32023-2024 FSC-klagomål mail.docx", "A 32023-2024")</f>
        <v/>
      </c>
      <c r="AC54">
        <f>HYPERLINK("https://klasma.github.io/Logging_2409/tillsyn/A 32023-2024 tillsynsbegäran.docx", "A 32023-2024")</f>
        <v/>
      </c>
      <c r="AD54">
        <f>HYPERLINK("https://klasma.github.io/Logging_2409/tillsynsmail/A 32023-2024 tillsynsbegäran mail.docx", "A 32023-2024")</f>
        <v/>
      </c>
    </row>
    <row r="55" ht="15" customHeight="1">
      <c r="A55" t="inlineStr">
        <is>
          <t>A 40600-2022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44823</v>
      </c>
      <c r="E55" s="1" t="n">
        <v>46250</v>
      </c>
      <c r="F55" t="inlineStr">
        <is>
          <t>VÄSTERBOTTENS LÄN</t>
        </is>
      </c>
      <c r="G55" t="inlineStr">
        <is>
          <t>ROBERTSFORS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Fiskgjuse</t>
        </is>
      </c>
      <c r="W55">
        <f>HYPERLINK("https://klasma.github.io/Logging_2409/artfynd/A 40600-2022 artfynd.xlsx", "A 40600-2022")</f>
        <v/>
      </c>
      <c r="X55">
        <f>HYPERLINK("https://klasma.github.io/Logging_2409/kartor/A 40600-2022 karta.png", "A 40600-2022")</f>
        <v/>
      </c>
      <c r="Y55">
        <f>HYPERLINK("https://klasma.github.io/Logging_2409/kartor_geotiff/A 40600-2022 georefererad karta.tif", "A 40600-2022")</f>
        <v/>
      </c>
      <c r="AA55">
        <f>HYPERLINK("https://klasma.github.io/Logging_2409/klagomål/A 40600-2022 FSC-klagomål.docx", "A 40600-2022")</f>
        <v/>
      </c>
      <c r="AB55">
        <f>HYPERLINK("https://klasma.github.io/Logging_2409/klagomålsmail/A 40600-2022 FSC-klagomål mail.docx", "A 40600-2022")</f>
        <v/>
      </c>
      <c r="AC55">
        <f>HYPERLINK("https://klasma.github.io/Logging_2409/tillsyn/A 40600-2022 tillsynsbegäran.docx", "A 40600-2022")</f>
        <v/>
      </c>
      <c r="AD55">
        <f>HYPERLINK("https://klasma.github.io/Logging_2409/tillsynsmail/A 40600-2022 tillsynsbegäran mail.docx", "A 40600-2022")</f>
        <v/>
      </c>
      <c r="AE55">
        <f>HYPERLINK("https://klasma.github.io/Logging_2409/fåglar/A 40600-2022 prioriterade fågelarter.docx", "A 40600-2022")</f>
        <v/>
      </c>
    </row>
    <row r="56" ht="15" customHeight="1">
      <c r="A56" t="inlineStr">
        <is>
          <t>A 54484-2023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45233</v>
      </c>
      <c r="E56" s="1" t="n">
        <v>46250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Sveaskog</t>
        </is>
      </c>
      <c r="I56" t="n">
        <v>3.3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3</v>
      </c>
      <c r="U56" t="n">
        <v>1</v>
      </c>
      <c r="V56" s="2" t="inlineStr">
        <is>
          <t>Dropptaggsvamp</t>
        </is>
      </c>
      <c r="W56">
        <f>HYPERLINK("https://klasma.github.io/Logging_2409/artfynd/A 54484-2023 artfynd.xlsx", "A 54484-2023")</f>
        <v/>
      </c>
      <c r="X56">
        <f>HYPERLINK("https://klasma.github.io/Logging_2409/kartor/A 54484-2023 karta.png", "A 54484-2023")</f>
        <v/>
      </c>
      <c r="Y56">
        <f>HYPERLINK("https://klasma.github.io/Logging_2409/kartor_geotiff/A 54484-2023 georefererad karta.tif", "A 54484-2023")</f>
        <v/>
      </c>
      <c r="AA56">
        <f>HYPERLINK("https://klasma.github.io/Logging_2409/klagomål/A 54484-2023 FSC-klagomål.docx", "A 54484-2023")</f>
        <v/>
      </c>
      <c r="AB56">
        <f>HYPERLINK("https://klasma.github.io/Logging_2409/klagomålsmail/A 54484-2023 FSC-klagomål mail.docx", "A 54484-2023")</f>
        <v/>
      </c>
      <c r="AC56">
        <f>HYPERLINK("https://klasma.github.io/Logging_2409/tillsyn/A 54484-2023 tillsynsbegäran.docx", "A 54484-2023")</f>
        <v/>
      </c>
      <c r="AD56">
        <f>HYPERLINK("https://klasma.github.io/Logging_2409/tillsynsmail/A 54484-2023 tillsynsbegäran mail.docx", "A 54484-2023")</f>
        <v/>
      </c>
    </row>
    <row r="57" ht="15" customHeight="1">
      <c r="A57" t="inlineStr">
        <is>
          <t>A 10145-2025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45719</v>
      </c>
      <c r="E57" s="1" t="n">
        <v>46250</v>
      </c>
      <c r="F57" t="inlineStr">
        <is>
          <t>VÄSTERBOTTENS LÄN</t>
        </is>
      </c>
      <c r="G57" t="inlineStr">
        <is>
          <t>ROBERTSFORS</t>
        </is>
      </c>
      <c r="I57" t="n">
        <v>5.3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HYPERLINK("https://klasma.github.io/Logging_2409/artfynd/A 10145-2025 artfynd.xlsx", "A 10145-2025")</f>
        <v/>
      </c>
      <c r="X57">
        <f>HYPERLINK("https://klasma.github.io/Logging_2409/kartor/A 10145-2025 karta.png", "A 10145-2025")</f>
        <v/>
      </c>
      <c r="Y57">
        <f>HYPERLINK("https://klasma.github.io/Logging_2409/kartor_geotiff/A 10145-2025 georefererad karta.tif", "A 10145-2025")</f>
        <v/>
      </c>
      <c r="AA57">
        <f>HYPERLINK("https://klasma.github.io/Logging_2409/klagomål/A 10145-2025 FSC-klagomål.docx", "A 10145-2025")</f>
        <v/>
      </c>
      <c r="AB57">
        <f>HYPERLINK("https://klasma.github.io/Logging_2409/klagomålsmail/A 10145-2025 FSC-klagomål mail.docx", "A 10145-2025")</f>
        <v/>
      </c>
      <c r="AC57">
        <f>HYPERLINK("https://klasma.github.io/Logging_2409/tillsyn/A 10145-2025 tillsynsbegäran.docx", "A 10145-2025")</f>
        <v/>
      </c>
      <c r="AD57">
        <f>HYPERLINK("https://klasma.github.io/Logging_2409/tillsynsmail/A 10145-2025 tillsynsbegäran mail.docx", "A 10145-2025")</f>
        <v/>
      </c>
    </row>
    <row r="58" ht="15" customHeight="1">
      <c r="A58" t="inlineStr">
        <is>
          <t>A 32876-2023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45124</v>
      </c>
      <c r="E58" s="1" t="n">
        <v>46250</v>
      </c>
      <c r="F58" t="inlineStr">
        <is>
          <t>VÄSTERBOTTENS LÄN</t>
        </is>
      </c>
      <c r="G58" t="inlineStr">
        <is>
          <t>ROBERTSFORS</t>
        </is>
      </c>
      <c r="I58" t="n">
        <v>0.9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Revlummer</t>
        </is>
      </c>
      <c r="W58">
        <f>HYPERLINK("https://klasma.github.io/Logging_2409/artfynd/A 32876-2023 artfynd.xlsx", "A 32876-2023")</f>
        <v/>
      </c>
      <c r="X58">
        <f>HYPERLINK("https://klasma.github.io/Logging_2409/kartor/A 32876-2023 karta.png", "A 32876-2023")</f>
        <v/>
      </c>
      <c r="Y58">
        <f>HYPERLINK("https://klasma.github.io/Logging_2409/kartor_geotiff/A 32876-2023 georefererad karta.tif", "A 32876-2023")</f>
        <v/>
      </c>
      <c r="AA58">
        <f>HYPERLINK("https://klasma.github.io/Logging_2409/klagomål/A 32876-2023 FSC-klagomål.docx", "A 32876-2023")</f>
        <v/>
      </c>
      <c r="AB58">
        <f>HYPERLINK("https://klasma.github.io/Logging_2409/klagomålsmail/A 32876-2023 FSC-klagomål mail.docx", "A 32876-2023")</f>
        <v/>
      </c>
      <c r="AC58">
        <f>HYPERLINK("https://klasma.github.io/Logging_2409/tillsyn/A 32876-2023 tillsynsbegäran.docx", "A 32876-2023")</f>
        <v/>
      </c>
      <c r="AD58">
        <f>HYPERLINK("https://klasma.github.io/Logging_2409/tillsynsmail/A 32876-2023 tillsynsbegäran mail.docx", "A 32876-2023")</f>
        <v/>
      </c>
    </row>
    <row r="59" ht="15" customHeight="1">
      <c r="A59" t="inlineStr">
        <is>
          <t>A 36703-2023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45153</v>
      </c>
      <c r="E59" s="1" t="n">
        <v>46250</v>
      </c>
      <c r="F59" t="inlineStr">
        <is>
          <t>VÄSTERBOTTENS LÄN</t>
        </is>
      </c>
      <c r="G59" t="inlineStr">
        <is>
          <t>ROBERTSFORS</t>
        </is>
      </c>
      <c r="I59" t="n">
        <v>3.3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Tallkötticka</t>
        </is>
      </c>
      <c r="W59">
        <f>HYPERLINK("https://klasma.github.io/Logging_2409/artfynd/A 36703-2023 artfynd.xlsx", "A 36703-2023")</f>
        <v/>
      </c>
      <c r="X59">
        <f>HYPERLINK("https://klasma.github.io/Logging_2409/kartor/A 36703-2023 karta.png", "A 36703-2023")</f>
        <v/>
      </c>
      <c r="Y59">
        <f>HYPERLINK("https://klasma.github.io/Logging_2409/kartor_geotiff/A 36703-2023 georefererad karta.tif", "A 36703-2023")</f>
        <v/>
      </c>
      <c r="AA59">
        <f>HYPERLINK("https://klasma.github.io/Logging_2409/klagomål/A 36703-2023 FSC-klagomål.docx", "A 36703-2023")</f>
        <v/>
      </c>
      <c r="AB59">
        <f>HYPERLINK("https://klasma.github.io/Logging_2409/klagomålsmail/A 36703-2023 FSC-klagomål mail.docx", "A 36703-2023")</f>
        <v/>
      </c>
      <c r="AC59">
        <f>HYPERLINK("https://klasma.github.io/Logging_2409/tillsyn/A 36703-2023 tillsynsbegäran.docx", "A 36703-2023")</f>
        <v/>
      </c>
      <c r="AD59">
        <f>HYPERLINK("https://klasma.github.io/Logging_2409/tillsynsmail/A 36703-2023 tillsynsbegäran mail.docx", "A 36703-2023")</f>
        <v/>
      </c>
    </row>
    <row r="60" ht="15" customHeight="1">
      <c r="A60" t="inlineStr">
        <is>
          <t>A 57653-2024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45630</v>
      </c>
      <c r="E60" s="1" t="n">
        <v>46250</v>
      </c>
      <c r="F60" t="inlineStr">
        <is>
          <t>VÄSTERBOTTENS LÄN</t>
        </is>
      </c>
      <c r="G60" t="inlineStr">
        <is>
          <t>ROBERTSFORS</t>
        </is>
      </c>
      <c r="I60" t="n">
        <v>6</v>
      </c>
      <c r="J60" t="n">
        <v>1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Blå kärrhök</t>
        </is>
      </c>
      <c r="W60">
        <f>HYPERLINK("https://klasma.github.io/Logging_2409/artfynd/A 57653-2024 artfynd.xlsx", "A 57653-2024")</f>
        <v/>
      </c>
      <c r="X60">
        <f>HYPERLINK("https://klasma.github.io/Logging_2409/kartor/A 57653-2024 karta.png", "A 57653-2024")</f>
        <v/>
      </c>
      <c r="Y60">
        <f>HYPERLINK("https://klasma.github.io/Logging_2409/kartor_geotiff/A 57653-2024 georefererad karta.tif", "A 57653-2024")</f>
        <v/>
      </c>
      <c r="AA60">
        <f>HYPERLINK("https://klasma.github.io/Logging_2409/klagomål/A 57653-2024 FSC-klagomål.docx", "A 57653-2024")</f>
        <v/>
      </c>
      <c r="AB60">
        <f>HYPERLINK("https://klasma.github.io/Logging_2409/klagomålsmail/A 57653-2024 FSC-klagomål mail.docx", "A 57653-2024")</f>
        <v/>
      </c>
      <c r="AC60">
        <f>HYPERLINK("https://klasma.github.io/Logging_2409/tillsyn/A 57653-2024 tillsynsbegäran.docx", "A 57653-2024")</f>
        <v/>
      </c>
      <c r="AD60">
        <f>HYPERLINK("https://klasma.github.io/Logging_2409/tillsynsmail/A 57653-2024 tillsynsbegäran mail.docx", "A 57653-2024")</f>
        <v/>
      </c>
      <c r="AE60">
        <f>HYPERLINK("https://klasma.github.io/Logging_2409/fåglar/A 57653-2024 prioriterade fågelarter.docx", "A 57653-2024")</f>
        <v/>
      </c>
    </row>
    <row r="61" ht="15" customHeight="1">
      <c r="A61" t="inlineStr">
        <is>
          <t>A 8753-2025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45712</v>
      </c>
      <c r="E61" s="1" t="n">
        <v>46250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Kommuner</t>
        </is>
      </c>
      <c r="I61" t="n">
        <v>8.1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Nattviol</t>
        </is>
      </c>
      <c r="W61">
        <f>HYPERLINK("https://klasma.github.io/Logging_2409/artfynd/A 8753-2025 artfynd.xlsx", "A 8753-2025")</f>
        <v/>
      </c>
      <c r="X61">
        <f>HYPERLINK("https://klasma.github.io/Logging_2409/kartor/A 8753-2025 karta.png", "A 8753-2025")</f>
        <v/>
      </c>
      <c r="Y61">
        <f>HYPERLINK("https://klasma.github.io/Logging_2409/kartor_geotiff/A 8753-2025 georefererad karta.tif", "A 8753-2025")</f>
        <v/>
      </c>
      <c r="AA61">
        <f>HYPERLINK("https://klasma.github.io/Logging_2409/klagomål/A 8753-2025 FSC-klagomål.docx", "A 8753-2025")</f>
        <v/>
      </c>
      <c r="AB61">
        <f>HYPERLINK("https://klasma.github.io/Logging_2409/klagomålsmail/A 8753-2025 FSC-klagomål mail.docx", "A 8753-2025")</f>
        <v/>
      </c>
      <c r="AC61">
        <f>HYPERLINK("https://klasma.github.io/Logging_2409/tillsyn/A 8753-2025 tillsynsbegäran.docx", "A 8753-2025")</f>
        <v/>
      </c>
      <c r="AD61">
        <f>HYPERLINK("https://klasma.github.io/Logging_2409/tillsynsmail/A 8753-2025 tillsynsbegäran mail.docx", "A 8753-2025")</f>
        <v/>
      </c>
    </row>
    <row r="62" ht="15" customHeight="1">
      <c r="A62" t="inlineStr">
        <is>
          <t>A 52723-2025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45957</v>
      </c>
      <c r="E62" s="1" t="n">
        <v>46250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Orre</t>
        </is>
      </c>
      <c r="W62">
        <f>HYPERLINK("https://klasma.github.io/Logging_2409/artfynd/A 52723-2025 artfynd.xlsx", "A 52723-2025")</f>
        <v/>
      </c>
      <c r="X62">
        <f>HYPERLINK("https://klasma.github.io/Logging_2409/kartor/A 52723-2025 karta.png", "A 52723-2025")</f>
        <v/>
      </c>
      <c r="Y62">
        <f>HYPERLINK("https://klasma.github.io/Logging_2409/kartor_geotiff/A 52723-2025 georefererad karta.tif", "A 52723-2025")</f>
        <v/>
      </c>
      <c r="AA62">
        <f>HYPERLINK("https://klasma.github.io/Logging_2409/klagomål/A 52723-2025 FSC-klagomål.docx", "A 52723-2025")</f>
        <v/>
      </c>
      <c r="AB62">
        <f>HYPERLINK("https://klasma.github.io/Logging_2409/klagomålsmail/A 52723-2025 FSC-klagomål mail.docx", "A 52723-2025")</f>
        <v/>
      </c>
      <c r="AC62">
        <f>HYPERLINK("https://klasma.github.io/Logging_2409/tillsyn/A 52723-2025 tillsynsbegäran.docx", "A 52723-2025")</f>
        <v/>
      </c>
      <c r="AD62">
        <f>HYPERLINK("https://klasma.github.io/Logging_2409/tillsynsmail/A 52723-2025 tillsynsbegäran mail.docx", "A 52723-2025")</f>
        <v/>
      </c>
      <c r="AE62">
        <f>HYPERLINK("https://klasma.github.io/Logging_2409/fåglar/A 52723-2025 prioriterade fågelarter.docx", "A 52723-2025")</f>
        <v/>
      </c>
    </row>
    <row r="63" ht="15" customHeight="1">
      <c r="A63" t="inlineStr">
        <is>
          <t>A 30344-2025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45827</v>
      </c>
      <c r="E63" s="1" t="n">
        <v>46250</v>
      </c>
      <c r="F63" t="inlineStr">
        <is>
          <t>VÄSTERBOTTENS LÄN</t>
        </is>
      </c>
      <c r="G63" t="inlineStr">
        <is>
          <t>ROBERTSFORS</t>
        </is>
      </c>
      <c r="I63" t="n">
        <v>22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Järpe</t>
        </is>
      </c>
      <c r="W63">
        <f>HYPERLINK("https://klasma.github.io/Logging_2409/artfynd/A 30344-2025 artfynd.xlsx", "A 30344-2025")</f>
        <v/>
      </c>
      <c r="X63">
        <f>HYPERLINK("https://klasma.github.io/Logging_2409/kartor/A 30344-2025 karta.png", "A 30344-2025")</f>
        <v/>
      </c>
      <c r="Y63">
        <f>HYPERLINK("https://klasma.github.io/Logging_2409/kartor_geotiff/A 30344-2025 georefererad karta.tif", "A 30344-2025")</f>
        <v/>
      </c>
      <c r="AA63">
        <f>HYPERLINK("https://klasma.github.io/Logging_2409/klagomål/A 30344-2025 FSC-klagomål.docx", "A 30344-2025")</f>
        <v/>
      </c>
      <c r="AB63">
        <f>HYPERLINK("https://klasma.github.io/Logging_2409/klagomålsmail/A 30344-2025 FSC-klagomål mail.docx", "A 30344-2025")</f>
        <v/>
      </c>
      <c r="AC63">
        <f>HYPERLINK("https://klasma.github.io/Logging_2409/tillsyn/A 30344-2025 tillsynsbegäran.docx", "A 30344-2025")</f>
        <v/>
      </c>
      <c r="AD63">
        <f>HYPERLINK("https://klasma.github.io/Logging_2409/tillsynsmail/A 30344-2025 tillsynsbegäran mail.docx", "A 30344-2025")</f>
        <v/>
      </c>
      <c r="AE63">
        <f>HYPERLINK("https://klasma.github.io/Logging_2409/fåglar/A 30344-2025 prioriterade fågelarter.docx", "A 30344-2025")</f>
        <v/>
      </c>
    </row>
    <row r="64" ht="15" customHeight="1">
      <c r="A64" t="inlineStr">
        <is>
          <t>A 32263-2025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45835</v>
      </c>
      <c r="E64" s="1" t="n">
        <v>46250</v>
      </c>
      <c r="F64" t="inlineStr">
        <is>
          <t>VÄSTERBOTTENS LÄN</t>
        </is>
      </c>
      <c r="G64" t="inlineStr">
        <is>
          <t>ROBERTSFORS</t>
        </is>
      </c>
      <c r="I64" t="n">
        <v>5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Gullviva</t>
        </is>
      </c>
      <c r="W64">
        <f>HYPERLINK("https://klasma.github.io/Logging_2409/artfynd/A 32263-2025 artfynd.xlsx", "A 32263-2025")</f>
        <v/>
      </c>
      <c r="X64">
        <f>HYPERLINK("https://klasma.github.io/Logging_2409/kartor/A 32263-2025 karta.png", "A 32263-2025")</f>
        <v/>
      </c>
      <c r="Y64">
        <f>HYPERLINK("https://klasma.github.io/Logging_2409/kartor_geotiff/A 32263-2025 georefererad karta.tif", "A 32263-2025")</f>
        <v/>
      </c>
      <c r="AA64">
        <f>HYPERLINK("https://klasma.github.io/Logging_2409/klagomål/A 32263-2025 FSC-klagomål.docx", "A 32263-2025")</f>
        <v/>
      </c>
      <c r="AB64">
        <f>HYPERLINK("https://klasma.github.io/Logging_2409/klagomålsmail/A 32263-2025 FSC-klagomål mail.docx", "A 32263-2025")</f>
        <v/>
      </c>
      <c r="AC64">
        <f>HYPERLINK("https://klasma.github.io/Logging_2409/tillsyn/A 32263-2025 tillsynsbegäran.docx", "A 32263-2025")</f>
        <v/>
      </c>
      <c r="AD64">
        <f>HYPERLINK("https://klasma.github.io/Logging_2409/tillsynsmail/A 32263-2025 tillsynsbegäran mail.docx", "A 32263-2025")</f>
        <v/>
      </c>
    </row>
    <row r="65" ht="15" customHeight="1">
      <c r="A65" t="inlineStr">
        <is>
          <t>A 34007-2025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45844</v>
      </c>
      <c r="E65" s="1" t="n">
        <v>46250</v>
      </c>
      <c r="F65" t="inlineStr">
        <is>
          <t>VÄSTERBOTTENS LÄN</t>
        </is>
      </c>
      <c r="G65" t="inlineStr">
        <is>
          <t>ROBERTSFORS</t>
        </is>
      </c>
      <c r="I65" t="n">
        <v>1.3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Harticka</t>
        </is>
      </c>
      <c r="W65">
        <f>HYPERLINK("https://klasma.github.io/Logging_2409/artfynd/A 34007-2025 artfynd.xlsx", "A 34007-2025")</f>
        <v/>
      </c>
      <c r="X65">
        <f>HYPERLINK("https://klasma.github.io/Logging_2409/kartor/A 34007-2025 karta.png", "A 34007-2025")</f>
        <v/>
      </c>
      <c r="Y65">
        <f>HYPERLINK("https://klasma.github.io/Logging_2409/kartor_geotiff/A 34007-2025 georefererad karta.tif", "A 34007-2025")</f>
        <v/>
      </c>
      <c r="AA65">
        <f>HYPERLINK("https://klasma.github.io/Logging_2409/klagomål/A 34007-2025 FSC-klagomål.docx", "A 34007-2025")</f>
        <v/>
      </c>
      <c r="AB65">
        <f>HYPERLINK("https://klasma.github.io/Logging_2409/klagomålsmail/A 34007-2025 FSC-klagomål mail.docx", "A 34007-2025")</f>
        <v/>
      </c>
      <c r="AC65">
        <f>HYPERLINK("https://klasma.github.io/Logging_2409/tillsyn/A 34007-2025 tillsynsbegäran.docx", "A 34007-2025")</f>
        <v/>
      </c>
      <c r="AD65">
        <f>HYPERLINK("https://klasma.github.io/Logging_2409/tillsynsmail/A 34007-2025 tillsynsbegäran mail.docx", "A 34007-2025")</f>
        <v/>
      </c>
    </row>
    <row r="66" ht="15" customHeight="1">
      <c r="A66" t="inlineStr">
        <is>
          <t>A 28224-2026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46196</v>
      </c>
      <c r="E66" s="1" t="n">
        <v>46250</v>
      </c>
      <c r="F66" t="inlineStr">
        <is>
          <t>VÄSTERBOTTENS LÄN</t>
        </is>
      </c>
      <c r="G66" t="inlineStr">
        <is>
          <t>ROBERTSFORS</t>
        </is>
      </c>
      <c r="I66" t="n">
        <v>9.800000000000001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6</v>
      </c>
      <c r="U66" t="n">
        <v>0</v>
      </c>
      <c r="V66" s="2" t="inlineStr">
        <is>
          <t>Garnlav</t>
        </is>
      </c>
      <c r="W66">
        <f>HYPERLINK("https://klasma.github.io/Logging_2409/artfynd/A 28224-2026 artfynd.xlsx", "A 28224-2026")</f>
        <v/>
      </c>
      <c r="X66">
        <f>HYPERLINK("https://klasma.github.io/Logging_2409/kartor/A 28224-2026 karta.png", "A 28224-2026")</f>
        <v/>
      </c>
      <c r="Y66">
        <f>HYPERLINK("https://klasma.github.io/Logging_2409/kartor_geotiff/A 28224-2026 georefererad karta.tif", "A 28224-2026")</f>
        <v/>
      </c>
      <c r="AA66">
        <f>HYPERLINK("https://klasma.github.io/Logging_2409/klagomål/A 28224-2026 FSC-klagomål.docx", "A 28224-2026")</f>
        <v/>
      </c>
      <c r="AB66">
        <f>HYPERLINK("https://klasma.github.io/Logging_2409/klagomålsmail/A 28224-2026 FSC-klagomål mail.docx", "A 28224-2026")</f>
        <v/>
      </c>
      <c r="AC66">
        <f>HYPERLINK("https://klasma.github.io/Logging_2409/tillsyn/A 28224-2026 tillsynsbegäran.docx", "A 28224-2026")</f>
        <v/>
      </c>
      <c r="AD66">
        <f>HYPERLINK("https://klasma.github.io/Logging_2409/tillsynsmail/A 28224-2026 tillsynsbegäran mail.docx", "A 28224-2026")</f>
        <v/>
      </c>
    </row>
    <row r="67" ht="15" customHeight="1">
      <c r="A67" t="inlineStr">
        <is>
          <t>A 28750-2026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46198</v>
      </c>
      <c r="E67" s="1" t="n">
        <v>46250</v>
      </c>
      <c r="F67" t="inlineStr">
        <is>
          <t>VÄSTERBOTTENS LÄN</t>
        </is>
      </c>
      <c r="G67" t="inlineStr">
        <is>
          <t>ROBERTSFORS</t>
        </is>
      </c>
      <c r="I67" t="n">
        <v>0.7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Nordfladdermus</t>
        </is>
      </c>
      <c r="W67">
        <f>HYPERLINK("https://klasma.github.io/Logging_2409/artfynd/A 28750-2026 artfynd.xlsx", "A 28750-2026")</f>
        <v/>
      </c>
      <c r="X67">
        <f>HYPERLINK("https://klasma.github.io/Logging_2409/kartor/A 28750-2026 karta.png", "A 28750-2026")</f>
        <v/>
      </c>
      <c r="Y67">
        <f>HYPERLINK("https://klasma.github.io/Logging_2409/kartor_geotiff/A 28750-2026 georefererad karta.tif", "A 28750-2026")</f>
        <v/>
      </c>
      <c r="AA67">
        <f>HYPERLINK("https://klasma.github.io/Logging_2409/klagomål/A 28750-2026 FSC-klagomål.docx", "A 28750-2026")</f>
        <v/>
      </c>
      <c r="AB67">
        <f>HYPERLINK("https://klasma.github.io/Logging_2409/klagomålsmail/A 28750-2026 FSC-klagomål mail.docx", "A 28750-2026")</f>
        <v/>
      </c>
      <c r="AC67">
        <f>HYPERLINK("https://klasma.github.io/Logging_2409/tillsyn/A 28750-2026 tillsynsbegäran.docx", "A 28750-2026")</f>
        <v/>
      </c>
      <c r="AD67">
        <f>HYPERLINK("https://klasma.github.io/Logging_2409/tillsynsmail/A 28750-2026 tillsynsbegäran mail.docx", "A 28750-2026")</f>
        <v/>
      </c>
    </row>
    <row r="68" ht="15" customHeight="1">
      <c r="A68" t="inlineStr">
        <is>
          <t>A 29583-2026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46204</v>
      </c>
      <c r="E68" s="1" t="n">
        <v>46250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SCA</t>
        </is>
      </c>
      <c r="I68" t="n">
        <v>1.6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Björksplintborre</t>
        </is>
      </c>
      <c r="W68">
        <f>HYPERLINK("https://klasma.github.io/Logging_2409/artfynd/A 29583-2026 artfynd.xlsx", "A 29583-2026")</f>
        <v/>
      </c>
      <c r="X68">
        <f>HYPERLINK("https://klasma.github.io/Logging_2409/kartor/A 29583-2026 karta.png", "A 29583-2026")</f>
        <v/>
      </c>
      <c r="Y68">
        <f>HYPERLINK("https://klasma.github.io/Logging_2409/kartor_geotiff/A 29583-2026 georefererad karta.tif", "A 29583-2026")</f>
        <v/>
      </c>
      <c r="AA68">
        <f>HYPERLINK("https://klasma.github.io/Logging_2409/klagomål/A 29583-2026 FSC-klagomål.docx", "A 29583-2026")</f>
        <v/>
      </c>
      <c r="AB68">
        <f>HYPERLINK("https://klasma.github.io/Logging_2409/klagomålsmail/A 29583-2026 FSC-klagomål mail.docx", "A 29583-2026")</f>
        <v/>
      </c>
      <c r="AC68">
        <f>HYPERLINK("https://klasma.github.io/Logging_2409/tillsyn/A 29583-2026 tillsynsbegäran.docx", "A 29583-2026")</f>
        <v/>
      </c>
      <c r="AD68">
        <f>HYPERLINK("https://klasma.github.io/Logging_2409/tillsynsmail/A 29583-2026 tillsynsbegäran mail.docx", "A 29583-2026")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46250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46250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46250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46250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46250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46250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46250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46250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46250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46250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46250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46250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46250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46250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46250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46250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46250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46250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46250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46250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46250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34587-2022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44795</v>
      </c>
      <c r="E90" s="1" t="n">
        <v>46250</v>
      </c>
      <c r="F90" t="inlineStr">
        <is>
          <t>VÄSTERBOTTENS LÄN</t>
        </is>
      </c>
      <c r="G90" t="inlineStr">
        <is>
          <t>ROBERTSFORS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44612</v>
      </c>
      <c r="E91" s="1" t="n">
        <v>46250</v>
      </c>
      <c r="F91" t="inlineStr">
        <is>
          <t>VÄSTERBOTTENS LÄN</t>
        </is>
      </c>
      <c r="G91" t="inlineStr">
        <is>
          <t>ROBERTSFORS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48024-2022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44855</v>
      </c>
      <c r="E92" s="1" t="n">
        <v>46250</v>
      </c>
      <c r="F92" t="inlineStr">
        <is>
          <t>VÄSTERBOTTENS LÄN</t>
        </is>
      </c>
      <c r="G92" t="inlineStr">
        <is>
          <t>ROBERTSFORS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26231-2022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44735</v>
      </c>
      <c r="E93" s="1" t="n">
        <v>46250</v>
      </c>
      <c r="F93" t="inlineStr">
        <is>
          <t>VÄSTERBOTTENS LÄN</t>
        </is>
      </c>
      <c r="G93" t="inlineStr">
        <is>
          <t>ROBERTSFORS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46250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46250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46250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46250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44571</v>
      </c>
      <c r="E98" s="1" t="n">
        <v>46250</v>
      </c>
      <c r="F98" t="inlineStr">
        <is>
          <t>VÄSTERBOTTENS LÄN</t>
        </is>
      </c>
      <c r="G98" t="inlineStr">
        <is>
          <t>ROBERTSFORS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66503-2021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44519</v>
      </c>
      <c r="E99" s="1" t="n">
        <v>46250</v>
      </c>
      <c r="F99" t="inlineStr">
        <is>
          <t>VÄSTERBOTTENS LÄN</t>
        </is>
      </c>
      <c r="G99" t="inlineStr">
        <is>
          <t>ROBERTSFORS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46250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46250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46250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46250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46250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46250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46250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46250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46250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46250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46250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46250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48547-2023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45202</v>
      </c>
      <c r="E112" s="1" t="n">
        <v>46250</v>
      </c>
      <c r="F112" t="inlineStr">
        <is>
          <t>VÄSTERBOTTENS LÄN</t>
        </is>
      </c>
      <c r="G112" t="inlineStr">
        <is>
          <t>ROBERTSFORS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2590-2022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44580</v>
      </c>
      <c r="E113" s="1" t="n">
        <v>46250</v>
      </c>
      <c r="F113" t="inlineStr">
        <is>
          <t>VÄSTERBOTTENS LÄN</t>
        </is>
      </c>
      <c r="G113" t="inlineStr">
        <is>
          <t>ROBERTSFORS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41645-2022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44827</v>
      </c>
      <c r="E114" s="1" t="n">
        <v>46250</v>
      </c>
      <c r="F114" t="inlineStr">
        <is>
          <t>VÄSTERBOTTENS LÄN</t>
        </is>
      </c>
      <c r="G114" t="inlineStr">
        <is>
          <t>ROBERTSFORS</t>
        </is>
      </c>
      <c r="H114" t="inlineStr">
        <is>
          <t>Holmen skog AB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44822-2022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44841</v>
      </c>
      <c r="E115" s="1" t="n">
        <v>46250</v>
      </c>
      <c r="F115" t="inlineStr">
        <is>
          <t>VÄSTERBOTTENS LÄN</t>
        </is>
      </c>
      <c r="G115" t="inlineStr">
        <is>
          <t>ROBERTSFORS</t>
        </is>
      </c>
      <c r="H115" t="inlineStr">
        <is>
          <t>Holmen skog AB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46250</v>
      </c>
      <c r="F116" t="inlineStr">
        <is>
          <t>VÄSTERBOTTENS LÄN</t>
        </is>
      </c>
      <c r="G116" t="inlineStr">
        <is>
          <t>ROBERTSFORS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12629-2022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44641</v>
      </c>
      <c r="E117" s="1" t="n">
        <v>46250</v>
      </c>
      <c r="F117" t="inlineStr">
        <is>
          <t>VÄSTERBOTTENS LÄN</t>
        </is>
      </c>
      <c r="G117" t="inlineStr">
        <is>
          <t>ROBERTSFORS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58240-2023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45250</v>
      </c>
      <c r="E118" s="1" t="n">
        <v>46250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41047-2022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44824</v>
      </c>
      <c r="E119" s="1" t="n">
        <v>46250</v>
      </c>
      <c r="F119" t="inlineStr">
        <is>
          <t>VÄSTERBOTTENS LÄN</t>
        </is>
      </c>
      <c r="G119" t="inlineStr">
        <is>
          <t>ROBERTSFORS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59549-2023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45253</v>
      </c>
      <c r="E120" s="1" t="n">
        <v>46250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13329-2022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44644</v>
      </c>
      <c r="E121" s="1" t="n">
        <v>46250</v>
      </c>
      <c r="F121" t="inlineStr">
        <is>
          <t>VÄSTERBOTTENS LÄN</t>
        </is>
      </c>
      <c r="G121" t="inlineStr">
        <is>
          <t>ROBERTSFORS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55484-2021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46250</v>
      </c>
      <c r="F122" t="inlineStr">
        <is>
          <t>VÄSTERBOTTENS LÄN</t>
        </is>
      </c>
      <c r="G122" t="inlineStr">
        <is>
          <t>ROBERTSFORS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39283-2022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44817</v>
      </c>
      <c r="E123" s="1" t="n">
        <v>46250</v>
      </c>
      <c r="F123" t="inlineStr">
        <is>
          <t>VÄSTERBOTTENS LÄN</t>
        </is>
      </c>
      <c r="G123" t="inlineStr">
        <is>
          <t>ROBERTSFORS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3018-2023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44945</v>
      </c>
      <c r="E124" s="1" t="n">
        <v>46250</v>
      </c>
      <c r="F124" t="inlineStr">
        <is>
          <t>VÄSTERBOTTENS LÄN</t>
        </is>
      </c>
      <c r="G124" t="inlineStr">
        <is>
          <t>ROBERTSFORS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9192-2022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44615</v>
      </c>
      <c r="E125" s="1" t="n">
        <v>46250</v>
      </c>
      <c r="F125" t="inlineStr">
        <is>
          <t>VÄSTERBOTTENS LÄN</t>
        </is>
      </c>
      <c r="G125" t="inlineStr">
        <is>
          <t>ROBERTSFORS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34771-2024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45526</v>
      </c>
      <c r="E126" s="1" t="n">
        <v>46250</v>
      </c>
      <c r="F126" t="inlineStr">
        <is>
          <t>VÄSTERBOTTENS LÄN</t>
        </is>
      </c>
      <c r="G126" t="inlineStr">
        <is>
          <t>ROBERTSFORS</t>
        </is>
      </c>
      <c r="H126" t="inlineStr">
        <is>
          <t>Holmen skog AB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24899-2024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45461</v>
      </c>
      <c r="E127" s="1" t="n">
        <v>46250</v>
      </c>
      <c r="F127" t="inlineStr">
        <is>
          <t>VÄSTERBOTTENS LÄN</t>
        </is>
      </c>
      <c r="G127" t="inlineStr">
        <is>
          <t>ROBERTSFORS</t>
        </is>
      </c>
      <c r="I127" t="n">
        <v>14.3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8256-2025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45708</v>
      </c>
      <c r="E128" s="1" t="n">
        <v>46250</v>
      </c>
      <c r="F128" t="inlineStr">
        <is>
          <t>VÄSTERBOTTENS LÄN</t>
        </is>
      </c>
      <c r="G128" t="inlineStr">
        <is>
          <t>ROBERTSFORS</t>
        </is>
      </c>
      <c r="I128" t="n">
        <v>2.6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17210-2025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45756</v>
      </c>
      <c r="E129" s="1" t="n">
        <v>46250</v>
      </c>
      <c r="F129" t="inlineStr">
        <is>
          <t>VÄSTERBOTTENS LÄN</t>
        </is>
      </c>
      <c r="G129" t="inlineStr">
        <is>
          <t>ROBERTSFORS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32581-2022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44783</v>
      </c>
      <c r="E130" s="1" t="n">
        <v>46250</v>
      </c>
      <c r="F130" t="inlineStr">
        <is>
          <t>VÄSTERBOTTENS LÄN</t>
        </is>
      </c>
      <c r="G130" t="inlineStr">
        <is>
          <t>ROBERTSFORS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58631-2021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44488</v>
      </c>
      <c r="E131" s="1" t="n">
        <v>46250</v>
      </c>
      <c r="F131" t="inlineStr">
        <is>
          <t>VÄSTERBOTTENS LÄN</t>
        </is>
      </c>
      <c r="G131" t="inlineStr">
        <is>
          <t>ROBERTSFORS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58715-2022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44902</v>
      </c>
      <c r="E132" s="1" t="n">
        <v>46250</v>
      </c>
      <c r="F132" t="inlineStr">
        <is>
          <t>VÄSTERBOTTENS LÄN</t>
        </is>
      </c>
      <c r="G132" t="inlineStr">
        <is>
          <t>ROBERTSFORS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25446-2024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45463</v>
      </c>
      <c r="E133" s="1" t="n">
        <v>46250</v>
      </c>
      <c r="F133" t="inlineStr">
        <is>
          <t>VÄSTERBOTTENS LÄN</t>
        </is>
      </c>
      <c r="G133" t="inlineStr">
        <is>
          <t>ROBERTSFORS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10906-2022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44627</v>
      </c>
      <c r="E134" s="1" t="n">
        <v>46250</v>
      </c>
      <c r="F134" t="inlineStr">
        <is>
          <t>VÄSTERBOTTENS LÄN</t>
        </is>
      </c>
      <c r="G134" t="inlineStr">
        <is>
          <t>ROBERTSFORS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10907-2022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46250</v>
      </c>
      <c r="F135" t="inlineStr">
        <is>
          <t>VÄSTERBOTTENS LÄN</t>
        </is>
      </c>
      <c r="G135" t="inlineStr">
        <is>
          <t>ROBERTSFORS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49146-2022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46250</v>
      </c>
      <c r="F136" t="inlineStr">
        <is>
          <t>VÄSTERBOTTENS LÄN</t>
        </is>
      </c>
      <c r="G136" t="inlineStr">
        <is>
          <t>ROBERTSFORS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33584-2022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44789</v>
      </c>
      <c r="E137" s="1" t="n">
        <v>46250</v>
      </c>
      <c r="F137" t="inlineStr">
        <is>
          <t>VÄSTERBOTTENS LÄN</t>
        </is>
      </c>
      <c r="G137" t="inlineStr">
        <is>
          <t>ROBERTSFORS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39437-2024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45551</v>
      </c>
      <c r="E138" s="1" t="n">
        <v>46250</v>
      </c>
      <c r="F138" t="inlineStr">
        <is>
          <t>VÄSTERBOTTENS LÄN</t>
        </is>
      </c>
      <c r="G138" t="inlineStr">
        <is>
          <t>ROBERTSFORS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34821-2023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45140</v>
      </c>
      <c r="E139" s="1" t="n">
        <v>46250</v>
      </c>
      <c r="F139" t="inlineStr">
        <is>
          <t>VÄSTERBOTTENS LÄN</t>
        </is>
      </c>
      <c r="G139" t="inlineStr">
        <is>
          <t>ROBERTSFORS</t>
        </is>
      </c>
      <c r="I139" t="n">
        <v>15.3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24466-2024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45458</v>
      </c>
      <c r="E140" s="1" t="n">
        <v>46250</v>
      </c>
      <c r="F140" t="inlineStr">
        <is>
          <t>VÄSTERBOTTENS LÄN</t>
        </is>
      </c>
      <c r="G140" t="inlineStr">
        <is>
          <t>ROBERTSFORS</t>
        </is>
      </c>
      <c r="I140" t="n">
        <v>3.5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18827-2023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45042</v>
      </c>
      <c r="E141" s="1" t="n">
        <v>46250</v>
      </c>
      <c r="F141" t="inlineStr">
        <is>
          <t>VÄSTERBOTTENS LÄN</t>
        </is>
      </c>
      <c r="G141" t="inlineStr">
        <is>
          <t>ROBERTSFORS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38026-2024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46250</v>
      </c>
      <c r="F142" t="inlineStr">
        <is>
          <t>VÄSTERBOTTENS LÄN</t>
        </is>
      </c>
      <c r="G142" t="inlineStr">
        <is>
          <t>ROBERTSFORS</t>
        </is>
      </c>
      <c r="H142" t="inlineStr">
        <is>
          <t>SCA</t>
        </is>
      </c>
      <c r="I142" t="n">
        <v>8.5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7873-2023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44973</v>
      </c>
      <c r="E143" s="1" t="n">
        <v>46250</v>
      </c>
      <c r="F143" t="inlineStr">
        <is>
          <t>VÄSTERBOTTENS LÄN</t>
        </is>
      </c>
      <c r="G143" t="inlineStr">
        <is>
          <t>ROBERTSFORS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9463-2025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45715</v>
      </c>
      <c r="E144" s="1" t="n">
        <v>46250</v>
      </c>
      <c r="F144" t="inlineStr">
        <is>
          <t>VÄSTERBOTTENS LÄN</t>
        </is>
      </c>
      <c r="G144" t="inlineStr">
        <is>
          <t>ROBERTSFORS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62506-2023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45268</v>
      </c>
      <c r="E145" s="1" t="n">
        <v>46250</v>
      </c>
      <c r="F145" t="inlineStr">
        <is>
          <t>VÄSTERBOTTENS LÄN</t>
        </is>
      </c>
      <c r="G145" t="inlineStr">
        <is>
          <t>ROBERTSFORS</t>
        </is>
      </c>
      <c r="I145" t="n">
        <v>0.1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39315-2025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46250</v>
      </c>
      <c r="F146" t="inlineStr">
        <is>
          <t>VÄSTERBOTTENS LÄN</t>
        </is>
      </c>
      <c r="G146" t="inlineStr">
        <is>
          <t>ROBERTSFORS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39677-2025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45890</v>
      </c>
      <c r="E147" s="1" t="n">
        <v>46250</v>
      </c>
      <c r="F147" t="inlineStr">
        <is>
          <t>VÄSTERBOTTENS LÄN</t>
        </is>
      </c>
      <c r="G147" t="inlineStr">
        <is>
          <t>ROBERTSFORS</t>
        </is>
      </c>
      <c r="H147" t="inlineStr">
        <is>
          <t>Holmen skog AB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39655-2025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45890</v>
      </c>
      <c r="E148" s="1" t="n">
        <v>46250</v>
      </c>
      <c r="F148" t="inlineStr">
        <is>
          <t>VÄSTERBOTTENS LÄN</t>
        </is>
      </c>
      <c r="G148" t="inlineStr">
        <is>
          <t>ROBERTSFORS</t>
        </is>
      </c>
      <c r="H148" t="inlineStr">
        <is>
          <t>Holmen skog AB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39982-2025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45893</v>
      </c>
      <c r="E149" s="1" t="n">
        <v>46250</v>
      </c>
      <c r="F149" t="inlineStr">
        <is>
          <t>VÄSTERBOTTENS LÄN</t>
        </is>
      </c>
      <c r="G149" t="inlineStr">
        <is>
          <t>ROBERTSFORS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43424-2024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45568</v>
      </c>
      <c r="E150" s="1" t="n">
        <v>46250</v>
      </c>
      <c r="F150" t="inlineStr">
        <is>
          <t>VÄSTERBOTTENS LÄN</t>
        </is>
      </c>
      <c r="G150" t="inlineStr">
        <is>
          <t>ROBERTSFORS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40375-2025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45895</v>
      </c>
      <c r="E151" s="1" t="n">
        <v>46250</v>
      </c>
      <c r="F151" t="inlineStr">
        <is>
          <t>VÄSTERBOTTENS LÄN</t>
        </is>
      </c>
      <c r="G151" t="inlineStr">
        <is>
          <t>ROBERTSFORS</t>
        </is>
      </c>
      <c r="I151" t="n">
        <v>8.199999999999999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40638-2025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45896</v>
      </c>
      <c r="E152" s="1" t="n">
        <v>46250</v>
      </c>
      <c r="F152" t="inlineStr">
        <is>
          <t>VÄSTERBOTTENS LÄN</t>
        </is>
      </c>
      <c r="G152" t="inlineStr">
        <is>
          <t>ROBERTSFORS</t>
        </is>
      </c>
      <c r="H152" t="inlineStr">
        <is>
          <t>Holmen skog AB</t>
        </is>
      </c>
      <c r="I152" t="n">
        <v>5.2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30722-2024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45496</v>
      </c>
      <c r="E153" s="1" t="n">
        <v>46250</v>
      </c>
      <c r="F153" t="inlineStr">
        <is>
          <t>VÄSTERBOTTENS LÄN</t>
        </is>
      </c>
      <c r="G153" t="inlineStr">
        <is>
          <t>ROBERTSFORS</t>
        </is>
      </c>
      <c r="H153" t="inlineStr">
        <is>
          <t>Holmen skog AB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41898-2025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45903</v>
      </c>
      <c r="E154" s="1" t="n">
        <v>46250</v>
      </c>
      <c r="F154" t="inlineStr">
        <is>
          <t>VÄSTERBOTTENS LÄN</t>
        </is>
      </c>
      <c r="G154" t="inlineStr">
        <is>
          <t>ROBERTSFORS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37482-2024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45541</v>
      </c>
      <c r="E155" s="1" t="n">
        <v>46250</v>
      </c>
      <c r="F155" t="inlineStr">
        <is>
          <t>VÄSTERBOTTENS LÄN</t>
        </is>
      </c>
      <c r="G155" t="inlineStr">
        <is>
          <t>ROBERTSFORS</t>
        </is>
      </c>
      <c r="H155" t="inlineStr">
        <is>
          <t>Holmen skog AB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37357-2024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45540</v>
      </c>
      <c r="E156" s="1" t="n">
        <v>46250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16865-2023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45029</v>
      </c>
      <c r="E157" s="1" t="n">
        <v>46250</v>
      </c>
      <c r="F157" t="inlineStr">
        <is>
          <t>VÄSTERBOTTENS LÄN</t>
        </is>
      </c>
      <c r="G157" t="inlineStr">
        <is>
          <t>ROBERTSFORS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43048-2025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45909</v>
      </c>
      <c r="E158" s="1" t="n">
        <v>46250</v>
      </c>
      <c r="F158" t="inlineStr">
        <is>
          <t>VÄSTERBOTTENS LÄN</t>
        </is>
      </c>
      <c r="G158" t="inlineStr">
        <is>
          <t>ROBERTSFORS</t>
        </is>
      </c>
      <c r="I158" t="n">
        <v>12.7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58030-2024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45631</v>
      </c>
      <c r="E159" s="1" t="n">
        <v>46250</v>
      </c>
      <c r="F159" t="inlineStr">
        <is>
          <t>VÄSTERBOTTENS LÄN</t>
        </is>
      </c>
      <c r="G159" t="inlineStr">
        <is>
          <t>ROBERTSFORS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57979-2021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44487</v>
      </c>
      <c r="E160" s="1" t="n">
        <v>46250</v>
      </c>
      <c r="F160" t="inlineStr">
        <is>
          <t>VÄSTERBOTTENS LÄN</t>
        </is>
      </c>
      <c r="G160" t="inlineStr">
        <is>
          <t>ROBERTSFORS</t>
        </is>
      </c>
      <c r="H160" t="inlineStr">
        <is>
          <t>Holmen skog AB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44130-2025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45915</v>
      </c>
      <c r="E161" s="1" t="n">
        <v>46250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Holmen skog AB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44979-2025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45918</v>
      </c>
      <c r="E162" s="1" t="n">
        <v>46250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3.6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45267-2025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45919</v>
      </c>
      <c r="E163" s="1" t="n">
        <v>46250</v>
      </c>
      <c r="F163" t="inlineStr">
        <is>
          <t>VÄSTERBOTTENS LÄN</t>
        </is>
      </c>
      <c r="G163" t="inlineStr">
        <is>
          <t>ROBERTSFORS</t>
        </is>
      </c>
      <c r="I163" t="n">
        <v>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60738-2022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44913</v>
      </c>
      <c r="E164" s="1" t="n">
        <v>46250</v>
      </c>
      <c r="F164" t="inlineStr">
        <is>
          <t>VÄSTERBOTTENS LÄN</t>
        </is>
      </c>
      <c r="G164" t="inlineStr">
        <is>
          <t>ROBERTSFORS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46168-2025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45924</v>
      </c>
      <c r="E165" s="1" t="n">
        <v>46250</v>
      </c>
      <c r="F165" t="inlineStr">
        <is>
          <t>VÄSTERBOTTENS LÄN</t>
        </is>
      </c>
      <c r="G165" t="inlineStr">
        <is>
          <t>ROBERTSFORS</t>
        </is>
      </c>
      <c r="H165" t="inlineStr">
        <is>
          <t>Holmen skog AB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38494-2023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45162</v>
      </c>
      <c r="E166" s="1" t="n">
        <v>46250</v>
      </c>
      <c r="F166" t="inlineStr">
        <is>
          <t>VÄSTERBOTTENS LÄN</t>
        </is>
      </c>
      <c r="G166" t="inlineStr">
        <is>
          <t>ROBERTSFORS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11421-2026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46083</v>
      </c>
      <c r="E167" s="1" t="n">
        <v>46250</v>
      </c>
      <c r="F167" t="inlineStr">
        <is>
          <t>VÄSTERBOTTENS LÄN</t>
        </is>
      </c>
      <c r="G167" t="inlineStr">
        <is>
          <t>ROBERTSFORS</t>
        </is>
      </c>
      <c r="I167" t="n">
        <v>4.3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46647-2025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45926</v>
      </c>
      <c r="E168" s="1" t="n">
        <v>46250</v>
      </c>
      <c r="F168" t="inlineStr">
        <is>
          <t>VÄSTERBOTTENS LÄN</t>
        </is>
      </c>
      <c r="G168" t="inlineStr">
        <is>
          <t>ROBERTSFORS</t>
        </is>
      </c>
      <c r="H168" t="inlineStr">
        <is>
          <t>Holmen skog AB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53984-2022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44876</v>
      </c>
      <c r="E169" s="1" t="n">
        <v>46250</v>
      </c>
      <c r="F169" t="inlineStr">
        <is>
          <t>VÄSTERBOTTENS LÄN</t>
        </is>
      </c>
      <c r="G169" t="inlineStr">
        <is>
          <t>ROBERTSFORS</t>
        </is>
      </c>
      <c r="I169" t="n">
        <v>7.5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38270-2023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45160</v>
      </c>
      <c r="E170" s="1" t="n">
        <v>46250</v>
      </c>
      <c r="F170" t="inlineStr">
        <is>
          <t>VÄSTERBOTTENS LÄN</t>
        </is>
      </c>
      <c r="G170" t="inlineStr">
        <is>
          <t>ROBERTSFORS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46980-2025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45929</v>
      </c>
      <c r="E171" s="1" t="n">
        <v>46250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4.1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45301</v>
      </c>
      <c r="E172" s="1" t="n">
        <v>46250</v>
      </c>
      <c r="F172" t="inlineStr">
        <is>
          <t>VÄSTERBOTTENS LÄN</t>
        </is>
      </c>
      <c r="G172" t="inlineStr">
        <is>
          <t>ROBERTSFORS</t>
        </is>
      </c>
      <c r="I172" t="n">
        <v>8.800000000000001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58604-2022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44894</v>
      </c>
      <c r="E173" s="1" t="n">
        <v>46250</v>
      </c>
      <c r="F173" t="inlineStr">
        <is>
          <t>VÄSTERBOTTENS LÄN</t>
        </is>
      </c>
      <c r="G173" t="inlineStr">
        <is>
          <t>ROBERTSFORS</t>
        </is>
      </c>
      <c r="I173" t="n">
        <v>8.9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58426-2022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44901</v>
      </c>
      <c r="E174" s="1" t="n">
        <v>46250</v>
      </c>
      <c r="F174" t="inlineStr">
        <is>
          <t>VÄSTERBOTTENS LÄN</t>
        </is>
      </c>
      <c r="G174" t="inlineStr">
        <is>
          <t>ROBERTSFORS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9135-2024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45357</v>
      </c>
      <c r="E175" s="1" t="n">
        <v>46250</v>
      </c>
      <c r="F175" t="inlineStr">
        <is>
          <t>VÄSTERBOTTENS LÄN</t>
        </is>
      </c>
      <c r="G175" t="inlineStr">
        <is>
          <t>ROBERTSFORS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14671-2023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45013</v>
      </c>
      <c r="E176" s="1" t="n">
        <v>46250</v>
      </c>
      <c r="F176" t="inlineStr">
        <is>
          <t>VÄSTERBOTTENS LÄN</t>
        </is>
      </c>
      <c r="G176" t="inlineStr">
        <is>
          <t>ROBERTSFORS</t>
        </is>
      </c>
      <c r="I176" t="n">
        <v>4.2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49148-2025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45938</v>
      </c>
      <c r="E177" s="1" t="n">
        <v>46250</v>
      </c>
      <c r="F177" t="inlineStr">
        <is>
          <t>VÄSTERBOTTENS LÄN</t>
        </is>
      </c>
      <c r="G177" t="inlineStr">
        <is>
          <t>ROBERTSFORS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54366-2024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45617</v>
      </c>
      <c r="E178" s="1" t="n">
        <v>46250</v>
      </c>
      <c r="F178" t="inlineStr">
        <is>
          <t>VÄSTERBOTTENS LÄN</t>
        </is>
      </c>
      <c r="G178" t="inlineStr">
        <is>
          <t>ROBERTSFORS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36477-2024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45537</v>
      </c>
      <c r="E179" s="1" t="n">
        <v>46250</v>
      </c>
      <c r="F179" t="inlineStr">
        <is>
          <t>VÄSTERBOTTENS LÄN</t>
        </is>
      </c>
      <c r="G179" t="inlineStr">
        <is>
          <t>ROBERTSFORS</t>
        </is>
      </c>
      <c r="H179" t="inlineStr">
        <is>
          <t>Holmen skog AB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1922-2023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44938</v>
      </c>
      <c r="E180" s="1" t="n">
        <v>46250</v>
      </c>
      <c r="F180" t="inlineStr">
        <is>
          <t>VÄSTERBOTTENS LÄN</t>
        </is>
      </c>
      <c r="G180" t="inlineStr">
        <is>
          <t>ROBERTSFORS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21397-2025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45782</v>
      </c>
      <c r="E181" s="1" t="n">
        <v>46250</v>
      </c>
      <c r="F181" t="inlineStr">
        <is>
          <t>VÄSTERBOTTENS LÄN</t>
        </is>
      </c>
      <c r="G181" t="inlineStr">
        <is>
          <t>ROBERTSFORS</t>
        </is>
      </c>
      <c r="I181" t="n">
        <v>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61553-2023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45261</v>
      </c>
      <c r="E182" s="1" t="n">
        <v>46250</v>
      </c>
      <c r="F182" t="inlineStr">
        <is>
          <t>VÄSTERBOTTENS LÄN</t>
        </is>
      </c>
      <c r="G182" t="inlineStr">
        <is>
          <t>ROBERTSFORS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13397-2026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46094</v>
      </c>
      <c r="E183" s="1" t="n">
        <v>46250</v>
      </c>
      <c r="F183" t="inlineStr">
        <is>
          <t>VÄSTERBOTTENS LÄN</t>
        </is>
      </c>
      <c r="G183" t="inlineStr">
        <is>
          <t>ROBERTSFORS</t>
        </is>
      </c>
      <c r="H183" t="inlineStr">
        <is>
          <t>Holmen skog AB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50995-2025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45947</v>
      </c>
      <c r="E184" s="1" t="n">
        <v>46250</v>
      </c>
      <c r="F184" t="inlineStr">
        <is>
          <t>VÄSTERBOTTENS LÄN</t>
        </is>
      </c>
      <c r="G184" t="inlineStr">
        <is>
          <t>ROBERTSFORS</t>
        </is>
      </c>
      <c r="I184" t="n">
        <v>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14096-2026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46099</v>
      </c>
      <c r="E185" s="1" t="n">
        <v>46250</v>
      </c>
      <c r="F185" t="inlineStr">
        <is>
          <t>VÄSTERBOTTENS LÄN</t>
        </is>
      </c>
      <c r="G185" t="inlineStr">
        <is>
          <t>ROBERTSFORS</t>
        </is>
      </c>
      <c r="I185" t="n">
        <v>5.2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14098-2026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46099</v>
      </c>
      <c r="E186" s="1" t="n">
        <v>46250</v>
      </c>
      <c r="F186" t="inlineStr">
        <is>
          <t>VÄSTERBOTTENS LÄN</t>
        </is>
      </c>
      <c r="G186" t="inlineStr">
        <is>
          <t>ROBERTSFORS</t>
        </is>
      </c>
      <c r="I186" t="n">
        <v>2.4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26368-2024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45468</v>
      </c>
      <c r="E187" s="1" t="n">
        <v>46250</v>
      </c>
      <c r="F187" t="inlineStr">
        <is>
          <t>VÄSTERBOTTENS LÄN</t>
        </is>
      </c>
      <c r="G187" t="inlineStr">
        <is>
          <t>ROBERTSFORS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16653-2023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45030</v>
      </c>
      <c r="E188" s="1" t="n">
        <v>46250</v>
      </c>
      <c r="F188" t="inlineStr">
        <is>
          <t>VÄSTERBOTTENS LÄN</t>
        </is>
      </c>
      <c r="G188" t="inlineStr">
        <is>
          <t>ROBERTSFORS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59051-2024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46250</v>
      </c>
      <c r="F189" t="inlineStr">
        <is>
          <t>VÄSTERBOTTENS LÄN</t>
        </is>
      </c>
      <c r="G189" t="inlineStr">
        <is>
          <t>ROBERTSFORS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60882-2024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45644</v>
      </c>
      <c r="E190" s="1" t="n">
        <v>46250</v>
      </c>
      <c r="F190" t="inlineStr">
        <is>
          <t>VÄSTERBOTTENS LÄN</t>
        </is>
      </c>
      <c r="G190" t="inlineStr">
        <is>
          <t>ROBERTSFORS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15015-2026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46104</v>
      </c>
      <c r="E191" s="1" t="n">
        <v>46250</v>
      </c>
      <c r="F191" t="inlineStr">
        <is>
          <t>VÄSTERBOTTENS LÄN</t>
        </is>
      </c>
      <c r="G191" t="inlineStr">
        <is>
          <t>ROBERTSFORS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30733-2024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45496</v>
      </c>
      <c r="E192" s="1" t="n">
        <v>46250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8.6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52934-2025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45957</v>
      </c>
      <c r="E193" s="1" t="n">
        <v>46250</v>
      </c>
      <c r="F193" t="inlineStr">
        <is>
          <t>VÄSTERBOTTENS LÄN</t>
        </is>
      </c>
      <c r="G193" t="inlineStr">
        <is>
          <t>ROBERTSFORS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53218-2025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45958</v>
      </c>
      <c r="E194" s="1" t="n">
        <v>46250</v>
      </c>
      <c r="F194" t="inlineStr">
        <is>
          <t>VÄSTERBOTTENS LÄN</t>
        </is>
      </c>
      <c r="G194" t="inlineStr">
        <is>
          <t>ROBERTSFORS</t>
        </is>
      </c>
      <c r="H194" t="inlineStr">
        <is>
          <t>Holmen skog AB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52746-2025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45957</v>
      </c>
      <c r="E195" s="1" t="n">
        <v>46250</v>
      </c>
      <c r="F195" t="inlineStr">
        <is>
          <t>VÄSTERBOTTENS LÄN</t>
        </is>
      </c>
      <c r="G195" t="inlineStr">
        <is>
          <t>ROBERTSFORS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15302-2026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46105</v>
      </c>
      <c r="E196" s="1" t="n">
        <v>46250</v>
      </c>
      <c r="F196" t="inlineStr">
        <is>
          <t>VÄSTERBOTTENS LÄN</t>
        </is>
      </c>
      <c r="G196" t="inlineStr">
        <is>
          <t>ROBERTSFORS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53485-2025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45959</v>
      </c>
      <c r="E197" s="1" t="n">
        <v>46250</v>
      </c>
      <c r="F197" t="inlineStr">
        <is>
          <t>VÄSTERBOTTENS LÄN</t>
        </is>
      </c>
      <c r="G197" t="inlineStr">
        <is>
          <t>ROBERTSFORS</t>
        </is>
      </c>
      <c r="H197" t="inlineStr">
        <is>
          <t>Holmen skog AB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53320-2025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45959</v>
      </c>
      <c r="E198" s="1" t="n">
        <v>46250</v>
      </c>
      <c r="F198" t="inlineStr">
        <is>
          <t>VÄSTERBOTTENS LÄN</t>
        </is>
      </c>
      <c r="G198" t="inlineStr">
        <is>
          <t>ROBERTSFORS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15799-2024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45404</v>
      </c>
      <c r="E199" s="1" t="n">
        <v>46250</v>
      </c>
      <c r="F199" t="inlineStr">
        <is>
          <t>VÄSTERBOTTENS LÄN</t>
        </is>
      </c>
      <c r="G199" t="inlineStr">
        <is>
          <t>ROBERTSFORS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31905-2024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45510</v>
      </c>
      <c r="E200" s="1" t="n">
        <v>46250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55717-2024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45622</v>
      </c>
      <c r="E201" s="1" t="n">
        <v>46250</v>
      </c>
      <c r="F201" t="inlineStr">
        <is>
          <t>VÄSTERBOTTENS LÄN</t>
        </is>
      </c>
      <c r="G201" t="inlineStr">
        <is>
          <t>ROBERTSFORS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56703-2024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45627</v>
      </c>
      <c r="E202" s="1" t="n">
        <v>46250</v>
      </c>
      <c r="F202" t="inlineStr">
        <is>
          <t>VÄSTERBOTTENS LÄN</t>
        </is>
      </c>
      <c r="G202" t="inlineStr">
        <is>
          <t>ROBERTSFORS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45671</v>
      </c>
      <c r="E203" s="1" t="n">
        <v>46250</v>
      </c>
      <c r="F203" t="inlineStr">
        <is>
          <t>VÄSTERBOTTENS LÄN</t>
        </is>
      </c>
      <c r="G203" t="inlineStr">
        <is>
          <t>ROBERTSFORS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9305-2023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44980</v>
      </c>
      <c r="E204" s="1" t="n">
        <v>46250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6.3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53806-2025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45960</v>
      </c>
      <c r="E205" s="1" t="n">
        <v>46250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Holmen skog AB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53824-2025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45961</v>
      </c>
      <c r="E206" s="1" t="n">
        <v>46250</v>
      </c>
      <c r="F206" t="inlineStr">
        <is>
          <t>VÄSTERBOTTENS LÄN</t>
        </is>
      </c>
      <c r="G206" t="inlineStr">
        <is>
          <t>ROBERTSFORS</t>
        </is>
      </c>
      <c r="H206" t="inlineStr">
        <is>
          <t>Holmen skog AB</t>
        </is>
      </c>
      <c r="I206" t="n">
        <v>4.9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54589-2025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45965</v>
      </c>
      <c r="E207" s="1" t="n">
        <v>46250</v>
      </c>
      <c r="F207" t="inlineStr">
        <is>
          <t>VÄSTERBOTTENS LÄN</t>
        </is>
      </c>
      <c r="G207" t="inlineStr">
        <is>
          <t>ROBERTSFORS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54607-2025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45966</v>
      </c>
      <c r="E208" s="1" t="n">
        <v>46250</v>
      </c>
      <c r="F208" t="inlineStr">
        <is>
          <t>VÄSTERBOTTENS LÄN</t>
        </is>
      </c>
      <c r="G208" t="inlineStr">
        <is>
          <t>ROBERTSFORS</t>
        </is>
      </c>
      <c r="H208" t="inlineStr">
        <is>
          <t>Holmen skog AB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3222-2025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45679</v>
      </c>
      <c r="E209" s="1" t="n">
        <v>46250</v>
      </c>
      <c r="F209" t="inlineStr">
        <is>
          <t>VÄSTERBOTTENS LÄN</t>
        </is>
      </c>
      <c r="G209" t="inlineStr">
        <is>
          <t>ROBERTSFORS</t>
        </is>
      </c>
      <c r="I209" t="n">
        <v>6.9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54311-2025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45965</v>
      </c>
      <c r="E210" s="1" t="n">
        <v>46250</v>
      </c>
      <c r="F210" t="inlineStr">
        <is>
          <t>VÄSTERBOTTENS LÄN</t>
        </is>
      </c>
      <c r="G210" t="inlineStr">
        <is>
          <t>ROBERTSFORS</t>
        </is>
      </c>
      <c r="I210" t="n">
        <v>4.4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46300-2024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45581</v>
      </c>
      <c r="E211" s="1" t="n">
        <v>46250</v>
      </c>
      <c r="F211" t="inlineStr">
        <is>
          <t>VÄSTERBOTTENS LÄN</t>
        </is>
      </c>
      <c r="G211" t="inlineStr">
        <is>
          <t>ROBERTSFORS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54588-2025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45965</v>
      </c>
      <c r="E212" s="1" t="n">
        <v>46250</v>
      </c>
      <c r="F212" t="inlineStr">
        <is>
          <t>VÄSTERBOTTENS LÄN</t>
        </is>
      </c>
      <c r="G212" t="inlineStr">
        <is>
          <t>ROBERTSFORS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54594-2025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45965</v>
      </c>
      <c r="E213" s="1" t="n">
        <v>46250</v>
      </c>
      <c r="F213" t="inlineStr">
        <is>
          <t>VÄSTERBOTTENS LÄN</t>
        </is>
      </c>
      <c r="G213" t="inlineStr">
        <is>
          <t>ROBERTSFORS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38949-2024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45548</v>
      </c>
      <c r="E214" s="1" t="n">
        <v>46250</v>
      </c>
      <c r="F214" t="inlineStr">
        <is>
          <t>VÄSTERBOTTENS LÄN</t>
        </is>
      </c>
      <c r="G214" t="inlineStr">
        <is>
          <t>ROBERTSFORS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38951-2024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45548</v>
      </c>
      <c r="E215" s="1" t="n">
        <v>46250</v>
      </c>
      <c r="F215" t="inlineStr">
        <is>
          <t>VÄSTERBOTTENS LÄN</t>
        </is>
      </c>
      <c r="G215" t="inlineStr">
        <is>
          <t>ROBERTSFORS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16482-2026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46112</v>
      </c>
      <c r="E216" s="1" t="n">
        <v>46250</v>
      </c>
      <c r="F216" t="inlineStr">
        <is>
          <t>VÄSTERBOTTENS LÄN</t>
        </is>
      </c>
      <c r="G216" t="inlineStr">
        <is>
          <t>ROBERTSFORS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25575-2022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44732</v>
      </c>
      <c r="E217" s="1" t="n">
        <v>46250</v>
      </c>
      <c r="F217" t="inlineStr">
        <is>
          <t>VÄSTERBOTTENS LÄN</t>
        </is>
      </c>
      <c r="G217" t="inlineStr">
        <is>
          <t>ROBERTSFORS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65772-2021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44516</v>
      </c>
      <c r="E218" s="1" t="n">
        <v>46250</v>
      </c>
      <c r="F218" t="inlineStr">
        <is>
          <t>VÄSTERBOTTENS LÄN</t>
        </is>
      </c>
      <c r="G218" t="inlineStr">
        <is>
          <t>ROBERTSFORS</t>
        </is>
      </c>
      <c r="I218" t="n">
        <v>18.2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50046-2024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45600</v>
      </c>
      <c r="E219" s="1" t="n">
        <v>46250</v>
      </c>
      <c r="F219" t="inlineStr">
        <is>
          <t>VÄSTERBOTTENS LÄN</t>
        </is>
      </c>
      <c r="G219" t="inlineStr">
        <is>
          <t>ROBERTSFORS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56231-2025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45974</v>
      </c>
      <c r="E220" s="1" t="n">
        <v>46250</v>
      </c>
      <c r="F220" t="inlineStr">
        <is>
          <t>VÄSTERBOTTENS LÄN</t>
        </is>
      </c>
      <c r="G220" t="inlineStr">
        <is>
          <t>ROBERTSFORS</t>
        </is>
      </c>
      <c r="H220" t="inlineStr">
        <is>
          <t>Holmen skog AB</t>
        </is>
      </c>
      <c r="I220" t="n">
        <v>5.9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16993-2023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45033</v>
      </c>
      <c r="E221" s="1" t="n">
        <v>46250</v>
      </c>
      <c r="F221" t="inlineStr">
        <is>
          <t>VÄSTERBOTTENS LÄN</t>
        </is>
      </c>
      <c r="G221" t="inlineStr">
        <is>
          <t>ROBERTSFORS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19160-2023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45048</v>
      </c>
      <c r="E222" s="1" t="n">
        <v>46250</v>
      </c>
      <c r="F222" t="inlineStr">
        <is>
          <t>VÄSTERBOTTENS LÄN</t>
        </is>
      </c>
      <c r="G222" t="inlineStr">
        <is>
          <t>ROBERTSFORS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43547-2023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45184</v>
      </c>
      <c r="E223" s="1" t="n">
        <v>46250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58565-2023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45246</v>
      </c>
      <c r="E224" s="1" t="n">
        <v>46250</v>
      </c>
      <c r="F224" t="inlineStr">
        <is>
          <t>VÄSTERBOTTENS LÄN</t>
        </is>
      </c>
      <c r="G224" t="inlineStr">
        <is>
          <t>ROBERTSFORS</t>
        </is>
      </c>
      <c r="I224" t="n">
        <v>6.7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41269-2024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45559</v>
      </c>
      <c r="E225" s="1" t="n">
        <v>46250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Sveaskog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57793-2025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45981</v>
      </c>
      <c r="E226" s="1" t="n">
        <v>46250</v>
      </c>
      <c r="F226" t="inlineStr">
        <is>
          <t>VÄSTERBOTTENS LÄN</t>
        </is>
      </c>
      <c r="G226" t="inlineStr">
        <is>
          <t>ROBERTSFORS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57698-2025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45981</v>
      </c>
      <c r="E227" s="1" t="n">
        <v>46250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Holmen skog AB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57737-2025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45981</v>
      </c>
      <c r="E228" s="1" t="n">
        <v>46250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8686-2025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45712</v>
      </c>
      <c r="E229" s="1" t="n">
        <v>46250</v>
      </c>
      <c r="F229" t="inlineStr">
        <is>
          <t>VÄSTERBOTTENS LÄN</t>
        </is>
      </c>
      <c r="G229" t="inlineStr">
        <is>
          <t>ROBERTSFORS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1348-2023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44936</v>
      </c>
      <c r="E230" s="1" t="n">
        <v>46250</v>
      </c>
      <c r="F230" t="inlineStr">
        <is>
          <t>VÄSTERBOTTENS LÄN</t>
        </is>
      </c>
      <c r="G230" t="inlineStr">
        <is>
          <t>ROBERTSFORS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58624-2023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45251</v>
      </c>
      <c r="E231" s="1" t="n">
        <v>46250</v>
      </c>
      <c r="F231" t="inlineStr">
        <is>
          <t>VÄSTERBOTTENS LÄN</t>
        </is>
      </c>
      <c r="G231" t="inlineStr">
        <is>
          <t>ROBERTSFORS</t>
        </is>
      </c>
      <c r="H231" t="inlineStr">
        <is>
          <t>Holmen skog AB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41299-2024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45559</v>
      </c>
      <c r="E232" s="1" t="n">
        <v>46250</v>
      </c>
      <c r="F232" t="inlineStr">
        <is>
          <t>VÄSTERBOTTENS LÄN</t>
        </is>
      </c>
      <c r="G232" t="inlineStr">
        <is>
          <t>ROBERTSFORS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51873-2024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45607</v>
      </c>
      <c r="E233" s="1" t="n">
        <v>46250</v>
      </c>
      <c r="F233" t="inlineStr">
        <is>
          <t>VÄSTERBOTTENS LÄN</t>
        </is>
      </c>
      <c r="G233" t="inlineStr">
        <is>
          <t>ROBERTSFORS</t>
        </is>
      </c>
      <c r="I233" t="n">
        <v>7.6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19776-2024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45432</v>
      </c>
      <c r="E234" s="1" t="n">
        <v>46250</v>
      </c>
      <c r="F234" t="inlineStr">
        <is>
          <t>VÄSTERBOTTENS LÄN</t>
        </is>
      </c>
      <c r="G234" t="inlineStr">
        <is>
          <t>ROBERTSFORS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17780-2026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46122</v>
      </c>
      <c r="E235" s="1" t="n">
        <v>46250</v>
      </c>
      <c r="F235" t="inlineStr">
        <is>
          <t>VÄSTERBOTTENS LÄN</t>
        </is>
      </c>
      <c r="G235" t="inlineStr">
        <is>
          <t>ROBERTSFORS</t>
        </is>
      </c>
      <c r="I235" t="n">
        <v>6.9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17753-2026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46122</v>
      </c>
      <c r="E236" s="1" t="n">
        <v>46250</v>
      </c>
      <c r="F236" t="inlineStr">
        <is>
          <t>VÄSTERBOTTENS LÄN</t>
        </is>
      </c>
      <c r="G236" t="inlineStr">
        <is>
          <t>ROBERTSFORS</t>
        </is>
      </c>
      <c r="I236" t="n">
        <v>4.2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38092-2022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44811</v>
      </c>
      <c r="E237" s="1" t="n">
        <v>46250</v>
      </c>
      <c r="F237" t="inlineStr">
        <is>
          <t>VÄSTERBOTTENS LÄN</t>
        </is>
      </c>
      <c r="G237" t="inlineStr">
        <is>
          <t>ROBERTSFORS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1814-2025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45671</v>
      </c>
      <c r="E238" s="1" t="n">
        <v>46250</v>
      </c>
      <c r="F238" t="inlineStr">
        <is>
          <t>VÄSTERBOTTENS LÄN</t>
        </is>
      </c>
      <c r="G238" t="inlineStr">
        <is>
          <t>ROBERTSFORS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58850-2025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45987</v>
      </c>
      <c r="E239" s="1" t="n">
        <v>46250</v>
      </c>
      <c r="F239" t="inlineStr">
        <is>
          <t>VÄSTERBOTTENS LÄN</t>
        </is>
      </c>
      <c r="G239" t="inlineStr">
        <is>
          <t>ROBERTSFORS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5689-2023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44960</v>
      </c>
      <c r="E240" s="1" t="n">
        <v>46250</v>
      </c>
      <c r="F240" t="inlineStr">
        <is>
          <t>VÄSTERBOTTENS LÄN</t>
        </is>
      </c>
      <c r="G240" t="inlineStr">
        <is>
          <t>ROBERTSFORS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5690-2023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44960</v>
      </c>
      <c r="E241" s="1" t="n">
        <v>46250</v>
      </c>
      <c r="F241" t="inlineStr">
        <is>
          <t>VÄSTERBOTTENS LÄN</t>
        </is>
      </c>
      <c r="G241" t="inlineStr">
        <is>
          <t>ROBERTSFORS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44960</v>
      </c>
      <c r="E242" s="1" t="n">
        <v>46250</v>
      </c>
      <c r="F242" t="inlineStr">
        <is>
          <t>VÄSTERBOTTENS LÄN</t>
        </is>
      </c>
      <c r="G242" t="inlineStr">
        <is>
          <t>ROBERTSFORS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17765-2026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46122</v>
      </c>
      <c r="E243" s="1" t="n">
        <v>46250</v>
      </c>
      <c r="F243" t="inlineStr">
        <is>
          <t>VÄSTERBOTTENS LÄN</t>
        </is>
      </c>
      <c r="G243" t="inlineStr">
        <is>
          <t>ROBERTSFORS</t>
        </is>
      </c>
      <c r="I243" t="n">
        <v>4.8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18294-2026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46126</v>
      </c>
      <c r="E244" s="1" t="n">
        <v>46250</v>
      </c>
      <c r="F244" t="inlineStr">
        <is>
          <t>VÄSTERBOTTENS LÄN</t>
        </is>
      </c>
      <c r="G244" t="inlineStr">
        <is>
          <t>ROBERTSFORS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24295-2023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45079</v>
      </c>
      <c r="E245" s="1" t="n">
        <v>46250</v>
      </c>
      <c r="F245" t="inlineStr">
        <is>
          <t>VÄSTERBOTTENS LÄN</t>
        </is>
      </c>
      <c r="G245" t="inlineStr">
        <is>
          <t>ROBERTSFORS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18404-2026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46126</v>
      </c>
      <c r="E246" s="1" t="n">
        <v>46250</v>
      </c>
      <c r="F246" t="inlineStr">
        <is>
          <t>VÄSTERBOTTENS LÄN</t>
        </is>
      </c>
      <c r="G246" t="inlineStr">
        <is>
          <t>ROBERTSFORS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42494-2024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45565</v>
      </c>
      <c r="E247" s="1" t="n">
        <v>46250</v>
      </c>
      <c r="F247" t="inlineStr">
        <is>
          <t>VÄSTERBOTTENS LÄN</t>
        </is>
      </c>
      <c r="G247" t="inlineStr">
        <is>
          <t>ROBERTSFORS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15528-2023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45020</v>
      </c>
      <c r="E248" s="1" t="n">
        <v>46250</v>
      </c>
      <c r="F248" t="inlineStr">
        <is>
          <t>VÄSTERBOTTENS LÄN</t>
        </is>
      </c>
      <c r="G248" t="inlineStr">
        <is>
          <t>ROBERTSFORS</t>
        </is>
      </c>
      <c r="H248" t="inlineStr">
        <is>
          <t>Sveaskog</t>
        </is>
      </c>
      <c r="I248" t="n">
        <v>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4016-2023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44952</v>
      </c>
      <c r="E249" s="1" t="n">
        <v>46250</v>
      </c>
      <c r="F249" t="inlineStr">
        <is>
          <t>VÄSTERBOTTENS LÄN</t>
        </is>
      </c>
      <c r="G249" t="inlineStr">
        <is>
          <t>ROBERTSFORS</t>
        </is>
      </c>
      <c r="I249" t="n">
        <v>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18289-2026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46126</v>
      </c>
      <c r="E250" s="1" t="n">
        <v>46250</v>
      </c>
      <c r="F250" t="inlineStr">
        <is>
          <t>VÄSTERBOTTENS LÄN</t>
        </is>
      </c>
      <c r="G250" t="inlineStr">
        <is>
          <t>ROBERTSFORS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65771-2021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44516</v>
      </c>
      <c r="E251" s="1" t="n">
        <v>46250</v>
      </c>
      <c r="F251" t="inlineStr">
        <is>
          <t>VÄSTERBOTTENS LÄN</t>
        </is>
      </c>
      <c r="G251" t="inlineStr">
        <is>
          <t>ROBERTSFORS</t>
        </is>
      </c>
      <c r="I251" t="n">
        <v>5.1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26788-2023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45090</v>
      </c>
      <c r="E252" s="1" t="n">
        <v>46250</v>
      </c>
      <c r="F252" t="inlineStr">
        <is>
          <t>VÄSTERBOTTENS LÄN</t>
        </is>
      </c>
      <c r="G252" t="inlineStr">
        <is>
          <t>ROBERTSFORS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60693-2025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45996</v>
      </c>
      <c r="E253" s="1" t="n">
        <v>46250</v>
      </c>
      <c r="F253" t="inlineStr">
        <is>
          <t>VÄSTERBOTTENS LÄN</t>
        </is>
      </c>
      <c r="G253" t="inlineStr">
        <is>
          <t>ROBERTSFORS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48259-2023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45205</v>
      </c>
      <c r="E254" s="1" t="n">
        <v>46250</v>
      </c>
      <c r="F254" t="inlineStr">
        <is>
          <t>VÄSTERBOTTENS LÄN</t>
        </is>
      </c>
      <c r="G254" t="inlineStr">
        <is>
          <t>ROBERTSFORS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51966-2024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45607</v>
      </c>
      <c r="E255" s="1" t="n">
        <v>46250</v>
      </c>
      <c r="F255" t="inlineStr">
        <is>
          <t>VÄSTERBOTTENS LÄN</t>
        </is>
      </c>
      <c r="G255" t="inlineStr">
        <is>
          <t>ROBERTSFORS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61114-2025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46000</v>
      </c>
      <c r="E256" s="1" t="n">
        <v>46250</v>
      </c>
      <c r="F256" t="inlineStr">
        <is>
          <t>VÄSTERBOTTENS LÄN</t>
        </is>
      </c>
      <c r="G256" t="inlineStr">
        <is>
          <t>ROBERTSFORS</t>
        </is>
      </c>
      <c r="H256" t="inlineStr">
        <is>
          <t>Sveaskog</t>
        </is>
      </c>
      <c r="I256" t="n">
        <v>9.199999999999999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19103-2026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46132</v>
      </c>
      <c r="E257" s="1" t="n">
        <v>46250</v>
      </c>
      <c r="F257" t="inlineStr">
        <is>
          <t>VÄSTERBOTTENS LÄN</t>
        </is>
      </c>
      <c r="G257" t="inlineStr">
        <is>
          <t>ROBERTSFORS</t>
        </is>
      </c>
      <c r="H257" t="inlineStr">
        <is>
          <t>Holmen skog AB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19126-2026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46132</v>
      </c>
      <c r="E258" s="1" t="n">
        <v>46250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19077-2026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46132</v>
      </c>
      <c r="E259" s="1" t="n">
        <v>46250</v>
      </c>
      <c r="F259" t="inlineStr">
        <is>
          <t>VÄSTERBOTTENS LÄN</t>
        </is>
      </c>
      <c r="G259" t="inlineStr">
        <is>
          <t>ROBERTSFORS</t>
        </is>
      </c>
      <c r="H259" t="inlineStr">
        <is>
          <t>Holmen skog AB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61185-2025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46000</v>
      </c>
      <c r="E260" s="1" t="n">
        <v>46250</v>
      </c>
      <c r="F260" t="inlineStr">
        <is>
          <t>VÄSTERBOTTENS LÄN</t>
        </is>
      </c>
      <c r="G260" t="inlineStr">
        <is>
          <t>ROBERTSFORS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62187-2021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44502</v>
      </c>
      <c r="E261" s="1" t="n">
        <v>46250</v>
      </c>
      <c r="F261" t="inlineStr">
        <is>
          <t>VÄSTERBOTTENS LÄN</t>
        </is>
      </c>
      <c r="G261" t="inlineStr">
        <is>
          <t>ROBERTSFORS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2708-2022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44580</v>
      </c>
      <c r="E262" s="1" t="n">
        <v>46250</v>
      </c>
      <c r="F262" t="inlineStr">
        <is>
          <t>VÄSTERBOTTENS LÄN</t>
        </is>
      </c>
      <c r="G262" t="inlineStr">
        <is>
          <t>ROBERTSFORS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19294-2026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46133</v>
      </c>
      <c r="E263" s="1" t="n">
        <v>46250</v>
      </c>
      <c r="F263" t="inlineStr">
        <is>
          <t>VÄSTERBOTTENS LÄN</t>
        </is>
      </c>
      <c r="G263" t="inlineStr">
        <is>
          <t>ROBERTSFORS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9369-2025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45715</v>
      </c>
      <c r="E264" s="1" t="n">
        <v>46250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3.1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45659</v>
      </c>
      <c r="E265" s="1" t="n">
        <v>46250</v>
      </c>
      <c r="F265" t="inlineStr">
        <is>
          <t>VÄSTERBOTTENS LÄN</t>
        </is>
      </c>
      <c r="G265" t="inlineStr">
        <is>
          <t>ROBERTSFORS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19925-2026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46136</v>
      </c>
      <c r="E266" s="1" t="n">
        <v>46250</v>
      </c>
      <c r="F266" t="inlineStr">
        <is>
          <t>VÄSTERBOTTENS LÄN</t>
        </is>
      </c>
      <c r="G266" t="inlineStr">
        <is>
          <t>ROBERTSFORS</t>
        </is>
      </c>
      <c r="H266" t="inlineStr">
        <is>
          <t>Holmen skog AB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19732-2026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46135</v>
      </c>
      <c r="E267" s="1" t="n">
        <v>46250</v>
      </c>
      <c r="F267" t="inlineStr">
        <is>
          <t>VÄSTERBOTTENS LÄN</t>
        </is>
      </c>
      <c r="G267" t="inlineStr">
        <is>
          <t>ROBERTSFORS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1311-2025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45667</v>
      </c>
      <c r="E268" s="1" t="n">
        <v>46250</v>
      </c>
      <c r="F268" t="inlineStr">
        <is>
          <t>VÄSTERBOTTENS LÄN</t>
        </is>
      </c>
      <c r="G268" t="inlineStr">
        <is>
          <t>ROBERTSFORS</t>
        </is>
      </c>
      <c r="H268" t="inlineStr">
        <is>
          <t>Holmen skog AB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19828-2026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46135</v>
      </c>
      <c r="E269" s="1" t="n">
        <v>46250</v>
      </c>
      <c r="F269" t="inlineStr">
        <is>
          <t>VÄSTERBOTTENS LÄN</t>
        </is>
      </c>
      <c r="G269" t="inlineStr">
        <is>
          <t>ROBERTSFORS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53271-2021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44467</v>
      </c>
      <c r="E270" s="1" t="n">
        <v>46250</v>
      </c>
      <c r="F270" t="inlineStr">
        <is>
          <t>VÄSTERBOTTENS LÄN</t>
        </is>
      </c>
      <c r="G270" t="inlineStr">
        <is>
          <t>ROBERTSFORS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19734-2026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46135</v>
      </c>
      <c r="E271" s="1" t="n">
        <v>46250</v>
      </c>
      <c r="F271" t="inlineStr">
        <is>
          <t>VÄSTERBOTTENS LÄN</t>
        </is>
      </c>
      <c r="G271" t="inlineStr">
        <is>
          <t>ROBERTSFORS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45924-2024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45580</v>
      </c>
      <c r="E272" s="1" t="n">
        <v>46250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Holmen skog AB</t>
        </is>
      </c>
      <c r="I272" t="n">
        <v>5.2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645-2025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45661</v>
      </c>
      <c r="E273" s="1" t="n">
        <v>46250</v>
      </c>
      <c r="F273" t="inlineStr">
        <is>
          <t>VÄSTERBOTTENS LÄN</t>
        </is>
      </c>
      <c r="G273" t="inlineStr">
        <is>
          <t>ROBERTSFORS</t>
        </is>
      </c>
      <c r="I273" t="n">
        <v>10.6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45664</v>
      </c>
      <c r="E274" s="1" t="n">
        <v>46250</v>
      </c>
      <c r="F274" t="inlineStr">
        <is>
          <t>VÄSTERBOTTENS LÄN</t>
        </is>
      </c>
      <c r="G274" t="inlineStr">
        <is>
          <t>ROBERTSFORS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44651-2023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45184</v>
      </c>
      <c r="E275" s="1" t="n">
        <v>46250</v>
      </c>
      <c r="F275" t="inlineStr">
        <is>
          <t>VÄSTERBOTTENS LÄN</t>
        </is>
      </c>
      <c r="G275" t="inlineStr">
        <is>
          <t>ROBERTSFORS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58712-2024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45635</v>
      </c>
      <c r="E276" s="1" t="n">
        <v>46250</v>
      </c>
      <c r="F276" t="inlineStr">
        <is>
          <t>VÄSTERBOTTENS LÄN</t>
        </is>
      </c>
      <c r="G276" t="inlineStr">
        <is>
          <t>ROBERTSFORS</t>
        </is>
      </c>
      <c r="I276" t="n">
        <v>6.8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16995-2023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45033</v>
      </c>
      <c r="E277" s="1" t="n">
        <v>46250</v>
      </c>
      <c r="F277" t="inlineStr">
        <is>
          <t>VÄSTERBOTTENS LÄN</t>
        </is>
      </c>
      <c r="G277" t="inlineStr">
        <is>
          <t>ROBERTSFORS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60604-2024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45644</v>
      </c>
      <c r="E278" s="1" t="n">
        <v>46250</v>
      </c>
      <c r="F278" t="inlineStr">
        <is>
          <t>VÄSTERBOTTENS LÄN</t>
        </is>
      </c>
      <c r="G278" t="inlineStr">
        <is>
          <t>ROBERTSFORS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19730-2026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46135</v>
      </c>
      <c r="E279" s="1" t="n">
        <v>46250</v>
      </c>
      <c r="F279" t="inlineStr">
        <is>
          <t>VÄSTERBOTTENS LÄN</t>
        </is>
      </c>
      <c r="G279" t="inlineStr">
        <is>
          <t>ROBERTSFORS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24467-2024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45458</v>
      </c>
      <c r="E280" s="1" t="n">
        <v>46250</v>
      </c>
      <c r="F280" t="inlineStr">
        <is>
          <t>VÄSTERBOTTENS LÄN</t>
        </is>
      </c>
      <c r="G280" t="inlineStr">
        <is>
          <t>ROBERTSFORS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48252-2023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45205</v>
      </c>
      <c r="E281" s="1" t="n">
        <v>46250</v>
      </c>
      <c r="F281" t="inlineStr">
        <is>
          <t>VÄSTERBOTTENS LÄN</t>
        </is>
      </c>
      <c r="G281" t="inlineStr">
        <is>
          <t>ROBERTSFORS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41529-2025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45901</v>
      </c>
      <c r="E282" s="1" t="n">
        <v>46250</v>
      </c>
      <c r="F282" t="inlineStr">
        <is>
          <t>VÄSTERBOTTENS LÄN</t>
        </is>
      </c>
      <c r="G282" t="inlineStr">
        <is>
          <t>ROBERTSFORS</t>
        </is>
      </c>
      <c r="H282" t="inlineStr">
        <is>
          <t>Holmen skog AB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26894-2024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45470</v>
      </c>
      <c r="E283" s="1" t="n">
        <v>46250</v>
      </c>
      <c r="F283" t="inlineStr">
        <is>
          <t>VÄSTERBOTTENS LÄN</t>
        </is>
      </c>
      <c r="G283" t="inlineStr">
        <is>
          <t>ROBERTSFORS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5251-2025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45692</v>
      </c>
      <c r="E284" s="1" t="n">
        <v>46250</v>
      </c>
      <c r="F284" t="inlineStr">
        <is>
          <t>VÄSTERBOTTENS LÄN</t>
        </is>
      </c>
      <c r="G284" t="inlineStr">
        <is>
          <t>ROBERTSFORS</t>
        </is>
      </c>
      <c r="I284" t="n">
        <v>2.8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16921-2023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45029</v>
      </c>
      <c r="E285" s="1" t="n">
        <v>46250</v>
      </c>
      <c r="F285" t="inlineStr">
        <is>
          <t>VÄSTERBOTTENS LÄN</t>
        </is>
      </c>
      <c r="G285" t="inlineStr">
        <is>
          <t>ROBERTSFORS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13026-2025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45734</v>
      </c>
      <c r="E286" s="1" t="n">
        <v>46250</v>
      </c>
      <c r="F286" t="inlineStr">
        <is>
          <t>VÄSTERBOTTENS LÄN</t>
        </is>
      </c>
      <c r="G286" t="inlineStr">
        <is>
          <t>ROBERTSFORS</t>
        </is>
      </c>
      <c r="I286" t="n">
        <v>24.4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43027-2023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45182</v>
      </c>
      <c r="E287" s="1" t="n">
        <v>46250</v>
      </c>
      <c r="F287" t="inlineStr">
        <is>
          <t>VÄSTERBOTTENS LÄN</t>
        </is>
      </c>
      <c r="G287" t="inlineStr">
        <is>
          <t>ROBERTSFORS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46331-2023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45197</v>
      </c>
      <c r="E288" s="1" t="n">
        <v>46250</v>
      </c>
      <c r="F288" t="inlineStr">
        <is>
          <t>VÄSTERBOTTENS LÄN</t>
        </is>
      </c>
      <c r="G288" t="inlineStr">
        <is>
          <t>ROBERTSFORS</t>
        </is>
      </c>
      <c r="H288" t="inlineStr">
        <is>
          <t>Holmen skog AB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7076-2025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45701</v>
      </c>
      <c r="E289" s="1" t="n">
        <v>46250</v>
      </c>
      <c r="F289" t="inlineStr">
        <is>
          <t>VÄSTERBOTTENS LÄN</t>
        </is>
      </c>
      <c r="G289" t="inlineStr">
        <is>
          <t>ROBERTSFORS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4478-2023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44952</v>
      </c>
      <c r="E290" s="1" t="n">
        <v>46250</v>
      </c>
      <c r="F290" t="inlineStr">
        <is>
          <t>VÄSTERBOTTENS LÄN</t>
        </is>
      </c>
      <c r="G290" t="inlineStr">
        <is>
          <t>ROBERTSFORS</t>
        </is>
      </c>
      <c r="I290" t="n">
        <v>16.1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26038-2022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44734</v>
      </c>
      <c r="E291" s="1" t="n">
        <v>46250</v>
      </c>
      <c r="F291" t="inlineStr">
        <is>
          <t>VÄSTERBOTTENS LÄN</t>
        </is>
      </c>
      <c r="G291" t="inlineStr">
        <is>
          <t>ROBERTSFORS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46037</v>
      </c>
      <c r="E292" s="1" t="n">
        <v>46250</v>
      </c>
      <c r="F292" t="inlineStr">
        <is>
          <t>VÄSTERBOTTENS LÄN</t>
        </is>
      </c>
      <c r="G292" t="inlineStr">
        <is>
          <t>ROBERTSFORS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57629-2023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45246</v>
      </c>
      <c r="E293" s="1" t="n">
        <v>46250</v>
      </c>
      <c r="F293" t="inlineStr">
        <is>
          <t>VÄSTERBOTTENS LÄN</t>
        </is>
      </c>
      <c r="G293" t="inlineStr">
        <is>
          <t>ROBERTSFORS</t>
        </is>
      </c>
      <c r="I293" t="n">
        <v>3.8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24136-2023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45076</v>
      </c>
      <c r="E294" s="1" t="n">
        <v>46250</v>
      </c>
      <c r="F294" t="inlineStr">
        <is>
          <t>VÄSTERBOTTENS LÄN</t>
        </is>
      </c>
      <c r="G294" t="inlineStr">
        <is>
          <t>ROBERTSFORS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33438-2023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45129</v>
      </c>
      <c r="E295" s="1" t="n">
        <v>46250</v>
      </c>
      <c r="F295" t="inlineStr">
        <is>
          <t>VÄSTERBOTTENS LÄN</t>
        </is>
      </c>
      <c r="G295" t="inlineStr">
        <is>
          <t>ROBERTSFORS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31059-2024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45502</v>
      </c>
      <c r="E296" s="1" t="n">
        <v>46250</v>
      </c>
      <c r="F296" t="inlineStr">
        <is>
          <t>VÄSTERBOTTENS LÄN</t>
        </is>
      </c>
      <c r="G296" t="inlineStr">
        <is>
          <t>ROBERTSFORS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18143-2023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45040</v>
      </c>
      <c r="E297" s="1" t="n">
        <v>46250</v>
      </c>
      <c r="F297" t="inlineStr">
        <is>
          <t>VÄSTERBOTTENS LÄN</t>
        </is>
      </c>
      <c r="G297" t="inlineStr">
        <is>
          <t>ROBERTSFORS</t>
        </is>
      </c>
      <c r="I297" t="n">
        <v>11.5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3576-2026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46042</v>
      </c>
      <c r="E298" s="1" t="n">
        <v>46250</v>
      </c>
      <c r="F298" t="inlineStr">
        <is>
          <t>VÄSTERBOTTENS LÄN</t>
        </is>
      </c>
      <c r="G298" t="inlineStr">
        <is>
          <t>ROBERTSFORS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20363-2026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46139</v>
      </c>
      <c r="E299" s="1" t="n">
        <v>46250</v>
      </c>
      <c r="F299" t="inlineStr">
        <is>
          <t>VÄSTERBOTTENS LÄN</t>
        </is>
      </c>
      <c r="G299" t="inlineStr">
        <is>
          <t>ROBERTSFORS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41850-2023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45176</v>
      </c>
      <c r="E300" s="1" t="n">
        <v>46250</v>
      </c>
      <c r="F300" t="inlineStr">
        <is>
          <t>VÄSTERBOTTENS LÄN</t>
        </is>
      </c>
      <c r="G300" t="inlineStr">
        <is>
          <t>ROBERTSFORS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3590-2026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46042</v>
      </c>
      <c r="E301" s="1" t="n">
        <v>46250</v>
      </c>
      <c r="F301" t="inlineStr">
        <is>
          <t>VÄSTERBOTTENS LÄN</t>
        </is>
      </c>
      <c r="G301" t="inlineStr">
        <is>
          <t>ROBERTSFORS</t>
        </is>
      </c>
      <c r="I301" t="n">
        <v>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4611-2025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45687</v>
      </c>
      <c r="E302" s="1" t="n">
        <v>46250</v>
      </c>
      <c r="F302" t="inlineStr">
        <is>
          <t>VÄSTERBOTTENS LÄN</t>
        </is>
      </c>
      <c r="G302" t="inlineStr">
        <is>
          <t>ROBERTSFORS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5474-2026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46048</v>
      </c>
      <c r="E303" s="1" t="n">
        <v>46250</v>
      </c>
      <c r="F303" t="inlineStr">
        <is>
          <t>VÄSTERBOTTENS LÄN</t>
        </is>
      </c>
      <c r="G303" t="inlineStr">
        <is>
          <t>ROBERTSFORS</t>
        </is>
      </c>
      <c r="I303" t="n">
        <v>9.9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37901-2023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45160</v>
      </c>
      <c r="E304" s="1" t="n">
        <v>46250</v>
      </c>
      <c r="F304" t="inlineStr">
        <is>
          <t>VÄSTERBOTTENS LÄN</t>
        </is>
      </c>
      <c r="G304" t="inlineStr">
        <is>
          <t>ROBERTSFORS</t>
        </is>
      </c>
      <c r="H304" t="inlineStr">
        <is>
          <t>Holmen skog AB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13533-2023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45005</v>
      </c>
      <c r="E305" s="1" t="n">
        <v>46250</v>
      </c>
      <c r="F305" t="inlineStr">
        <is>
          <t>VÄSTERBOTTENS LÄN</t>
        </is>
      </c>
      <c r="G305" t="inlineStr">
        <is>
          <t>ROBERTSFORS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41914-2024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45561</v>
      </c>
      <c r="E306" s="1" t="n">
        <v>46250</v>
      </c>
      <c r="F306" t="inlineStr">
        <is>
          <t>VÄSTERBOTTENS LÄN</t>
        </is>
      </c>
      <c r="G306" t="inlineStr">
        <is>
          <t>ROBERTSFORS</t>
        </is>
      </c>
      <c r="I306" t="n">
        <v>6.4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5288-2026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46050</v>
      </c>
      <c r="E307" s="1" t="n">
        <v>46250</v>
      </c>
      <c r="F307" t="inlineStr">
        <is>
          <t>VÄSTERBOTTENS LÄN</t>
        </is>
      </c>
      <c r="G307" t="inlineStr">
        <is>
          <t>ROBERTSFORS</t>
        </is>
      </c>
      <c r="I307" t="n">
        <v>6.8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59032-2024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45636</v>
      </c>
      <c r="E308" s="1" t="n">
        <v>46250</v>
      </c>
      <c r="F308" t="inlineStr">
        <is>
          <t>VÄSTERBOTTENS LÄN</t>
        </is>
      </c>
      <c r="G308" t="inlineStr">
        <is>
          <t>ROBERTSFORS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46050</v>
      </c>
      <c r="E309" s="1" t="n">
        <v>46250</v>
      </c>
      <c r="F309" t="inlineStr">
        <is>
          <t>VÄSTERBOTTENS LÄN</t>
        </is>
      </c>
      <c r="G309" t="inlineStr">
        <is>
          <t>ROBERTSFORS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46050</v>
      </c>
      <c r="E310" s="1" t="n">
        <v>46250</v>
      </c>
      <c r="F310" t="inlineStr">
        <is>
          <t>VÄSTERBOTTENS LÄN</t>
        </is>
      </c>
      <c r="G310" t="inlineStr">
        <is>
          <t>ROBERTSFORS</t>
        </is>
      </c>
      <c r="I310" t="n">
        <v>3.2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55417-2023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45238</v>
      </c>
      <c r="E311" s="1" t="n">
        <v>46250</v>
      </c>
      <c r="F311" t="inlineStr">
        <is>
          <t>VÄSTERBOTTENS LÄN</t>
        </is>
      </c>
      <c r="G311" t="inlineStr">
        <is>
          <t>ROBERTSFORS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13187-2023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45002</v>
      </c>
      <c r="E312" s="1" t="n">
        <v>46250</v>
      </c>
      <c r="F312" t="inlineStr">
        <is>
          <t>VÄSTERBOTTENS LÄN</t>
        </is>
      </c>
      <c r="G312" t="inlineStr">
        <is>
          <t>ROBERTSFORS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20423-2026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46140</v>
      </c>
      <c r="E313" s="1" t="n">
        <v>46250</v>
      </c>
      <c r="F313" t="inlineStr">
        <is>
          <t>VÄSTERBOTTENS LÄN</t>
        </is>
      </c>
      <c r="G313" t="inlineStr">
        <is>
          <t>ROBERTSFORS</t>
        </is>
      </c>
      <c r="H313" t="inlineStr">
        <is>
          <t>Holmen skog AB</t>
        </is>
      </c>
      <c r="I313" t="n">
        <v>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55469-2021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44475</v>
      </c>
      <c r="E314" s="1" t="n">
        <v>46250</v>
      </c>
      <c r="F314" t="inlineStr">
        <is>
          <t>VÄSTERBOTTENS LÄN</t>
        </is>
      </c>
      <c r="G314" t="inlineStr">
        <is>
          <t>ROBERTSFORS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26797-2023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45090</v>
      </c>
      <c r="E315" s="1" t="n">
        <v>46250</v>
      </c>
      <c r="F315" t="inlineStr">
        <is>
          <t>VÄSTERBOTTENS LÄN</t>
        </is>
      </c>
      <c r="G315" t="inlineStr">
        <is>
          <t>ROBERTSFORS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36449-2024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45537</v>
      </c>
      <c r="E316" s="1" t="n">
        <v>46250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Holmen skog AB</t>
        </is>
      </c>
      <c r="I316" t="n">
        <v>2.9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33821-2023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45133</v>
      </c>
      <c r="E317" s="1" t="n">
        <v>46250</v>
      </c>
      <c r="F317" t="inlineStr">
        <is>
          <t>VÄSTERBOTTENS LÄN</t>
        </is>
      </c>
      <c r="G317" t="inlineStr">
        <is>
          <t>ROBERTSFORS</t>
        </is>
      </c>
      <c r="H317" t="inlineStr">
        <is>
          <t>Holmen skog AB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35149-2023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45145</v>
      </c>
      <c r="E318" s="1" t="n">
        <v>46250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2.5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7170-2026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46058</v>
      </c>
      <c r="E319" s="1" t="n">
        <v>46250</v>
      </c>
      <c r="F319" t="inlineStr">
        <is>
          <t>VÄSTERBOTTENS LÄN</t>
        </is>
      </c>
      <c r="G319" t="inlineStr">
        <is>
          <t>ROBERTSFORS</t>
        </is>
      </c>
      <c r="H319" t="inlineStr">
        <is>
          <t>Holmen skog AB</t>
        </is>
      </c>
      <c r="I319" t="n">
        <v>2.9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7499-2026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46059</v>
      </c>
      <c r="E320" s="1" t="n">
        <v>46250</v>
      </c>
      <c r="F320" t="inlineStr">
        <is>
          <t>VÄSTERBOTTENS LÄN</t>
        </is>
      </c>
      <c r="G320" t="inlineStr">
        <is>
          <t>ROBERTSFORS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7482-2026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46059</v>
      </c>
      <c r="E321" s="1" t="n">
        <v>46250</v>
      </c>
      <c r="F321" t="inlineStr">
        <is>
          <t>VÄSTERBOTTENS LÄN</t>
        </is>
      </c>
      <c r="G321" t="inlineStr">
        <is>
          <t>ROBERTSFORS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46969-2025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45929</v>
      </c>
      <c r="E322" s="1" t="n">
        <v>46250</v>
      </c>
      <c r="F322" t="inlineStr">
        <is>
          <t>VÄSTERBOTTENS LÄN</t>
        </is>
      </c>
      <c r="G322" t="inlineStr">
        <is>
          <t>ROBERTSFORS</t>
        </is>
      </c>
      <c r="H322" t="inlineStr">
        <is>
          <t>Holmen skog AB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59256-2022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44904</v>
      </c>
      <c r="E323" s="1" t="n">
        <v>46250</v>
      </c>
      <c r="F323" t="inlineStr">
        <is>
          <t>VÄSTERBOTTENS LÄN</t>
        </is>
      </c>
      <c r="G323" t="inlineStr">
        <is>
          <t>ROBERTSFORS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8090-2026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46063</v>
      </c>
      <c r="E324" s="1" t="n">
        <v>46250</v>
      </c>
      <c r="F324" t="inlineStr">
        <is>
          <t>VÄSTERBOTTENS LÄN</t>
        </is>
      </c>
      <c r="G324" t="inlineStr">
        <is>
          <t>ROBERTSFORS</t>
        </is>
      </c>
      <c r="I324" t="n">
        <v>3.5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29939-2025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45826</v>
      </c>
      <c r="E325" s="1" t="n">
        <v>46250</v>
      </c>
      <c r="F325" t="inlineStr">
        <is>
          <t>VÄSTERBOTTENS LÄN</t>
        </is>
      </c>
      <c r="G325" t="inlineStr">
        <is>
          <t>ROBERTSFORS</t>
        </is>
      </c>
      <c r="I325" t="n">
        <v>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20355-2026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46139</v>
      </c>
      <c r="E326" s="1" t="n">
        <v>46250</v>
      </c>
      <c r="F326" t="inlineStr">
        <is>
          <t>VÄSTERBOTTENS LÄN</t>
        </is>
      </c>
      <c r="G326" t="inlineStr">
        <is>
          <t>ROBERTSFORS</t>
        </is>
      </c>
      <c r="I326" t="n">
        <v>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8484-2026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46065</v>
      </c>
      <c r="E327" s="1" t="n">
        <v>46250</v>
      </c>
      <c r="F327" t="inlineStr">
        <is>
          <t>VÄSTERBOTTENS LÄN</t>
        </is>
      </c>
      <c r="G327" t="inlineStr">
        <is>
          <t>ROBERTSFORS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8472-2026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46065</v>
      </c>
      <c r="E328" s="1" t="n">
        <v>46250</v>
      </c>
      <c r="F328" t="inlineStr">
        <is>
          <t>VÄSTERBOTTENS LÄN</t>
        </is>
      </c>
      <c r="G328" t="inlineStr">
        <is>
          <t>ROBERTSFORS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35313-2023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45146</v>
      </c>
      <c r="E329" s="1" t="n">
        <v>46250</v>
      </c>
      <c r="F329" t="inlineStr">
        <is>
          <t>VÄSTERBOTTENS LÄN</t>
        </is>
      </c>
      <c r="G329" t="inlineStr">
        <is>
          <t>ROBERTSFORS</t>
        </is>
      </c>
      <c r="H329" t="inlineStr">
        <is>
          <t>Holmen skog AB</t>
        </is>
      </c>
      <c r="I329" t="n">
        <v>2.4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47413-2025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45930</v>
      </c>
      <c r="E330" s="1" t="n">
        <v>46250</v>
      </c>
      <c r="F330" t="inlineStr">
        <is>
          <t>VÄSTERBOTTENS LÄN</t>
        </is>
      </c>
      <c r="G330" t="inlineStr">
        <is>
          <t>ROBERTSFORS</t>
        </is>
      </c>
      <c r="I330" t="n">
        <v>2.7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3046-2025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45678</v>
      </c>
      <c r="E331" s="1" t="n">
        <v>46250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Holmen skog AB</t>
        </is>
      </c>
      <c r="I331" t="n">
        <v>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35222-2024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45530</v>
      </c>
      <c r="E332" s="1" t="n">
        <v>46250</v>
      </c>
      <c r="F332" t="inlineStr">
        <is>
          <t>VÄSTERBOTTENS LÄN</t>
        </is>
      </c>
      <c r="G332" t="inlineStr">
        <is>
          <t>ROBERTSFORS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1713-2024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45307</v>
      </c>
      <c r="E333" s="1" t="n">
        <v>46250</v>
      </c>
      <c r="F333" t="inlineStr">
        <is>
          <t>VÄSTERBOTTENS LÄN</t>
        </is>
      </c>
      <c r="G333" t="inlineStr">
        <is>
          <t>ROBERTSFORS</t>
        </is>
      </c>
      <c r="I333" t="n">
        <v>12.1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10258-2026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46076</v>
      </c>
      <c r="E334" s="1" t="n">
        <v>46250</v>
      </c>
      <c r="F334" t="inlineStr">
        <is>
          <t>VÄSTERBOTTENS LÄN</t>
        </is>
      </c>
      <c r="G334" t="inlineStr">
        <is>
          <t>ROBERTSFORS</t>
        </is>
      </c>
      <c r="I334" t="n">
        <v>10.8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46388-2023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45197</v>
      </c>
      <c r="E335" s="1" t="n">
        <v>46250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676-2025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45664</v>
      </c>
      <c r="E336" s="1" t="n">
        <v>46250</v>
      </c>
      <c r="F336" t="inlineStr">
        <is>
          <t>VÄSTERBOTTENS LÄN</t>
        </is>
      </c>
      <c r="G336" t="inlineStr">
        <is>
          <t>ROBERTSFORS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45659</v>
      </c>
      <c r="E337" s="1" t="n">
        <v>46250</v>
      </c>
      <c r="F337" t="inlineStr">
        <is>
          <t>VÄSTERBOTTENS LÄN</t>
        </is>
      </c>
      <c r="G337" t="inlineStr">
        <is>
          <t>ROBERTSFORS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22257-2023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45070</v>
      </c>
      <c r="E338" s="1" t="n">
        <v>46250</v>
      </c>
      <c r="F338" t="inlineStr">
        <is>
          <t>VÄSTERBOTTENS LÄN</t>
        </is>
      </c>
      <c r="G338" t="inlineStr">
        <is>
          <t>ROBERTSFORS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20644-2026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46141</v>
      </c>
      <c r="E339" s="1" t="n">
        <v>46250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Holmen skog AB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26791-2023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45090</v>
      </c>
      <c r="E340" s="1" t="n">
        <v>46250</v>
      </c>
      <c r="F340" t="inlineStr">
        <is>
          <t>VÄSTERBOTTENS LÄN</t>
        </is>
      </c>
      <c r="G340" t="inlineStr">
        <is>
          <t>ROBERTSFORS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58526-2023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45251</v>
      </c>
      <c r="E341" s="1" t="n">
        <v>46250</v>
      </c>
      <c r="F341" t="inlineStr">
        <is>
          <t>VÄSTERBOTTENS LÄN</t>
        </is>
      </c>
      <c r="G341" t="inlineStr">
        <is>
          <t>ROBERTSFORS</t>
        </is>
      </c>
      <c r="H341" t="inlineStr">
        <is>
          <t>Holmen skog AB</t>
        </is>
      </c>
      <c r="I341" t="n">
        <v>13.9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21176-2026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46146</v>
      </c>
      <c r="E342" s="1" t="n">
        <v>46250</v>
      </c>
      <c r="F342" t="inlineStr">
        <is>
          <t>VÄSTERBOTTENS LÄN</t>
        </is>
      </c>
      <c r="G342" t="inlineStr">
        <is>
          <t>ROBERTSFORS</t>
        </is>
      </c>
      <c r="H342" t="inlineStr">
        <is>
          <t>Holmen skog AB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59833-2022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44901</v>
      </c>
      <c r="E343" s="1" t="n">
        <v>46250</v>
      </c>
      <c r="F343" t="inlineStr">
        <is>
          <t>VÄSTERBOTTENS LÄN</t>
        </is>
      </c>
      <c r="G343" t="inlineStr">
        <is>
          <t>ROBERTSFORS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35787-2023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45148</v>
      </c>
      <c r="E344" s="1" t="n">
        <v>46250</v>
      </c>
      <c r="F344" t="inlineStr">
        <is>
          <t>VÄSTERBOTTENS LÄN</t>
        </is>
      </c>
      <c r="G344" t="inlineStr">
        <is>
          <t>ROBERTSFORS</t>
        </is>
      </c>
      <c r="H344" t="inlineStr">
        <is>
          <t>Holmen skog AB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58790-2022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44895</v>
      </c>
      <c r="E345" s="1" t="n">
        <v>46250</v>
      </c>
      <c r="F345" t="inlineStr">
        <is>
          <t>VÄSTERBOTTENS LÄN</t>
        </is>
      </c>
      <c r="G345" t="inlineStr">
        <is>
          <t>ROBERTSFORS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21030-2026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46146</v>
      </c>
      <c r="E346" s="1" t="n">
        <v>46250</v>
      </c>
      <c r="F346" t="inlineStr">
        <is>
          <t>VÄSTERBOTTENS LÄN</t>
        </is>
      </c>
      <c r="G346" t="inlineStr">
        <is>
          <t>ROBERTSFORS</t>
        </is>
      </c>
      <c r="I346" t="n">
        <v>4.9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21512-2026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46148</v>
      </c>
      <c r="E347" s="1" t="n">
        <v>46250</v>
      </c>
      <c r="F347" t="inlineStr">
        <is>
          <t>VÄSTERBOTTENS LÄN</t>
        </is>
      </c>
      <c r="G347" t="inlineStr">
        <is>
          <t>ROBERTSFORS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45695</v>
      </c>
      <c r="E348" s="1" t="n">
        <v>46250</v>
      </c>
      <c r="F348" t="inlineStr">
        <is>
          <t>VÄSTERBOTTENS LÄN</t>
        </is>
      </c>
      <c r="G348" t="inlineStr">
        <is>
          <t>ROBERTSFORS</t>
        </is>
      </c>
      <c r="I348" t="n">
        <v>6.8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10188-2023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44980</v>
      </c>
      <c r="E349" s="1" t="n">
        <v>46250</v>
      </c>
      <c r="F349" t="inlineStr">
        <is>
          <t>VÄSTERBOTTENS LÄN</t>
        </is>
      </c>
      <c r="G349" t="inlineStr">
        <is>
          <t>ROBERTSFORS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34434-2024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45525</v>
      </c>
      <c r="E350" s="1" t="n">
        <v>46250</v>
      </c>
      <c r="F350" t="inlineStr">
        <is>
          <t>VÄSTERBOTTENS LÄN</t>
        </is>
      </c>
      <c r="G350" t="inlineStr">
        <is>
          <t>ROBERTSFORS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21907-2026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46150</v>
      </c>
      <c r="E351" s="1" t="n">
        <v>46250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34029-2023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45135</v>
      </c>
      <c r="E352" s="1" t="n">
        <v>46250</v>
      </c>
      <c r="F352" t="inlineStr">
        <is>
          <t>VÄSTERBOTTENS LÄN</t>
        </is>
      </c>
      <c r="G352" t="inlineStr">
        <is>
          <t>ROBERTSFORS</t>
        </is>
      </c>
      <c r="H352" t="inlineStr">
        <is>
          <t>Holmen skog AB</t>
        </is>
      </c>
      <c r="I352" t="n">
        <v>1.6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38480-2023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45162</v>
      </c>
      <c r="E353" s="1" t="n">
        <v>46250</v>
      </c>
      <c r="F353" t="inlineStr">
        <is>
          <t>VÄSTERBOTTENS LÄN</t>
        </is>
      </c>
      <c r="G353" t="inlineStr">
        <is>
          <t>ROBERTSFORS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10234-2024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45365</v>
      </c>
      <c r="E354" s="1" t="n">
        <v>46250</v>
      </c>
      <c r="F354" t="inlineStr">
        <is>
          <t>VÄSTERBOTTENS LÄN</t>
        </is>
      </c>
      <c r="G354" t="inlineStr">
        <is>
          <t>ROBERTSFORS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54344-2024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45617</v>
      </c>
      <c r="E355" s="1" t="n">
        <v>46250</v>
      </c>
      <c r="F355" t="inlineStr">
        <is>
          <t>VÄSTERBOTTENS LÄN</t>
        </is>
      </c>
      <c r="G355" t="inlineStr">
        <is>
          <t>ROBERTSFORS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54395-2024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45617</v>
      </c>
      <c r="E356" s="1" t="n">
        <v>46250</v>
      </c>
      <c r="F356" t="inlineStr">
        <is>
          <t>VÄSTERBOTTENS LÄN</t>
        </is>
      </c>
      <c r="G356" t="inlineStr">
        <is>
          <t>ROBERTSFORS</t>
        </is>
      </c>
      <c r="H356" t="inlineStr">
        <is>
          <t>Holmen skog AB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21971-2026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46250</v>
      </c>
      <c r="F357" t="inlineStr">
        <is>
          <t>VÄSTERBOTTENS LÄN</t>
        </is>
      </c>
      <c r="G357" t="inlineStr">
        <is>
          <t>ROBERTSFORS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10330-2024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45365</v>
      </c>
      <c r="E358" s="1" t="n">
        <v>46250</v>
      </c>
      <c r="F358" t="inlineStr">
        <is>
          <t>VÄSTERBOTTENS LÄN</t>
        </is>
      </c>
      <c r="G358" t="inlineStr">
        <is>
          <t>ROBERTSFORS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22076-2026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46153</v>
      </c>
      <c r="E359" s="1" t="n">
        <v>46250</v>
      </c>
      <c r="F359" t="inlineStr">
        <is>
          <t>VÄSTERBOTTENS LÄN</t>
        </is>
      </c>
      <c r="G359" t="inlineStr">
        <is>
          <t>ROBERTSFORS</t>
        </is>
      </c>
      <c r="H359" t="inlineStr">
        <is>
          <t>Holmen skog AB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52832-2024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45610</v>
      </c>
      <c r="E360" s="1" t="n">
        <v>46250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SCA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10334-2023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44980</v>
      </c>
      <c r="E361" s="1" t="n">
        <v>46250</v>
      </c>
      <c r="F361" t="inlineStr">
        <is>
          <t>VÄSTERBOTTENS LÄN</t>
        </is>
      </c>
      <c r="G361" t="inlineStr">
        <is>
          <t>ROBERTSFORS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22011-2026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46153</v>
      </c>
      <c r="E362" s="1" t="n">
        <v>46250</v>
      </c>
      <c r="F362" t="inlineStr">
        <is>
          <t>VÄSTERBOTTENS LÄN</t>
        </is>
      </c>
      <c r="G362" t="inlineStr">
        <is>
          <t>ROBERTSFORS</t>
        </is>
      </c>
      <c r="I362" t="n">
        <v>4.7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21995-2026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46153</v>
      </c>
      <c r="E363" s="1" t="n">
        <v>46250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Holmen skog AB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22436-2026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46155</v>
      </c>
      <c r="E364" s="1" t="n">
        <v>46250</v>
      </c>
      <c r="F364" t="inlineStr">
        <is>
          <t>VÄSTERBOTTENS LÄN</t>
        </is>
      </c>
      <c r="G364" t="inlineStr">
        <is>
          <t>ROBERTSFORS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4227-2023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44953</v>
      </c>
      <c r="E365" s="1" t="n">
        <v>46250</v>
      </c>
      <c r="F365" t="inlineStr">
        <is>
          <t>VÄSTERBOTTENS LÄN</t>
        </is>
      </c>
      <c r="G365" t="inlineStr">
        <is>
          <t>ROBERTSFORS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22657-2026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46155</v>
      </c>
      <c r="E366" s="1" t="n">
        <v>46250</v>
      </c>
      <c r="F366" t="inlineStr">
        <is>
          <t>VÄSTERBOTTENS LÄN</t>
        </is>
      </c>
      <c r="G366" t="inlineStr">
        <is>
          <t>ROBERTSFORS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50187-2023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45215</v>
      </c>
      <c r="E367" s="1" t="n">
        <v>46250</v>
      </c>
      <c r="F367" t="inlineStr">
        <is>
          <t>VÄSTERBOTTENS LÄN</t>
        </is>
      </c>
      <c r="G367" t="inlineStr">
        <is>
          <t>ROBERTSFORS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977-2022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44571</v>
      </c>
      <c r="E368" s="1" t="n">
        <v>46250</v>
      </c>
      <c r="F368" t="inlineStr">
        <is>
          <t>VÄSTERBOTTENS LÄN</t>
        </is>
      </c>
      <c r="G368" t="inlineStr">
        <is>
          <t>ROBERTSFORS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47420-2024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45587</v>
      </c>
      <c r="E369" s="1" t="n">
        <v>46250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SCA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4618-2025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45687</v>
      </c>
      <c r="E370" s="1" t="n">
        <v>46250</v>
      </c>
      <c r="F370" t="inlineStr">
        <is>
          <t>VÄSTERBOTTENS LÄN</t>
        </is>
      </c>
      <c r="G370" t="inlineStr">
        <is>
          <t>ROBERTSFORS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22934-2026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46160</v>
      </c>
      <c r="E371" s="1" t="n">
        <v>46250</v>
      </c>
      <c r="F371" t="inlineStr">
        <is>
          <t>VÄSTERBOTTENS LÄN</t>
        </is>
      </c>
      <c r="G371" t="inlineStr">
        <is>
          <t>ROBERTSFORS</t>
        </is>
      </c>
      <c r="H371" t="inlineStr">
        <is>
          <t>Holmen skog AB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38120-2024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45545</v>
      </c>
      <c r="E372" s="1" t="n">
        <v>46250</v>
      </c>
      <c r="F372" t="inlineStr">
        <is>
          <t>VÄSTERBOTTENS LÄN</t>
        </is>
      </c>
      <c r="G372" t="inlineStr">
        <is>
          <t>ROBERTSFORS</t>
        </is>
      </c>
      <c r="I372" t="n">
        <v>5.7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22880-2026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46160</v>
      </c>
      <c r="E373" s="1" t="n">
        <v>46250</v>
      </c>
      <c r="F373" t="inlineStr">
        <is>
          <t>VÄSTERBOTTENS LÄN</t>
        </is>
      </c>
      <c r="G373" t="inlineStr">
        <is>
          <t>ROBERTSFORS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22929-2026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46160</v>
      </c>
      <c r="E374" s="1" t="n">
        <v>46250</v>
      </c>
      <c r="F374" t="inlineStr">
        <is>
          <t>VÄSTERBOTTENS LÄN</t>
        </is>
      </c>
      <c r="G374" t="inlineStr">
        <is>
          <t>ROBERTSFORS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58679-2024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45635</v>
      </c>
      <c r="E375" s="1" t="n">
        <v>46250</v>
      </c>
      <c r="F375" t="inlineStr">
        <is>
          <t>VÄSTERBOTTENS LÄN</t>
        </is>
      </c>
      <c r="G375" t="inlineStr">
        <is>
          <t>ROBERTSFORS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56724-2024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45628</v>
      </c>
      <c r="E376" s="1" t="n">
        <v>46250</v>
      </c>
      <c r="F376" t="inlineStr">
        <is>
          <t>VÄSTERBOTTENS LÄN</t>
        </is>
      </c>
      <c r="G376" t="inlineStr">
        <is>
          <t>ROBERTSFORS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59211-2023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45251</v>
      </c>
      <c r="E377" s="1" t="n">
        <v>46250</v>
      </c>
      <c r="F377" t="inlineStr">
        <is>
          <t>VÄSTERBOTTENS LÄN</t>
        </is>
      </c>
      <c r="G377" t="inlineStr">
        <is>
          <t>ROBERTSFORS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15879-2024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45405</v>
      </c>
      <c r="E378" s="1" t="n">
        <v>46250</v>
      </c>
      <c r="F378" t="inlineStr">
        <is>
          <t>VÄSTERBOTTENS LÄN</t>
        </is>
      </c>
      <c r="G378" t="inlineStr">
        <is>
          <t>ROBERTSFORS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31058-2024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45502</v>
      </c>
      <c r="E379" s="1" t="n">
        <v>46250</v>
      </c>
      <c r="F379" t="inlineStr">
        <is>
          <t>VÄSTERBOTTENS LÄN</t>
        </is>
      </c>
      <c r="G379" t="inlineStr">
        <is>
          <t>ROBERTSFORS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59877-2022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44901</v>
      </c>
      <c r="E380" s="1" t="n">
        <v>46250</v>
      </c>
      <c r="F380" t="inlineStr">
        <is>
          <t>VÄSTERBOTTENS LÄN</t>
        </is>
      </c>
      <c r="G380" t="inlineStr">
        <is>
          <t>ROBERTSFORS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60570-2024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45644</v>
      </c>
      <c r="E381" s="1" t="n">
        <v>46250</v>
      </c>
      <c r="F381" t="inlineStr">
        <is>
          <t>VÄSTERBOTTENS LÄN</t>
        </is>
      </c>
      <c r="G381" t="inlineStr">
        <is>
          <t>ROBERTSFORS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57008-2024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45628</v>
      </c>
      <c r="E382" s="1" t="n">
        <v>46250</v>
      </c>
      <c r="F382" t="inlineStr">
        <is>
          <t>VÄSTERBOTTENS LÄN</t>
        </is>
      </c>
      <c r="G382" t="inlineStr">
        <is>
          <t>ROBERTSFORS</t>
        </is>
      </c>
      <c r="I382" t="n">
        <v>12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38083-2023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45160</v>
      </c>
      <c r="E383" s="1" t="n">
        <v>46250</v>
      </c>
      <c r="F383" t="inlineStr">
        <is>
          <t>VÄSTERBOTTENS LÄN</t>
        </is>
      </c>
      <c r="G383" t="inlineStr">
        <is>
          <t>ROBERTSFORS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38352-2023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45161</v>
      </c>
      <c r="E384" s="1" t="n">
        <v>46250</v>
      </c>
      <c r="F384" t="inlineStr">
        <is>
          <t>VÄSTERBOTTENS LÄN</t>
        </is>
      </c>
      <c r="G384" t="inlineStr">
        <is>
          <t>ROBERTSFORS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15294-2023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45019</v>
      </c>
      <c r="E385" s="1" t="n">
        <v>46250</v>
      </c>
      <c r="F385" t="inlineStr">
        <is>
          <t>VÄSTERBOTTENS LÄN</t>
        </is>
      </c>
      <c r="G385" t="inlineStr">
        <is>
          <t>ROBERTSFORS</t>
        </is>
      </c>
      <c r="I385" t="n">
        <v>9.9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58579-2023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45246</v>
      </c>
      <c r="E386" s="1" t="n">
        <v>46250</v>
      </c>
      <c r="F386" t="inlineStr">
        <is>
          <t>VÄSTERBOTTENS LÄN</t>
        </is>
      </c>
      <c r="G386" t="inlineStr">
        <is>
          <t>ROBERTSFORS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52834-2024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45610</v>
      </c>
      <c r="E387" s="1" t="n">
        <v>46250</v>
      </c>
      <c r="F387" t="inlineStr">
        <is>
          <t>VÄSTERBOTTENS LÄN</t>
        </is>
      </c>
      <c r="G387" t="inlineStr">
        <is>
          <t>ROBERTSFORS</t>
        </is>
      </c>
      <c r="H387" t="inlineStr">
        <is>
          <t>SCA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43946-2024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45572</v>
      </c>
      <c r="E388" s="1" t="n">
        <v>46250</v>
      </c>
      <c r="F388" t="inlineStr">
        <is>
          <t>VÄSTERBOTTENS LÄN</t>
        </is>
      </c>
      <c r="G388" t="inlineStr">
        <is>
          <t>ROBERTSFORS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58582-2023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45246</v>
      </c>
      <c r="E389" s="1" t="n">
        <v>46250</v>
      </c>
      <c r="F389" t="inlineStr">
        <is>
          <t>VÄSTERBOTTENS LÄN</t>
        </is>
      </c>
      <c r="G389" t="inlineStr">
        <is>
          <t>ROBERTSFORS</t>
        </is>
      </c>
      <c r="I389" t="n">
        <v>4.5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19378-2023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45049</v>
      </c>
      <c r="E390" s="1" t="n">
        <v>46250</v>
      </c>
      <c r="F390" t="inlineStr">
        <is>
          <t>VÄSTERBOTTENS LÄN</t>
        </is>
      </c>
      <c r="G390" t="inlineStr">
        <is>
          <t>ROBERTSFORS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15484-2023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45020</v>
      </c>
      <c r="E391" s="1" t="n">
        <v>46250</v>
      </c>
      <c r="F391" t="inlineStr">
        <is>
          <t>VÄSTERBOTTENS LÄN</t>
        </is>
      </c>
      <c r="G391" t="inlineStr">
        <is>
          <t>ROBERTSFORS</t>
        </is>
      </c>
      <c r="H391" t="inlineStr">
        <is>
          <t>Sveaskog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28906-2024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45480</v>
      </c>
      <c r="E392" s="1" t="n">
        <v>46250</v>
      </c>
      <c r="F392" t="inlineStr">
        <is>
          <t>VÄSTERBOTTENS LÄN</t>
        </is>
      </c>
      <c r="G392" t="inlineStr">
        <is>
          <t>ROBERTSFORS</t>
        </is>
      </c>
      <c r="I392" t="n">
        <v>3.5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34844-2023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45141</v>
      </c>
      <c r="E393" s="1" t="n">
        <v>46250</v>
      </c>
      <c r="F393" t="inlineStr">
        <is>
          <t>VÄSTERBOTTENS LÄN</t>
        </is>
      </c>
      <c r="G393" t="inlineStr">
        <is>
          <t>ROBERTSFORS</t>
        </is>
      </c>
      <c r="H393" t="inlineStr">
        <is>
          <t>Holmen skog AB</t>
        </is>
      </c>
      <c r="I393" t="n">
        <v>3.4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64625-2023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45281</v>
      </c>
      <c r="E394" s="1" t="n">
        <v>46250</v>
      </c>
      <c r="F394" t="inlineStr">
        <is>
          <t>VÄSTERBOTTENS LÄN</t>
        </is>
      </c>
      <c r="G394" t="inlineStr">
        <is>
          <t>ROBERTSFORS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26372-2024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45468</v>
      </c>
      <c r="E395" s="1" t="n">
        <v>46250</v>
      </c>
      <c r="F395" t="inlineStr">
        <is>
          <t>VÄSTERBOTTENS LÄN</t>
        </is>
      </c>
      <c r="G395" t="inlineStr">
        <is>
          <t>ROBERTSFORS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27852-2024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45475</v>
      </c>
      <c r="E396" s="1" t="n">
        <v>46250</v>
      </c>
      <c r="F396" t="inlineStr">
        <is>
          <t>VÄSTERBOTTENS LÄN</t>
        </is>
      </c>
      <c r="G396" t="inlineStr">
        <is>
          <t>ROBERTSFORS</t>
        </is>
      </c>
      <c r="I396" t="n">
        <v>10.5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52833-2024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45610</v>
      </c>
      <c r="E397" s="1" t="n">
        <v>46250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SCA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36139-2023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45149</v>
      </c>
      <c r="E398" s="1" t="n">
        <v>46250</v>
      </c>
      <c r="F398" t="inlineStr">
        <is>
          <t>VÄSTERBOTTENS LÄN</t>
        </is>
      </c>
      <c r="G398" t="inlineStr">
        <is>
          <t>ROBERTSFORS</t>
        </is>
      </c>
      <c r="H398" t="inlineStr">
        <is>
          <t>Holmen skog AB</t>
        </is>
      </c>
      <c r="I398" t="n">
        <v>3.9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27586-2024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45474</v>
      </c>
      <c r="E399" s="1" t="n">
        <v>46250</v>
      </c>
      <c r="F399" t="inlineStr">
        <is>
          <t>VÄSTERBOTTENS LÄN</t>
        </is>
      </c>
      <c r="G399" t="inlineStr">
        <is>
          <t>ROBERTSFORS</t>
        </is>
      </c>
      <c r="H399" t="inlineStr">
        <is>
          <t>Holmen skog AB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57646-2023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45246</v>
      </c>
      <c r="E400" s="1" t="n">
        <v>46250</v>
      </c>
      <c r="F400" t="inlineStr">
        <is>
          <t>VÄSTERBOTTENS LÄN</t>
        </is>
      </c>
      <c r="G400" t="inlineStr">
        <is>
          <t>ROBERTSFORS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45846-2024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45580</v>
      </c>
      <c r="E401" s="1" t="n">
        <v>46250</v>
      </c>
      <c r="F401" t="inlineStr">
        <is>
          <t>VÄSTERBOTTENS LÄN</t>
        </is>
      </c>
      <c r="G401" t="inlineStr">
        <is>
          <t>ROBERTSFORS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24468-2024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45458</v>
      </c>
      <c r="E402" s="1" t="n">
        <v>46250</v>
      </c>
      <c r="F402" t="inlineStr">
        <is>
          <t>VÄSTERBOTTENS LÄN</t>
        </is>
      </c>
      <c r="G402" t="inlineStr">
        <is>
          <t>ROBERTSFORS</t>
        </is>
      </c>
      <c r="I402" t="n">
        <v>7.3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24365-2026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46169</v>
      </c>
      <c r="E403" s="1" t="n">
        <v>46250</v>
      </c>
      <c r="F403" t="inlineStr">
        <is>
          <t>VÄSTERBOTTENS LÄN</t>
        </is>
      </c>
      <c r="G403" t="inlineStr">
        <is>
          <t>ROBERTSFORS</t>
        </is>
      </c>
      <c r="H403" t="inlineStr">
        <is>
          <t>Holmen skog AB</t>
        </is>
      </c>
      <c r="I403" t="n">
        <v>15.9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60225-2024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45642</v>
      </c>
      <c r="E404" s="1" t="n">
        <v>46250</v>
      </c>
      <c r="F404" t="inlineStr">
        <is>
          <t>VÄSTERBOTTENS LÄN</t>
        </is>
      </c>
      <c r="G404" t="inlineStr">
        <is>
          <t>ROBERTSFORS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73557-2021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44551</v>
      </c>
      <c r="E405" s="1" t="n">
        <v>46250</v>
      </c>
      <c r="F405" t="inlineStr">
        <is>
          <t>VÄSTERBOTTENS LÄN</t>
        </is>
      </c>
      <c r="G405" t="inlineStr">
        <is>
          <t>ROBERTSFORS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30643-2024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45495</v>
      </c>
      <c r="E406" s="1" t="n">
        <v>46250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13164-2024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45386</v>
      </c>
      <c r="E407" s="1" t="n">
        <v>46250</v>
      </c>
      <c r="F407" t="inlineStr">
        <is>
          <t>VÄSTERBOTTENS LÄN</t>
        </is>
      </c>
      <c r="G407" t="inlineStr">
        <is>
          <t>ROBERTSFORS</t>
        </is>
      </c>
      <c r="I407" t="n">
        <v>1.8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29622-2024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45484</v>
      </c>
      <c r="E408" s="1" t="n">
        <v>46250</v>
      </c>
      <c r="F408" t="inlineStr">
        <is>
          <t>VÄSTERBOTTENS LÄN</t>
        </is>
      </c>
      <c r="G408" t="inlineStr">
        <is>
          <t>ROBERTSFORS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24705-2026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46171</v>
      </c>
      <c r="E409" s="1" t="n">
        <v>46250</v>
      </c>
      <c r="F409" t="inlineStr">
        <is>
          <t>VÄSTERBOTTENS LÄN</t>
        </is>
      </c>
      <c r="G409" t="inlineStr">
        <is>
          <t>ROBERTSFORS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23631-2025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45792</v>
      </c>
      <c r="E410" s="1" t="n">
        <v>46250</v>
      </c>
      <c r="F410" t="inlineStr">
        <is>
          <t>VÄSTERBOTTENS LÄN</t>
        </is>
      </c>
      <c r="G410" t="inlineStr">
        <is>
          <t>ROBERTSFORS</t>
        </is>
      </c>
      <c r="I410" t="n">
        <v>10.1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23593-2025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45792</v>
      </c>
      <c r="E411" s="1" t="n">
        <v>46250</v>
      </c>
      <c r="F411" t="inlineStr">
        <is>
          <t>VÄSTERBOTTENS LÄN</t>
        </is>
      </c>
      <c r="G411" t="inlineStr">
        <is>
          <t>ROBERTSFORS</t>
        </is>
      </c>
      <c r="I411" t="n">
        <v>11.3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44372-2023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45188</v>
      </c>
      <c r="E412" s="1" t="n">
        <v>46250</v>
      </c>
      <c r="F412" t="inlineStr">
        <is>
          <t>VÄSTERBOTTENS LÄN</t>
        </is>
      </c>
      <c r="G412" t="inlineStr">
        <is>
          <t>ROBERTSFORS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18533-2023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45041</v>
      </c>
      <c r="E413" s="1" t="n">
        <v>46250</v>
      </c>
      <c r="F413" t="inlineStr">
        <is>
          <t>VÄSTERBOTTENS LÄN</t>
        </is>
      </c>
      <c r="G413" t="inlineStr">
        <is>
          <t>ROBERTSFORS</t>
        </is>
      </c>
      <c r="I413" t="n">
        <v>6.6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1117-2024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45302</v>
      </c>
      <c r="E414" s="1" t="n">
        <v>46250</v>
      </c>
      <c r="F414" t="inlineStr">
        <is>
          <t>VÄSTERBOTTENS LÄN</t>
        </is>
      </c>
      <c r="G414" t="inlineStr">
        <is>
          <t>ROBERTSFORS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24484-2026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46170</v>
      </c>
      <c r="E415" s="1" t="n">
        <v>46250</v>
      </c>
      <c r="F415" t="inlineStr">
        <is>
          <t>VÄSTERBOTTENS LÄN</t>
        </is>
      </c>
      <c r="G415" t="inlineStr">
        <is>
          <t>ROBERTSFORS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46663-2024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45583</v>
      </c>
      <c r="E416" s="1" t="n">
        <v>46250</v>
      </c>
      <c r="F416" t="inlineStr">
        <is>
          <t>VÄSTERBOTTENS LÄN</t>
        </is>
      </c>
      <c r="G416" t="inlineStr">
        <is>
          <t>ROBERTSFORS</t>
        </is>
      </c>
      <c r="I416" t="n">
        <v>9.6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24647-2026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46171</v>
      </c>
      <c r="E417" s="1" t="n">
        <v>46250</v>
      </c>
      <c r="F417" t="inlineStr">
        <is>
          <t>VÄSTERBOTTENS LÄN</t>
        </is>
      </c>
      <c r="G417" t="inlineStr">
        <is>
          <t>ROBERTSFORS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23961-2025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45794</v>
      </c>
      <c r="E418" s="1" t="n">
        <v>46250</v>
      </c>
      <c r="F418" t="inlineStr">
        <is>
          <t>VÄSTERBOTTENS LÄN</t>
        </is>
      </c>
      <c r="G418" t="inlineStr">
        <is>
          <t>ROBERTSFORS</t>
        </is>
      </c>
      <c r="I418" t="n">
        <v>7.3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15888-2024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45405</v>
      </c>
      <c r="E419" s="1" t="n">
        <v>46250</v>
      </c>
      <c r="F419" t="inlineStr">
        <is>
          <t>VÄSTERBOTTENS LÄN</t>
        </is>
      </c>
      <c r="G419" t="inlineStr">
        <is>
          <t>ROBERTSFORS</t>
        </is>
      </c>
      <c r="I419" t="n">
        <v>2.9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25847-2026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46176</v>
      </c>
      <c r="E420" s="1" t="n">
        <v>46250</v>
      </c>
      <c r="F420" t="inlineStr">
        <is>
          <t>VÄSTERBOTTENS LÄN</t>
        </is>
      </c>
      <c r="G420" t="inlineStr">
        <is>
          <t>ROBERTSFORS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13529-2023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45005</v>
      </c>
      <c r="E421" s="1" t="n">
        <v>46250</v>
      </c>
      <c r="F421" t="inlineStr">
        <is>
          <t>VÄSTERBOTTENS LÄN</t>
        </is>
      </c>
      <c r="G421" t="inlineStr">
        <is>
          <t>ROBERTSFORS</t>
        </is>
      </c>
      <c r="I421" t="n">
        <v>3.2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25154-2026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46175</v>
      </c>
      <c r="E422" s="1" t="n">
        <v>46250</v>
      </c>
      <c r="F422" t="inlineStr">
        <is>
          <t>VÄSTERBOTTENS LÄN</t>
        </is>
      </c>
      <c r="G422" t="inlineStr">
        <is>
          <t>ROBERTSFORS</t>
        </is>
      </c>
      <c r="I422" t="n">
        <v>5.1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18168-2025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45761</v>
      </c>
      <c r="E423" s="1" t="n">
        <v>46250</v>
      </c>
      <c r="F423" t="inlineStr">
        <is>
          <t>VÄSTERBOTTENS LÄN</t>
        </is>
      </c>
      <c r="G423" t="inlineStr">
        <is>
          <t>ROBERTSFORS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5902-2024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45335</v>
      </c>
      <c r="E424" s="1" t="n">
        <v>46250</v>
      </c>
      <c r="F424" t="inlineStr">
        <is>
          <t>VÄSTERBOTTENS LÄN</t>
        </is>
      </c>
      <c r="G424" t="inlineStr">
        <is>
          <t>ROBERTSFORS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25333-2025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45800</v>
      </c>
      <c r="E425" s="1" t="n">
        <v>46250</v>
      </c>
      <c r="F425" t="inlineStr">
        <is>
          <t>VÄSTERBOTTENS LÄN</t>
        </is>
      </c>
      <c r="G425" t="inlineStr">
        <is>
          <t>ROBERTSFORS</t>
        </is>
      </c>
      <c r="I425" t="n">
        <v>6.4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25572-2023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45082</v>
      </c>
      <c r="E426" s="1" t="n">
        <v>46250</v>
      </c>
      <c r="F426" t="inlineStr">
        <is>
          <t>VÄSTERBOTTENS LÄN</t>
        </is>
      </c>
      <c r="G426" t="inlineStr">
        <is>
          <t>ROBERTSFORS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25588-2026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46177</v>
      </c>
      <c r="E427" s="1" t="n">
        <v>46250</v>
      </c>
      <c r="F427" t="inlineStr">
        <is>
          <t>VÄSTERBOTTENS LÄN</t>
        </is>
      </c>
      <c r="G427" t="inlineStr">
        <is>
          <t>ROBERTSFORS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25201-2025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45800</v>
      </c>
      <c r="E428" s="1" t="n">
        <v>46250</v>
      </c>
      <c r="F428" t="inlineStr">
        <is>
          <t>VÄSTERBOTTENS LÄN</t>
        </is>
      </c>
      <c r="G428" t="inlineStr">
        <is>
          <t>ROBERTSFORS</t>
        </is>
      </c>
      <c r="I428" t="n">
        <v>6.1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8681-2025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45712</v>
      </c>
      <c r="E429" s="1" t="n">
        <v>46250</v>
      </c>
      <c r="F429" t="inlineStr">
        <is>
          <t>VÄSTERBOTTENS LÄN</t>
        </is>
      </c>
      <c r="G429" t="inlineStr">
        <is>
          <t>ROBERTSFORS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32434-2024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45512</v>
      </c>
      <c r="E430" s="1" t="n">
        <v>46250</v>
      </c>
      <c r="F430" t="inlineStr">
        <is>
          <t>VÄSTERBOTTENS LÄN</t>
        </is>
      </c>
      <c r="G430" t="inlineStr">
        <is>
          <t>ROBERTSFORS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3042-2025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45678</v>
      </c>
      <c r="E431" s="1" t="n">
        <v>46250</v>
      </c>
      <c r="F431" t="inlineStr">
        <is>
          <t>VÄSTERBOTTENS LÄN</t>
        </is>
      </c>
      <c r="G431" t="inlineStr">
        <is>
          <t>ROBERTSFORS</t>
        </is>
      </c>
      <c r="H431" t="inlineStr">
        <is>
          <t>Holmen skog AB</t>
        </is>
      </c>
      <c r="I431" t="n">
        <v>9.4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25373-2025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45800</v>
      </c>
      <c r="E432" s="1" t="n">
        <v>46250</v>
      </c>
      <c r="F432" t="inlineStr">
        <is>
          <t>VÄSTERBOTTENS LÄN</t>
        </is>
      </c>
      <c r="G432" t="inlineStr">
        <is>
          <t>ROBERTSFORS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43095-2023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45182</v>
      </c>
      <c r="E433" s="1" t="n">
        <v>46250</v>
      </c>
      <c r="F433" t="inlineStr">
        <is>
          <t>VÄSTERBOTTENS LÄN</t>
        </is>
      </c>
      <c r="G433" t="inlineStr">
        <is>
          <t>ROBERTSFORS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25579-2025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45803</v>
      </c>
      <c r="E434" s="1" t="n">
        <v>46250</v>
      </c>
      <c r="F434" t="inlineStr">
        <is>
          <t>VÄSTERBOTTENS LÄN</t>
        </is>
      </c>
      <c r="G434" t="inlineStr">
        <is>
          <t>ROBERTSFORS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25577-2025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45803</v>
      </c>
      <c r="E435" s="1" t="n">
        <v>46250</v>
      </c>
      <c r="F435" t="inlineStr">
        <is>
          <t>VÄSTERBOTTENS LÄN</t>
        </is>
      </c>
      <c r="G435" t="inlineStr">
        <is>
          <t>ROBERTSFORS</t>
        </is>
      </c>
      <c r="I435" t="n">
        <v>1.8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23647-2024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45454</v>
      </c>
      <c r="E436" s="1" t="n">
        <v>46250</v>
      </c>
      <c r="F436" t="inlineStr">
        <is>
          <t>VÄSTERBOTTENS LÄN</t>
        </is>
      </c>
      <c r="G436" t="inlineStr">
        <is>
          <t>ROBERTSFORS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16872-2026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46113</v>
      </c>
      <c r="E437" s="1" t="n">
        <v>46250</v>
      </c>
      <c r="F437" t="inlineStr">
        <is>
          <t>VÄSTERBOTTENS LÄN</t>
        </is>
      </c>
      <c r="G437" t="inlineStr">
        <is>
          <t>ROBERTSFORS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25845-2026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46178</v>
      </c>
      <c r="E438" s="1" t="n">
        <v>46250</v>
      </c>
      <c r="F438" t="inlineStr">
        <is>
          <t>VÄSTERBOTTENS LÄN</t>
        </is>
      </c>
      <c r="G438" t="inlineStr">
        <is>
          <t>ROBERTSFORS</t>
        </is>
      </c>
      <c r="I438" t="n">
        <v>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39789-2024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45553</v>
      </c>
      <c r="E439" s="1" t="n">
        <v>46250</v>
      </c>
      <c r="F439" t="inlineStr">
        <is>
          <t>VÄSTERBOTTENS LÄN</t>
        </is>
      </c>
      <c r="G439" t="inlineStr">
        <is>
          <t>ROBERTSFORS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6994-2025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45701</v>
      </c>
      <c r="E440" s="1" t="n">
        <v>46250</v>
      </c>
      <c r="F440" t="inlineStr">
        <is>
          <t>VÄSTERBOTTENS LÄN</t>
        </is>
      </c>
      <c r="G440" t="inlineStr">
        <is>
          <t>ROBERTSFORS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4602-2025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45687</v>
      </c>
      <c r="E441" s="1" t="n">
        <v>46250</v>
      </c>
      <c r="F441" t="inlineStr">
        <is>
          <t>VÄSTERBOTTENS LÄN</t>
        </is>
      </c>
      <c r="G441" t="inlineStr">
        <is>
          <t>ROBERTSFORS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45157-2023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45191</v>
      </c>
      <c r="E442" s="1" t="n">
        <v>46250</v>
      </c>
      <c r="F442" t="inlineStr">
        <is>
          <t>VÄSTERBOTTENS LÄN</t>
        </is>
      </c>
      <c r="G442" t="inlineStr">
        <is>
          <t>ROBERTSFORS</t>
        </is>
      </c>
      <c r="I442" t="n">
        <v>2.7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2707-2022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44580</v>
      </c>
      <c r="E443" s="1" t="n">
        <v>46250</v>
      </c>
      <c r="F443" t="inlineStr">
        <is>
          <t>VÄSTERBOTTENS LÄN</t>
        </is>
      </c>
      <c r="G443" t="inlineStr">
        <is>
          <t>ROBERTSFORS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59028-2024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45636</v>
      </c>
      <c r="E444" s="1" t="n">
        <v>46250</v>
      </c>
      <c r="F444" t="inlineStr">
        <is>
          <t>VÄSTERBOTTENS LÄN</t>
        </is>
      </c>
      <c r="G444" t="inlineStr">
        <is>
          <t>ROBERTSFORS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26045-2026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46181</v>
      </c>
      <c r="E445" s="1" t="n">
        <v>46250</v>
      </c>
      <c r="F445" t="inlineStr">
        <is>
          <t>VÄSTERBOTTENS LÄN</t>
        </is>
      </c>
      <c r="G445" t="inlineStr">
        <is>
          <t>ROBERTSFORS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26984-2025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45811</v>
      </c>
      <c r="E446" s="1" t="n">
        <v>46250</v>
      </c>
      <c r="F446" t="inlineStr">
        <is>
          <t>VÄSTERBOTTENS LÄN</t>
        </is>
      </c>
      <c r="G446" t="inlineStr">
        <is>
          <t>ROBERTSFORS</t>
        </is>
      </c>
      <c r="H446" t="inlineStr">
        <is>
          <t>Holmen skog AB</t>
        </is>
      </c>
      <c r="I446" t="n">
        <v>12.7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26538-2026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46183</v>
      </c>
      <c r="E447" s="1" t="n">
        <v>46250</v>
      </c>
      <c r="F447" t="inlineStr">
        <is>
          <t>VÄSTERBOTTENS LÄN</t>
        </is>
      </c>
      <c r="G447" t="inlineStr">
        <is>
          <t>ROBERTSFORS</t>
        </is>
      </c>
      <c r="I447" t="n">
        <v>5.7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31666-2026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46225</v>
      </c>
      <c r="E448" s="1" t="n">
        <v>46250</v>
      </c>
      <c r="F448" t="inlineStr">
        <is>
          <t>VÄSTERBOTTENS LÄN</t>
        </is>
      </c>
      <c r="G448" t="inlineStr">
        <is>
          <t>ROBERTSFORS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31664-2026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46225</v>
      </c>
      <c r="E449" s="1" t="n">
        <v>46250</v>
      </c>
      <c r="F449" t="inlineStr">
        <is>
          <t>VÄSTERBOTTENS LÄN</t>
        </is>
      </c>
      <c r="G449" t="inlineStr">
        <is>
          <t>ROBERTSFORS</t>
        </is>
      </c>
      <c r="I449" t="n">
        <v>10.4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52835-2024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45610</v>
      </c>
      <c r="E450" s="1" t="n">
        <v>46250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SCA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17848-2022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44683</v>
      </c>
      <c r="E451" s="1" t="n">
        <v>46250</v>
      </c>
      <c r="F451" t="inlineStr">
        <is>
          <t>VÄSTERBOTTENS LÄN</t>
        </is>
      </c>
      <c r="G451" t="inlineStr">
        <is>
          <t>ROBERTSFORS</t>
        </is>
      </c>
      <c r="H451" t="inlineStr">
        <is>
          <t>Holmen skog AB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27541-2025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45813</v>
      </c>
      <c r="E452" s="1" t="n">
        <v>46250</v>
      </c>
      <c r="F452" t="inlineStr">
        <is>
          <t>VÄSTERBOTTENS LÄN</t>
        </is>
      </c>
      <c r="G452" t="inlineStr">
        <is>
          <t>ROBERTSFORS</t>
        </is>
      </c>
      <c r="I452" t="n">
        <v>7.6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31665-2026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46225</v>
      </c>
      <c r="E453" s="1" t="n">
        <v>46250</v>
      </c>
      <c r="F453" t="inlineStr">
        <is>
          <t>VÄSTERBOTTENS LÄN</t>
        </is>
      </c>
      <c r="G453" t="inlineStr">
        <is>
          <t>ROBERTSFORS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28330-2025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45818</v>
      </c>
      <c r="E454" s="1" t="n">
        <v>46250</v>
      </c>
      <c r="F454" t="inlineStr">
        <is>
          <t>VÄSTERBOTTENS LÄN</t>
        </is>
      </c>
      <c r="G454" t="inlineStr">
        <is>
          <t>ROBERTSFORS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56502-2024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45625</v>
      </c>
      <c r="E455" s="1" t="n">
        <v>46250</v>
      </c>
      <c r="F455" t="inlineStr">
        <is>
          <t>VÄSTERBOTTENS LÄN</t>
        </is>
      </c>
      <c r="G455" t="inlineStr">
        <is>
          <t>ROBERTSFORS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27003-2026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46185</v>
      </c>
      <c r="E456" s="1" t="n">
        <v>46250</v>
      </c>
      <c r="F456" t="inlineStr">
        <is>
          <t>VÄSTERBOTTENS LÄN</t>
        </is>
      </c>
      <c r="G456" t="inlineStr">
        <is>
          <t>ROBERTSFORS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26949-2026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46185</v>
      </c>
      <c r="E457" s="1" t="n">
        <v>46250</v>
      </c>
      <c r="F457" t="inlineStr">
        <is>
          <t>VÄSTERBOTTENS LÄN</t>
        </is>
      </c>
      <c r="G457" t="inlineStr">
        <is>
          <t>ROBERTSFORS</t>
        </is>
      </c>
      <c r="I457" t="n">
        <v>6.2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26972-2026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46185</v>
      </c>
      <c r="E458" s="1" t="n">
        <v>46250</v>
      </c>
      <c r="F458" t="inlineStr">
        <is>
          <t>VÄSTERBOTTENS LÄN</t>
        </is>
      </c>
      <c r="G458" t="inlineStr">
        <is>
          <t>ROBERTSFORS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31806-2026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46230</v>
      </c>
      <c r="E459" s="1" t="n">
        <v>46250</v>
      </c>
      <c r="F459" t="inlineStr">
        <is>
          <t>VÄSTERBOTTENS LÄN</t>
        </is>
      </c>
      <c r="G459" t="inlineStr">
        <is>
          <t>ROBERTSFORS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50448-2024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45601</v>
      </c>
      <c r="E460" s="1" t="n">
        <v>46250</v>
      </c>
      <c r="F460" t="inlineStr">
        <is>
          <t>VÄSTERBOTTENS LÄN</t>
        </is>
      </c>
      <c r="G460" t="inlineStr">
        <is>
          <t>ROBERTSFORS</t>
        </is>
      </c>
      <c r="H460" t="inlineStr">
        <is>
          <t>Holmen skog AB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36771-2022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44805</v>
      </c>
      <c r="E461" s="1" t="n">
        <v>46250</v>
      </c>
      <c r="F461" t="inlineStr">
        <is>
          <t>VÄSTERBOTTENS LÄN</t>
        </is>
      </c>
      <c r="G461" t="inlineStr">
        <is>
          <t>ROBERTSFORS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26833-2026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46185</v>
      </c>
      <c r="E462" s="1" t="n">
        <v>46250</v>
      </c>
      <c r="F462" t="inlineStr">
        <is>
          <t>VÄSTERBOTTENS LÄN</t>
        </is>
      </c>
      <c r="G462" t="inlineStr">
        <is>
          <t>ROBERTSFORS</t>
        </is>
      </c>
      <c r="H462" t="inlineStr">
        <is>
          <t>Holmen skog AB</t>
        </is>
      </c>
      <c r="I462" t="n">
        <v>7.2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27315-2026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46188</v>
      </c>
      <c r="E463" s="1" t="n">
        <v>46250</v>
      </c>
      <c r="F463" t="inlineStr">
        <is>
          <t>VÄSTERBOTTENS LÄN</t>
        </is>
      </c>
      <c r="G463" t="inlineStr">
        <is>
          <t>ROBERTSFORS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4614-2025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45687</v>
      </c>
      <c r="E464" s="1" t="n">
        <v>46250</v>
      </c>
      <c r="F464" t="inlineStr">
        <is>
          <t>VÄSTERBOTTENS LÄN</t>
        </is>
      </c>
      <c r="G464" t="inlineStr">
        <is>
          <t>ROBERTSFORS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8238-2025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45708</v>
      </c>
      <c r="E465" s="1" t="n">
        <v>46250</v>
      </c>
      <c r="F465" t="inlineStr">
        <is>
          <t>VÄSTERBOTTENS LÄN</t>
        </is>
      </c>
      <c r="G465" t="inlineStr">
        <is>
          <t>ROBERTSFORS</t>
        </is>
      </c>
      <c r="I465" t="n">
        <v>4.6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4376-2022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44588</v>
      </c>
      <c r="E466" s="1" t="n">
        <v>46250</v>
      </c>
      <c r="F466" t="inlineStr">
        <is>
          <t>VÄSTERBOTTENS LÄN</t>
        </is>
      </c>
      <c r="G466" t="inlineStr">
        <is>
          <t>ROBERTSFORS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10173-2022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44622</v>
      </c>
      <c r="E467" s="1" t="n">
        <v>46250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45653</v>
      </c>
      <c r="E468" s="1" t="n">
        <v>46250</v>
      </c>
      <c r="F468" t="inlineStr">
        <is>
          <t>VÄSTERBOTTENS LÄN</t>
        </is>
      </c>
      <c r="G468" t="inlineStr">
        <is>
          <t>ROBERTSFORS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672-2025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45664</v>
      </c>
      <c r="E469" s="1" t="n">
        <v>46250</v>
      </c>
      <c r="F469" t="inlineStr">
        <is>
          <t>VÄSTERBOTTENS LÄN</t>
        </is>
      </c>
      <c r="G469" t="inlineStr">
        <is>
          <t>ROBERTSFORS</t>
        </is>
      </c>
      <c r="I469" t="n">
        <v>5.2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27294-2026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46188</v>
      </c>
      <c r="E470" s="1" t="n">
        <v>46250</v>
      </c>
      <c r="F470" t="inlineStr">
        <is>
          <t>VÄSTERBOTTENS LÄN</t>
        </is>
      </c>
      <c r="G470" t="inlineStr">
        <is>
          <t>ROBERTSFORS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31110-2025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45832</v>
      </c>
      <c r="E471" s="1" t="n">
        <v>46250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2.8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20519-2022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44699</v>
      </c>
      <c r="E472" s="1" t="n">
        <v>46250</v>
      </c>
      <c r="F472" t="inlineStr">
        <is>
          <t>VÄSTERBOTTENS LÄN</t>
        </is>
      </c>
      <c r="G472" t="inlineStr">
        <is>
          <t>ROBERTSFORS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27134-2026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46188</v>
      </c>
      <c r="E473" s="1" t="n">
        <v>46250</v>
      </c>
      <c r="F473" t="inlineStr">
        <is>
          <t>VÄSTERBOTTENS LÄN</t>
        </is>
      </c>
      <c r="G473" t="inlineStr">
        <is>
          <t>ROBERTSFORS</t>
        </is>
      </c>
      <c r="I473" t="n">
        <v>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27159-2026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46188</v>
      </c>
      <c r="E474" s="1" t="n">
        <v>46250</v>
      </c>
      <c r="F474" t="inlineStr">
        <is>
          <t>VÄSTERBOTTENS LÄN</t>
        </is>
      </c>
      <c r="G474" t="inlineStr">
        <is>
          <t>ROBERTSFORS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30790-2025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45831</v>
      </c>
      <c r="E475" s="1" t="n">
        <v>46250</v>
      </c>
      <c r="F475" t="inlineStr">
        <is>
          <t>VÄSTERBOTTENS LÄN</t>
        </is>
      </c>
      <c r="G475" t="inlineStr">
        <is>
          <t>ROBERTSFORS</t>
        </is>
      </c>
      <c r="I475" t="n">
        <v>8.800000000000001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45659</v>
      </c>
      <c r="E476" s="1" t="n">
        <v>46250</v>
      </c>
      <c r="F476" t="inlineStr">
        <is>
          <t>VÄSTERBOTTENS LÄN</t>
        </is>
      </c>
      <c r="G476" t="inlineStr">
        <is>
          <t>ROBERTSFORS</t>
        </is>
      </c>
      <c r="I476" t="n">
        <v>5.7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32499-2025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45838</v>
      </c>
      <c r="E477" s="1" t="n">
        <v>46250</v>
      </c>
      <c r="F477" t="inlineStr">
        <is>
          <t>VÄSTERBOTTENS LÄN</t>
        </is>
      </c>
      <c r="G477" t="inlineStr">
        <is>
          <t>ROBERTSFORS</t>
        </is>
      </c>
      <c r="I477" t="n">
        <v>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27894-2026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46191</v>
      </c>
      <c r="E478" s="1" t="n">
        <v>46250</v>
      </c>
      <c r="F478" t="inlineStr">
        <is>
          <t>VÄSTERBOTTENS LÄN</t>
        </is>
      </c>
      <c r="G478" t="inlineStr">
        <is>
          <t>ROBERTSFORS</t>
        </is>
      </c>
      <c r="H478" t="inlineStr">
        <is>
          <t>Holmen skog AB</t>
        </is>
      </c>
      <c r="I478" t="n">
        <v>5.7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54968-2024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45620</v>
      </c>
      <c r="E479" s="1" t="n">
        <v>46250</v>
      </c>
      <c r="F479" t="inlineStr">
        <is>
          <t>VÄSTERBOTTENS LÄN</t>
        </is>
      </c>
      <c r="G479" t="inlineStr">
        <is>
          <t>ROBERTSFORS</t>
        </is>
      </c>
      <c r="I479" t="n">
        <v>5.9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27557-2024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45474</v>
      </c>
      <c r="E480" s="1" t="n">
        <v>46250</v>
      </c>
      <c r="F480" t="inlineStr">
        <is>
          <t>VÄSTERBOTTENS LÄN</t>
        </is>
      </c>
      <c r="G480" t="inlineStr">
        <is>
          <t>ROBERTSFORS</t>
        </is>
      </c>
      <c r="H480" t="inlineStr">
        <is>
          <t>Holmen skog AB</t>
        </is>
      </c>
      <c r="I480" t="n">
        <v>4.9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32814-2025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45839</v>
      </c>
      <c r="E481" s="1" t="n">
        <v>46250</v>
      </c>
      <c r="F481" t="inlineStr">
        <is>
          <t>VÄSTERBOTTENS LÄN</t>
        </is>
      </c>
      <c r="G481" t="inlineStr">
        <is>
          <t>ROBERTSFORS</t>
        </is>
      </c>
      <c r="I481" t="n">
        <v>7.6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32820-2025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45839</v>
      </c>
      <c r="E482" s="1" t="n">
        <v>46250</v>
      </c>
      <c r="F482" t="inlineStr">
        <is>
          <t>VÄSTERBOTTENS LÄN</t>
        </is>
      </c>
      <c r="G482" t="inlineStr">
        <is>
          <t>ROBERTSFORS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32828-2025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45839</v>
      </c>
      <c r="E483" s="1" t="n">
        <v>46250</v>
      </c>
      <c r="F483" t="inlineStr">
        <is>
          <t>VÄSTERBOTTENS LÄN</t>
        </is>
      </c>
      <c r="G483" t="inlineStr">
        <is>
          <t>ROBERTSFORS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32843-2025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45839</v>
      </c>
      <c r="E484" s="1" t="n">
        <v>46250</v>
      </c>
      <c r="F484" t="inlineStr">
        <is>
          <t>VÄSTERBOTTENS LÄN</t>
        </is>
      </c>
      <c r="G484" t="inlineStr">
        <is>
          <t>ROBERTSFORS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53564-2024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45611</v>
      </c>
      <c r="E485" s="1" t="n">
        <v>46250</v>
      </c>
      <c r="F485" t="inlineStr">
        <is>
          <t>VÄSTERBOTTENS LÄN</t>
        </is>
      </c>
      <c r="G485" t="inlineStr">
        <is>
          <t>ROBERTSFORS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32823-2025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45839</v>
      </c>
      <c r="E486" s="1" t="n">
        <v>46250</v>
      </c>
      <c r="F486" t="inlineStr">
        <is>
          <t>VÄSTERBOTTENS LÄN</t>
        </is>
      </c>
      <c r="G486" t="inlineStr">
        <is>
          <t>ROBERTSFORS</t>
        </is>
      </c>
      <c r="I486" t="n">
        <v>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32826-2025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45839</v>
      </c>
      <c r="E487" s="1" t="n">
        <v>46250</v>
      </c>
      <c r="F487" t="inlineStr">
        <is>
          <t>VÄSTERBOTTENS LÄN</t>
        </is>
      </c>
      <c r="G487" t="inlineStr">
        <is>
          <t>ROBERTSFORS</t>
        </is>
      </c>
      <c r="I487" t="n">
        <v>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1573-2025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45670</v>
      </c>
      <c r="E488" s="1" t="n">
        <v>46250</v>
      </c>
      <c r="F488" t="inlineStr">
        <is>
          <t>VÄSTERBOTTENS LÄN</t>
        </is>
      </c>
      <c r="G488" t="inlineStr">
        <is>
          <t>ROBERTSFORS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33368-2025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45841</v>
      </c>
      <c r="E489" s="1" t="n">
        <v>46250</v>
      </c>
      <c r="F489" t="inlineStr">
        <is>
          <t>VÄSTERBOTTENS LÄN</t>
        </is>
      </c>
      <c r="G489" t="inlineStr">
        <is>
          <t>ROBERTSFORS</t>
        </is>
      </c>
      <c r="I489" t="n">
        <v>0.4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44026-2022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44838</v>
      </c>
      <c r="E490" s="1" t="n">
        <v>46250</v>
      </c>
      <c r="F490" t="inlineStr">
        <is>
          <t>VÄSTERBOTTENS LÄN</t>
        </is>
      </c>
      <c r="G490" t="inlineStr">
        <is>
          <t>ROBERTSFORS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28142-2026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46195</v>
      </c>
      <c r="E491" s="1" t="n">
        <v>46250</v>
      </c>
      <c r="F491" t="inlineStr">
        <is>
          <t>VÄSTERBOTTENS LÄN</t>
        </is>
      </c>
      <c r="G491" t="inlineStr">
        <is>
          <t>ROBERTSFORS</t>
        </is>
      </c>
      <c r="I491" t="n">
        <v>4.7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22339-2024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45446</v>
      </c>
      <c r="E492" s="1" t="n">
        <v>46250</v>
      </c>
      <c r="F492" t="inlineStr">
        <is>
          <t>VÄSTERBOTTENS LÄN</t>
        </is>
      </c>
      <c r="G492" t="inlineStr">
        <is>
          <t>ROBERTSFORS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33375-2025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45841</v>
      </c>
      <c r="E493" s="1" t="n">
        <v>46250</v>
      </c>
      <c r="F493" t="inlineStr">
        <is>
          <t>VÄSTERBOTTENS LÄN</t>
        </is>
      </c>
      <c r="G493" t="inlineStr">
        <is>
          <t>ROBERTSFORS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6725-2025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45700</v>
      </c>
      <c r="E494" s="1" t="n">
        <v>46250</v>
      </c>
      <c r="F494" t="inlineStr">
        <is>
          <t>VÄSTERBOTTENS LÄN</t>
        </is>
      </c>
      <c r="G494" t="inlineStr">
        <is>
          <t>ROBERTSFORS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32663-2026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46240</v>
      </c>
      <c r="E495" s="1" t="n">
        <v>46250</v>
      </c>
      <c r="F495" t="inlineStr">
        <is>
          <t>VÄSTERBOTTENS LÄN</t>
        </is>
      </c>
      <c r="G495" t="inlineStr">
        <is>
          <t>ROBERTSFORS</t>
        </is>
      </c>
      <c r="I495" t="n">
        <v>11.3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32512-2026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46239</v>
      </c>
      <c r="E496" s="1" t="n">
        <v>46250</v>
      </c>
      <c r="F496" t="inlineStr">
        <is>
          <t>VÄSTERBOTTENS LÄN</t>
        </is>
      </c>
      <c r="G496" t="inlineStr">
        <is>
          <t>ROBERTSFORS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32513-2026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46239</v>
      </c>
      <c r="E497" s="1" t="n">
        <v>46250</v>
      </c>
      <c r="F497" t="inlineStr">
        <is>
          <t>VÄSTERBOTTENS LÄN</t>
        </is>
      </c>
      <c r="G497" t="inlineStr">
        <is>
          <t>ROBERTSFORS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32594-2026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46240</v>
      </c>
      <c r="E498" s="1" t="n">
        <v>46250</v>
      </c>
      <c r="F498" t="inlineStr">
        <is>
          <t>VÄSTERBOTTENS LÄN</t>
        </is>
      </c>
      <c r="G498" t="inlineStr">
        <is>
          <t>ROBERTSFORS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32476-2026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46239</v>
      </c>
      <c r="E499" s="1" t="n">
        <v>46250</v>
      </c>
      <c r="F499" t="inlineStr">
        <is>
          <t>VÄSTERBOTTENS LÄN</t>
        </is>
      </c>
      <c r="G499" t="inlineStr">
        <is>
          <t>ROBERTSFORS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32651-2026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46240</v>
      </c>
      <c r="E500" s="1" t="n">
        <v>46250</v>
      </c>
      <c r="F500" t="inlineStr">
        <is>
          <t>VÄSTERBOTTENS LÄN</t>
        </is>
      </c>
      <c r="G500" t="inlineStr">
        <is>
          <t>ROBERTSFORS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32673-2026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46240</v>
      </c>
      <c r="E501" s="1" t="n">
        <v>46250</v>
      </c>
      <c r="F501" t="inlineStr">
        <is>
          <t>VÄSTERBOTTENS LÄN</t>
        </is>
      </c>
      <c r="G501" t="inlineStr">
        <is>
          <t>ROBERTSFORS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35565-2025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45856</v>
      </c>
      <c r="E502" s="1" t="n">
        <v>46250</v>
      </c>
      <c r="F502" t="inlineStr">
        <is>
          <t>VÄSTERBOTTENS LÄN</t>
        </is>
      </c>
      <c r="G502" t="inlineStr">
        <is>
          <t>ROBERTSFORS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28222-2026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46196</v>
      </c>
      <c r="E503" s="1" t="n">
        <v>46250</v>
      </c>
      <c r="F503" t="inlineStr">
        <is>
          <t>VÄSTERBOTTENS LÄN</t>
        </is>
      </c>
      <c r="G503" t="inlineStr">
        <is>
          <t>ROBERTSFORS</t>
        </is>
      </c>
      <c r="I503" t="n">
        <v>3.2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35562-2025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45856</v>
      </c>
      <c r="E504" s="1" t="n">
        <v>46250</v>
      </c>
      <c r="F504" t="inlineStr">
        <is>
          <t>VÄSTERBOTTENS LÄN</t>
        </is>
      </c>
      <c r="G504" t="inlineStr">
        <is>
          <t>ROBERTSFORS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35543-2025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45856</v>
      </c>
      <c r="E505" s="1" t="n">
        <v>46250</v>
      </c>
      <c r="F505" t="inlineStr">
        <is>
          <t>VÄSTERBOTTENS LÄN</t>
        </is>
      </c>
      <c r="G505" t="inlineStr">
        <is>
          <t>ROBERTSFORS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32447-2026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46239</v>
      </c>
      <c r="E506" s="1" t="n">
        <v>46250</v>
      </c>
      <c r="F506" t="inlineStr">
        <is>
          <t>VÄSTERBOTTENS LÄN</t>
        </is>
      </c>
      <c r="G506" t="inlineStr">
        <is>
          <t>ROBERTSFORS</t>
        </is>
      </c>
      <c r="I506" t="n">
        <v>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32638-2026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46240</v>
      </c>
      <c r="E507" s="1" t="n">
        <v>46250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32646-2026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46240</v>
      </c>
      <c r="E508" s="1" t="n">
        <v>46250</v>
      </c>
      <c r="F508" t="inlineStr">
        <is>
          <t>VÄSTERBOTTENS LÄN</t>
        </is>
      </c>
      <c r="G508" t="inlineStr">
        <is>
          <t>ROBERTSFORS</t>
        </is>
      </c>
      <c r="H508" t="inlineStr">
        <is>
          <t>Holmen skog AB</t>
        </is>
      </c>
      <c r="I508" t="n">
        <v>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32661-2026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46240</v>
      </c>
      <c r="E509" s="1" t="n">
        <v>46250</v>
      </c>
      <c r="F509" t="inlineStr">
        <is>
          <t>VÄSTERBOTTENS LÄN</t>
        </is>
      </c>
      <c r="G509" t="inlineStr">
        <is>
          <t>ROBERTSFORS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32681-2026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46240</v>
      </c>
      <c r="E510" s="1" t="n">
        <v>46250</v>
      </c>
      <c r="F510" t="inlineStr">
        <is>
          <t>VÄSTERBOTTENS LÄN</t>
        </is>
      </c>
      <c r="G510" t="inlineStr">
        <is>
          <t>ROBERTSFORS</t>
        </is>
      </c>
      <c r="I510" t="n">
        <v>7.9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22782-2025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45789</v>
      </c>
      <c r="E511" s="1" t="n">
        <v>46250</v>
      </c>
      <c r="F511" t="inlineStr">
        <is>
          <t>VÄSTERBOTTENS LÄN</t>
        </is>
      </c>
      <c r="G511" t="inlineStr">
        <is>
          <t>ROBERTSFORS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36594-2025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45870</v>
      </c>
      <c r="E512" s="1" t="n">
        <v>46250</v>
      </c>
      <c r="F512" t="inlineStr">
        <is>
          <t>VÄSTERBOTTENS LÄN</t>
        </is>
      </c>
      <c r="G512" t="inlineStr">
        <is>
          <t>ROBERTSFORS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28651-2026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46198</v>
      </c>
      <c r="E513" s="1" t="n">
        <v>46250</v>
      </c>
      <c r="F513" t="inlineStr">
        <is>
          <t>VÄSTERBOTTENS LÄN</t>
        </is>
      </c>
      <c r="G513" t="inlineStr">
        <is>
          <t>ROBERTSFORS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36818-2025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45873</v>
      </c>
      <c r="E514" s="1" t="n">
        <v>46250</v>
      </c>
      <c r="F514" t="inlineStr">
        <is>
          <t>VÄSTERBOTTENS LÄN</t>
        </is>
      </c>
      <c r="G514" t="inlineStr">
        <is>
          <t>ROBERTSFORS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32912-2026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46244</v>
      </c>
      <c r="E515" s="1" t="n">
        <v>46250</v>
      </c>
      <c r="F515" t="inlineStr">
        <is>
          <t>VÄSTERBOTTENS LÄN</t>
        </is>
      </c>
      <c r="G515" t="inlineStr">
        <is>
          <t>ROBERTSFORS</t>
        </is>
      </c>
      <c r="I515" t="n">
        <v>0.9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29272-2026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46202</v>
      </c>
      <c r="E516" s="1" t="n">
        <v>46250</v>
      </c>
      <c r="F516" t="inlineStr">
        <is>
          <t>VÄSTERBOTTENS LÄN</t>
        </is>
      </c>
      <c r="G516" t="inlineStr">
        <is>
          <t>ROBERTSFORS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29459-2026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46203</v>
      </c>
      <c r="E517" s="1" t="n">
        <v>46250</v>
      </c>
      <c r="F517" t="inlineStr">
        <is>
          <t>VÄSTERBOTTENS LÄN</t>
        </is>
      </c>
      <c r="G517" t="inlineStr">
        <is>
          <t>ROBERTSFORS</t>
        </is>
      </c>
      <c r="I517" t="n">
        <v>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29600-2026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46204</v>
      </c>
      <c r="E518" s="1" t="n">
        <v>46250</v>
      </c>
      <c r="F518" t="inlineStr">
        <is>
          <t>VÄSTERBOTTENS LÄN</t>
        </is>
      </c>
      <c r="G518" t="inlineStr">
        <is>
          <t>ROBERTSFORS</t>
        </is>
      </c>
      <c r="H518" t="inlineStr">
        <is>
          <t>SCA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29958-2026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46205</v>
      </c>
      <c r="E519" s="1" t="n">
        <v>46250</v>
      </c>
      <c r="F519" t="inlineStr">
        <is>
          <t>VÄSTERBOTTENS LÄN</t>
        </is>
      </c>
      <c r="G519" t="inlineStr">
        <is>
          <t>ROBERTSFORS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30081-2026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46206</v>
      </c>
      <c r="E520" s="1" t="n">
        <v>46250</v>
      </c>
      <c r="F520" t="inlineStr">
        <is>
          <t>VÄSTERBOTTENS LÄN</t>
        </is>
      </c>
      <c r="G520" t="inlineStr">
        <is>
          <t>ROBERTSFORS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29964-2026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46205</v>
      </c>
      <c r="E521" s="1" t="n">
        <v>46250</v>
      </c>
      <c r="F521" t="inlineStr">
        <is>
          <t>VÄSTERBOTTENS LÄN</t>
        </is>
      </c>
      <c r="G521" t="inlineStr">
        <is>
          <t>ROBERTSFORS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2849-2022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44707</v>
      </c>
      <c r="E522" s="1" t="n">
        <v>46250</v>
      </c>
      <c r="F522" t="inlineStr">
        <is>
          <t>VÄSTERBOTTENS LÄN</t>
        </is>
      </c>
      <c r="G522" t="inlineStr">
        <is>
          <t>ROBERTSFORS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8592-2021</t>
        </is>
      </c>
      <c r="B523" t="inlineStr">
        <is>
          <t>samrådsanmälan</t>
        </is>
      </c>
      <c r="C523" t="inlineStr">
        <is>
          <t>Skogsbilväg</t>
        </is>
      </c>
      <c r="D523" s="1" t="n">
        <v>44501</v>
      </c>
      <c r="E523" s="1" t="n">
        <v>46250</v>
      </c>
      <c r="F523" t="inlineStr">
        <is>
          <t>VÄSTERBOTTENS LÄN</t>
        </is>
      </c>
      <c r="G523" t="inlineStr">
        <is>
          <t>ROBERTSFORS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1034-2025</t>
        </is>
      </c>
      <c r="B524" t="inlineStr">
        <is>
          <t>samrådsanmälan</t>
        </is>
      </c>
      <c r="C524" t="inlineStr">
        <is>
          <t>Skogsgödsling</t>
        </is>
      </c>
      <c r="D524" s="1" t="n">
        <v>45747</v>
      </c>
      <c r="E524" s="1" t="n">
        <v>46250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Sveaskog</t>
        </is>
      </c>
      <c r="I524" t="n">
        <v>14.9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1249-2025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45762</v>
      </c>
      <c r="E525" s="1" t="n">
        <v>46250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Holmen skog AB</t>
        </is>
      </c>
      <c r="I525" t="n">
        <v>175.8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702-2026</t>
        </is>
      </c>
      <c r="B526" t="inlineStr">
        <is>
          <t>samrådsanmälan</t>
        </is>
      </c>
      <c r="C526" t="inlineStr">
        <is>
          <t>Skogsgödsling</t>
        </is>
      </c>
      <c r="D526" s="1" t="n">
        <v>46092</v>
      </c>
      <c r="E526" s="1" t="n">
        <v>46250</v>
      </c>
      <c r="F526" t="inlineStr">
        <is>
          <t>VÄSTERBOTTENS LÄN</t>
        </is>
      </c>
      <c r="G526" t="inlineStr">
        <is>
          <t>ROBERTSFORS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1273-2026</t>
        </is>
      </c>
      <c r="B527" t="inlineStr">
        <is>
          <t>samrådsanmälan</t>
        </is>
      </c>
      <c r="C527" t="inlineStr">
        <is>
          <t>Skogsgödsling</t>
        </is>
      </c>
      <c r="D527" s="1" t="n">
        <v>46147</v>
      </c>
      <c r="E527" s="1" t="n">
        <v>46250</v>
      </c>
      <c r="F527" t="inlineStr">
        <is>
          <t>VÄSTERBOTTENS LÄN</t>
        </is>
      </c>
      <c r="G527" t="inlineStr">
        <is>
          <t>ROBERTSFORS</t>
        </is>
      </c>
      <c r="I527" t="n">
        <v>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1322-2026</t>
        </is>
      </c>
      <c r="B528" t="inlineStr">
        <is>
          <t>samrådsanmälan</t>
        </is>
      </c>
      <c r="C528" t="inlineStr">
        <is>
          <t>Skogsgödsling</t>
        </is>
      </c>
      <c r="D528" s="1" t="n">
        <v>46149</v>
      </c>
      <c r="E528" s="1" t="n">
        <v>46250</v>
      </c>
      <c r="F528" t="inlineStr">
        <is>
          <t>VÄSTERBOTTENS LÄN</t>
        </is>
      </c>
      <c r="G528" t="inlineStr">
        <is>
          <t>ROBERTSFORS</t>
        </is>
      </c>
      <c r="I528" t="n">
        <v>6.6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>
      <c r="A529" t="inlineStr">
        <is>
          <t>S 1416-2026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46155</v>
      </c>
      <c r="E529" s="1" t="n">
        <v>46250</v>
      </c>
      <c r="F529" t="inlineStr">
        <is>
          <t>VÄSTERBOTTENS LÄN</t>
        </is>
      </c>
      <c r="G529" t="inlineStr">
        <is>
          <t>ROBERTSFORS</t>
        </is>
      </c>
      <c r="I529" t="n">
        <v>32.7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2026-08-16T01:46:23Z</dcterms:created>
  <dcterms:modified xmlns:dcterms="http://purl.org/dc/terms/" xmlns:xsi="http://www.w3.org/2001/XMLSchema-instance" xsi:type="dcterms:W3CDTF">2026-08-16T01:46:23Z</dcterms:modified>
</cp:coreProperties>
</file>