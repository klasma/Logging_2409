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46262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46262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46262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46262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46262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46262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46262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46262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46262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46262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46262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46262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46262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46262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46262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46262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46262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46262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46262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46262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46262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46262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46262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46262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46262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t="n">
        <v>0</v>
      </c>
      <c r="V36" s="2" t="inlineStr">
        <is>
          <t>Garnlav
Tretåig hackspett</t>
        </is>
      </c>
      <c r="W36">
        <f>HYPERLINK("https://klasma.github.io/Logging_2409/artfynd/A 26807-2026 artfynd.xlsx", "A 26807-2026")</f>
        <v/>
      </c>
      <c r="X36">
        <f>HYPERLINK("https://klasma.github.io/Logging_2409/kartor/A 26807-2026 karta.png", "A 26807-2026")</f>
        <v/>
      </c>
      <c r="Y36">
        <f>HYPERLINK("https://klasma.github.io/Logging_2409/kartor_geotiff/A 26807-2026 georefererad karta.tif", "A 26807-2026")</f>
        <v/>
      </c>
      <c r="AA36">
        <f>HYPERLINK("https://klasma.github.io/Logging_2409/klagomål/A 26807-2026 FSC-klagomål.docx", "A 26807-2026")</f>
        <v/>
      </c>
      <c r="AB36">
        <f>HYPERLINK("https://klasma.github.io/Logging_2409/klagomålsmail/A 26807-2026 FSC-klagomål mail.docx", "A 26807-2026")</f>
        <v/>
      </c>
      <c r="AC36">
        <f>HYPERLINK("https://klasma.github.io/Logging_2409/tillsyn/A 26807-2026 tillsynsbegäran.docx", "A 26807-2026")</f>
        <v/>
      </c>
      <c r="AD36">
        <f>HYPERLINK("https://klasma.github.io/Logging_2409/tillsynsmail/A 26807-2026 tillsynsbegäran mail.docx", "A 26807-2026")</f>
        <v/>
      </c>
      <c r="AE36">
        <f>HYPERLINK("https://klasma.github.io/Logging_2409/fåglar/A 26807-2026 prioriterade fågelarter.docx", "A 26807-2026")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46262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46262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46262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46262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46262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46262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46262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46262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5285-2026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46262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HYPERLINK("https://klasma.github.io/Logging_2409/artfynd/A 5285-2026 artfynd.xlsx", "A 5285-2026")</f>
        <v/>
      </c>
      <c r="X50">
        <f>HYPERLINK("https://klasma.github.io/Logging_2409/kartor/A 5285-2026 karta.png", "A 5285-2026")</f>
        <v/>
      </c>
      <c r="Y50">
        <f>HYPERLINK("https://klasma.github.io/Logging_2409/kartor_geotiff/A 5285-2026 georefererad karta.tif", "A 5285-2026")</f>
        <v/>
      </c>
      <c r="AA50">
        <f>HYPERLINK("https://klasma.github.io/Logging_2409/klagomål/A 5285-2026 FSC-klagomål.docx", "A 5285-2026")</f>
        <v/>
      </c>
      <c r="AB50">
        <f>HYPERLINK("https://klasma.github.io/Logging_2409/klagomålsmail/A 5285-2026 FSC-klagomål mail.docx", "A 5285-2026")</f>
        <v/>
      </c>
      <c r="AC50">
        <f>HYPERLINK("https://klasma.github.io/Logging_2409/tillsyn/A 5285-2026 tillsynsbegäran.docx", "A 5285-2026")</f>
        <v/>
      </c>
      <c r="AD50">
        <f>HYPERLINK("https://klasma.github.io/Logging_2409/tillsynsmail/A 5285-2026 tillsynsbegäran mail.docx", "A 5285-2026")</f>
        <v/>
      </c>
      <c r="AE50">
        <f>HYPERLINK("https://klasma.github.io/Logging_2409/fåglar/A 5285-2026 prioriterade fågelarter.docx", "A 5285-2026")</f>
        <v/>
      </c>
    </row>
    <row r="51" ht="15" customHeight="1">
      <c r="A51" t="inlineStr">
        <is>
          <t>A 5289-2026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46262</v>
      </c>
      <c r="F51" t="inlineStr">
        <is>
          <t>VÄSTERBOTTENS LÄN</t>
        </is>
      </c>
      <c r="G51" t="inlineStr">
        <is>
          <t>ROBERTSFORS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Björktrast</t>
        </is>
      </c>
      <c r="W51">
        <f>HYPERLINK("https://klasma.github.io/Logging_2409/artfynd/A 5289-2026 artfynd.xlsx", "A 5289-2026")</f>
        <v/>
      </c>
      <c r="X51">
        <f>HYPERLINK("https://klasma.github.io/Logging_2409/kartor/A 5289-2026 karta.png", "A 5289-2026")</f>
        <v/>
      </c>
      <c r="Y51">
        <f>HYPERLINK("https://klasma.github.io/Logging_2409/kartor_geotiff/A 5289-2026 georefererad karta.tif", "A 5289-2026")</f>
        <v/>
      </c>
      <c r="AA51">
        <f>HYPERLINK("https://klasma.github.io/Logging_2409/klagomål/A 5289-2026 FSC-klagomål.docx", "A 5289-2026")</f>
        <v/>
      </c>
      <c r="AB51">
        <f>HYPERLINK("https://klasma.github.io/Logging_2409/klagomålsmail/A 5289-2026 FSC-klagomål mail.docx", "A 5289-2026")</f>
        <v/>
      </c>
      <c r="AC51">
        <f>HYPERLINK("https://klasma.github.io/Logging_2409/tillsyn/A 5289-2026 tillsynsbegäran.docx", "A 5289-2026")</f>
        <v/>
      </c>
      <c r="AD51">
        <f>HYPERLINK("https://klasma.github.io/Logging_2409/tillsynsmail/A 5289-2026 tillsynsbegäran mail.docx", "A 5289-2026")</f>
        <v/>
      </c>
      <c r="AE51">
        <f>HYPERLINK("https://klasma.github.io/Logging_2409/fåglar/A 5289-2026 prioriterade fågelarter.docx", "A 5289-2026")</f>
        <v/>
      </c>
    </row>
    <row r="52" ht="15" customHeight="1">
      <c r="A52" t="inlineStr">
        <is>
          <t>A 5284-2026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46262</v>
      </c>
      <c r="F52" t="inlineStr">
        <is>
          <t>VÄSTERBOTTENS LÄN</t>
        </is>
      </c>
      <c r="G52" t="inlineStr">
        <is>
          <t>ROBERTSFORS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HYPERLINK("https://klasma.github.io/Logging_2409/artfynd/A 5284-2026 artfynd.xlsx", "A 5284-2026")</f>
        <v/>
      </c>
      <c r="X52">
        <f>HYPERLINK("https://klasma.github.io/Logging_2409/kartor/A 5284-2026 karta.png", "A 5284-2026")</f>
        <v/>
      </c>
      <c r="Y52">
        <f>HYPERLINK("https://klasma.github.io/Logging_2409/kartor_geotiff/A 5284-2026 georefererad karta.tif", "A 5284-2026")</f>
        <v/>
      </c>
      <c r="AA52">
        <f>HYPERLINK("https://klasma.github.io/Logging_2409/klagomål/A 5284-2026 FSC-klagomål.docx", "A 5284-2026")</f>
        <v/>
      </c>
      <c r="AB52">
        <f>HYPERLINK("https://klasma.github.io/Logging_2409/klagomålsmail/A 5284-2026 FSC-klagomål mail.docx", "A 5284-2026")</f>
        <v/>
      </c>
      <c r="AC52">
        <f>HYPERLINK("https://klasma.github.io/Logging_2409/tillsyn/A 5284-2026 tillsynsbegäran.docx", "A 5284-2026")</f>
        <v/>
      </c>
      <c r="AD52">
        <f>HYPERLINK("https://klasma.github.io/Logging_2409/tillsynsmail/A 5284-2026 tillsynsbegäran mail.docx", "A 5284-2026")</f>
        <v/>
      </c>
      <c r="AE52">
        <f>HYPERLINK("https://klasma.github.io/Logging_2409/fåglar/A 5284-2026 prioriterade fågelarter.docx", "A 5284-2026")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46262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46262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46262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46262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46262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46262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46262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10145-2025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46262</v>
      </c>
      <c r="F60" t="inlineStr">
        <is>
          <t>VÄSTERBOTTENS LÄN</t>
        </is>
      </c>
      <c r="G60" t="inlineStr">
        <is>
          <t>ROBERTSFORS</t>
        </is>
      </c>
      <c r="I60" t="n">
        <v>5.3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HYPERLINK("https://klasma.github.io/Logging_2409/artfynd/A 10145-2025 artfynd.xlsx", "A 10145-2025")</f>
        <v/>
      </c>
      <c r="X60">
        <f>HYPERLINK("https://klasma.github.io/Logging_2409/kartor/A 10145-2025 karta.png", "A 10145-2025")</f>
        <v/>
      </c>
      <c r="Y60">
        <f>HYPERLINK("https://klasma.github.io/Logging_2409/kartor_geotiff/A 10145-2025 georefererad karta.tif", "A 10145-2025")</f>
        <v/>
      </c>
      <c r="AA60">
        <f>HYPERLINK("https://klasma.github.io/Logging_2409/klagomål/A 10145-2025 FSC-klagomål.docx", "A 10145-2025")</f>
        <v/>
      </c>
      <c r="AB60">
        <f>HYPERLINK("https://klasma.github.io/Logging_2409/klagomålsmail/A 10145-2025 FSC-klagomål mail.docx", "A 10145-2025")</f>
        <v/>
      </c>
      <c r="AC60">
        <f>HYPERLINK("https://klasma.github.io/Logging_2409/tillsyn/A 10145-2025 tillsynsbegäran.docx", "A 10145-2025")</f>
        <v/>
      </c>
      <c r="AD60">
        <f>HYPERLINK("https://klasma.github.io/Logging_2409/tillsynsmail/A 10145-2025 tillsynsbegäran mail.docx", "A 10145-2025")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46262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46262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46262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28224-2026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46262</v>
      </c>
      <c r="F64" t="inlineStr">
        <is>
          <t>VÄSTERBOTTENS LÄN</t>
        </is>
      </c>
      <c r="G64" t="inlineStr">
        <is>
          <t>ROBERTSFORS</t>
        </is>
      </c>
      <c r="I64" t="n">
        <v>9.800000000000001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6</v>
      </c>
      <c r="U64" t="n">
        <v>0</v>
      </c>
      <c r="V64" s="2" t="inlineStr">
        <is>
          <t>Garnlav</t>
        </is>
      </c>
      <c r="W64">
        <f>HYPERLINK("https://klasma.github.io/Logging_2409/artfynd/A 28224-2026 artfynd.xlsx", "A 28224-2026")</f>
        <v/>
      </c>
      <c r="X64">
        <f>HYPERLINK("https://klasma.github.io/Logging_2409/kartor/A 28224-2026 karta.png", "A 28224-2026")</f>
        <v/>
      </c>
      <c r="Y64">
        <f>HYPERLINK("https://klasma.github.io/Logging_2409/kartor_geotiff/A 28224-2026 georefererad karta.tif", "A 28224-2026")</f>
        <v/>
      </c>
      <c r="AA64">
        <f>HYPERLINK("https://klasma.github.io/Logging_2409/klagomål/A 28224-2026 FSC-klagomål.docx", "A 28224-2026")</f>
        <v/>
      </c>
      <c r="AB64">
        <f>HYPERLINK("https://klasma.github.io/Logging_2409/klagomålsmail/A 28224-2026 FSC-klagomål mail.docx", "A 28224-2026")</f>
        <v/>
      </c>
      <c r="AC64">
        <f>HYPERLINK("https://klasma.github.io/Logging_2409/tillsyn/A 28224-2026 tillsynsbegäran.docx", "A 28224-2026")</f>
        <v/>
      </c>
      <c r="AD64">
        <f>HYPERLINK("https://klasma.github.io/Logging_2409/tillsynsmail/A 28224-2026 tillsynsbegäran mail.docx", "A 28224-2026")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46262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46262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29583-2026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46204</v>
      </c>
      <c r="E67" s="1" t="n">
        <v>46262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SCA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Björksplintborre</t>
        </is>
      </c>
      <c r="W67">
        <f>HYPERLINK("https://klasma.github.io/Logging_2409/artfynd/A 29583-2026 artfynd.xlsx", "A 29583-2026")</f>
        <v/>
      </c>
      <c r="X67">
        <f>HYPERLINK("https://klasma.github.io/Logging_2409/kartor/A 29583-2026 karta.png", "A 29583-2026")</f>
        <v/>
      </c>
      <c r="Y67">
        <f>HYPERLINK("https://klasma.github.io/Logging_2409/kartor_geotiff/A 29583-2026 georefererad karta.tif", "A 29583-2026")</f>
        <v/>
      </c>
      <c r="AA67">
        <f>HYPERLINK("https://klasma.github.io/Logging_2409/klagomål/A 29583-2026 FSC-klagomål.docx", "A 29583-2026")</f>
        <v/>
      </c>
      <c r="AB67">
        <f>HYPERLINK("https://klasma.github.io/Logging_2409/klagomålsmail/A 29583-2026 FSC-klagomål mail.docx", "A 29583-2026")</f>
        <v/>
      </c>
      <c r="AC67">
        <f>HYPERLINK("https://klasma.github.io/Logging_2409/tillsyn/A 29583-2026 tillsynsbegäran.docx", "A 29583-2026")</f>
        <v/>
      </c>
      <c r="AD67">
        <f>HYPERLINK("https://klasma.github.io/Logging_2409/tillsynsmail/A 29583-2026 tillsynsbegäran mail.docx", "A 29583-2026")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46262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46262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46262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46262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46262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46262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46262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46262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46262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46262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46262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46262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46262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46262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46262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46262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46262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46262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46262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46262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46262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46262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46262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46262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44735</v>
      </c>
      <c r="E93" s="1" t="n">
        <v>46262</v>
      </c>
      <c r="F93" t="inlineStr">
        <is>
          <t>VÄSTERBOTTENS LÄN</t>
        </is>
      </c>
      <c r="G93" t="inlineStr">
        <is>
          <t>ROBERTSFORS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46262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46262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46262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46262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46262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46262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46262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46262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46262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46262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46262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46262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46262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46262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46262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46262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46262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46262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46262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46262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46262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46262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46262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46262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46262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46262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46262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46262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46262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46262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46262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46262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46262</v>
      </c>
      <c r="F127" t="inlineStr">
        <is>
          <t>VÄSTERBOTTENS LÄN</t>
        </is>
      </c>
      <c r="G127" t="inlineStr">
        <is>
          <t>ROBERTSFORS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45246</v>
      </c>
      <c r="E128" s="1" t="n">
        <v>46262</v>
      </c>
      <c r="F128" t="inlineStr">
        <is>
          <t>VÄSTERBOTTENS LÄN</t>
        </is>
      </c>
      <c r="G128" t="inlineStr">
        <is>
          <t>ROBERTSFORS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45033</v>
      </c>
      <c r="E129" s="1" t="n">
        <v>46262</v>
      </c>
      <c r="F129" t="inlineStr">
        <is>
          <t>VÄSTERBOTTENS LÄN</t>
        </is>
      </c>
      <c r="G129" t="inlineStr">
        <is>
          <t>ROBERTSFORS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45079</v>
      </c>
      <c r="E130" s="1" t="n">
        <v>46262</v>
      </c>
      <c r="F130" t="inlineStr">
        <is>
          <t>VÄSTERBOTTENS LÄN</t>
        </is>
      </c>
      <c r="G130" t="inlineStr">
        <is>
          <t>ROBERTSFORS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46262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46262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45474</v>
      </c>
      <c r="E133" s="1" t="n">
        <v>46262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46262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46262</v>
      </c>
      <c r="F135" t="inlineStr">
        <is>
          <t>VÄSTERBOTTENS LÄN</t>
        </is>
      </c>
      <c r="G135" t="inlineStr">
        <is>
          <t>ROBERTSFORS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45197</v>
      </c>
      <c r="E136" s="1" t="n">
        <v>46262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46262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46262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46262</v>
      </c>
      <c r="F139" t="inlineStr">
        <is>
          <t>VÄSTERBOTTENS LÄN</t>
        </is>
      </c>
      <c r="G139" t="inlineStr">
        <is>
          <t>ROBERTSFORS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46262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15294-2023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45019</v>
      </c>
      <c r="E141" s="1" t="n">
        <v>46262</v>
      </c>
      <c r="F141" t="inlineStr">
        <is>
          <t>VÄSTERBOTTENS LÄN</t>
        </is>
      </c>
      <c r="G141" t="inlineStr">
        <is>
          <t>ROBERTSFORS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46262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45495</v>
      </c>
      <c r="E143" s="1" t="n">
        <v>46262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46262</v>
      </c>
      <c r="F144" t="inlineStr">
        <is>
          <t>VÄSTERBOTTENS LÄN</t>
        </is>
      </c>
      <c r="G144" t="inlineStr">
        <is>
          <t>ROBERTSFORS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54366-2024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45617</v>
      </c>
      <c r="E145" s="1" t="n">
        <v>46262</v>
      </c>
      <c r="F145" t="inlineStr">
        <is>
          <t>VÄSTERBOTTENS LÄN</t>
        </is>
      </c>
      <c r="G145" t="inlineStr">
        <is>
          <t>ROBERTSFORS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46262</v>
      </c>
      <c r="F146" t="inlineStr">
        <is>
          <t>VÄSTERBOTTENS LÄN</t>
        </is>
      </c>
      <c r="G146" t="inlineStr">
        <is>
          <t>ROBERTSFORS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44372-2023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45188</v>
      </c>
      <c r="E147" s="1" t="n">
        <v>46262</v>
      </c>
      <c r="F147" t="inlineStr">
        <is>
          <t>VÄSTERBOTTENS LÄN</t>
        </is>
      </c>
      <c r="G147" t="inlineStr">
        <is>
          <t>ROBERTSFORS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44651-2023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45184</v>
      </c>
      <c r="E148" s="1" t="n">
        <v>46262</v>
      </c>
      <c r="F148" t="inlineStr">
        <is>
          <t>VÄSTERBOTTENS LÄN</t>
        </is>
      </c>
      <c r="G148" t="inlineStr">
        <is>
          <t>ROBERTSFORS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30722-2024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45496</v>
      </c>
      <c r="E149" s="1" t="n">
        <v>46262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46262</v>
      </c>
      <c r="F150" t="inlineStr">
        <is>
          <t>VÄSTERBOTTENS LÄN</t>
        </is>
      </c>
      <c r="G150" t="inlineStr">
        <is>
          <t>ROBERTSFORS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45484</v>
      </c>
      <c r="E151" s="1" t="n">
        <v>46262</v>
      </c>
      <c r="F151" t="inlineStr">
        <is>
          <t>VÄSTERBOTTENS LÄN</t>
        </is>
      </c>
      <c r="G151" t="inlineStr">
        <is>
          <t>ROBERTSFORS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45794</v>
      </c>
      <c r="E152" s="1" t="n">
        <v>46262</v>
      </c>
      <c r="F152" t="inlineStr">
        <is>
          <t>VÄSTERBOTTENS LÄN</t>
        </is>
      </c>
      <c r="G152" t="inlineStr">
        <is>
          <t>ROBERTSFORS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45572</v>
      </c>
      <c r="E153" s="1" t="n">
        <v>46262</v>
      </c>
      <c r="F153" t="inlineStr">
        <is>
          <t>VÄSTERBOTTENS LÄN</t>
        </is>
      </c>
      <c r="G153" t="inlineStr">
        <is>
          <t>ROBERTSFORS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46262</v>
      </c>
      <c r="F154" t="inlineStr">
        <is>
          <t>VÄSTERBOTTENS LÄN</t>
        </is>
      </c>
      <c r="G154" t="inlineStr">
        <is>
          <t>ROBERTSFORS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46262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45559</v>
      </c>
      <c r="E156" s="1" t="n">
        <v>46262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45559</v>
      </c>
      <c r="E157" s="1" t="n">
        <v>46262</v>
      </c>
      <c r="F157" t="inlineStr">
        <is>
          <t>VÄSTERBOTTENS LÄN</t>
        </is>
      </c>
      <c r="G157" t="inlineStr">
        <is>
          <t>ROBERTSFORS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46262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45890</v>
      </c>
      <c r="E159" s="1" t="n">
        <v>46262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46262</v>
      </c>
      <c r="F160" t="inlineStr">
        <is>
          <t>VÄSTERBOTTENS LÄN</t>
        </is>
      </c>
      <c r="G160" t="inlineStr">
        <is>
          <t>ROBERTSFORS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46262</v>
      </c>
      <c r="F161" t="inlineStr">
        <is>
          <t>VÄSTERBOTTENS LÄN</t>
        </is>
      </c>
      <c r="G161" t="inlineStr">
        <is>
          <t>ROBERTSFORS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46262</v>
      </c>
      <c r="F162" t="inlineStr">
        <is>
          <t>VÄSTERBOTTENS LÄN</t>
        </is>
      </c>
      <c r="G162" t="inlineStr">
        <is>
          <t>ROBERTSFORS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39982-2025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45893</v>
      </c>
      <c r="E163" s="1" t="n">
        <v>46262</v>
      </c>
      <c r="F163" t="inlineStr">
        <is>
          <t>VÄSTERBOTTENS LÄN</t>
        </is>
      </c>
      <c r="G163" t="inlineStr">
        <is>
          <t>ROBERTSFORS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46262</v>
      </c>
      <c r="F164" t="inlineStr">
        <is>
          <t>VÄSTERBOTTENS LÄN</t>
        </is>
      </c>
      <c r="G164" t="inlineStr">
        <is>
          <t>ROBERTSFORS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46262</v>
      </c>
      <c r="F165" t="inlineStr">
        <is>
          <t>VÄSTERBOTTENS LÄN</t>
        </is>
      </c>
      <c r="G165" t="inlineStr">
        <is>
          <t>ROBERTSFORS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46262</v>
      </c>
      <c r="F166" t="inlineStr">
        <is>
          <t>VÄSTERBOTTENS LÄN</t>
        </is>
      </c>
      <c r="G166" t="inlineStr">
        <is>
          <t>ROBERTSFORS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46262</v>
      </c>
      <c r="F167" t="inlineStr">
        <is>
          <t>VÄSTERBOTTENS LÄN</t>
        </is>
      </c>
      <c r="G167" t="inlineStr">
        <is>
          <t>ROBERTSFORS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46262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46262</v>
      </c>
      <c r="F169" t="inlineStr">
        <is>
          <t>VÄSTERBOTTENS LÄN</t>
        </is>
      </c>
      <c r="G169" t="inlineStr">
        <is>
          <t>ROBERTSFORS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45659</v>
      </c>
      <c r="E170" s="1" t="n">
        <v>46262</v>
      </c>
      <c r="F170" t="inlineStr">
        <is>
          <t>VÄSTERBOTTENS LÄN</t>
        </is>
      </c>
      <c r="G170" t="inlineStr">
        <is>
          <t>ROBERTSFORS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46262</v>
      </c>
      <c r="F171" t="inlineStr">
        <is>
          <t>VÄSTERBOTTENS LÄN</t>
        </is>
      </c>
      <c r="G171" t="inlineStr">
        <is>
          <t>ROBERTSFORS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46262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45957</v>
      </c>
      <c r="E173" s="1" t="n">
        <v>46262</v>
      </c>
      <c r="F173" t="inlineStr">
        <is>
          <t>VÄSTERBOTTENS LÄN</t>
        </is>
      </c>
      <c r="G173" t="inlineStr">
        <is>
          <t>ROBERTSFORS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46262</v>
      </c>
      <c r="F174" t="inlineStr">
        <is>
          <t>VÄSTERBOTTENS LÄN</t>
        </is>
      </c>
      <c r="G174" t="inlineStr">
        <is>
          <t>ROBERTSFORS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46262</v>
      </c>
      <c r="F175" t="inlineStr">
        <is>
          <t>VÄSTERBOTTENS LÄN</t>
        </is>
      </c>
      <c r="G175" t="inlineStr">
        <is>
          <t>ROBERTSFORS</t>
        </is>
      </c>
      <c r="I175" t="n">
        <v>14.3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46262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53320-2025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45959</v>
      </c>
      <c r="E177" s="1" t="n">
        <v>46262</v>
      </c>
      <c r="F177" t="inlineStr">
        <is>
          <t>VÄSTERBOTTENS LÄN</t>
        </is>
      </c>
      <c r="G177" t="inlineStr">
        <is>
          <t>ROBERTSFORS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46262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53806-2025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46262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46262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46262</v>
      </c>
      <c r="F181" t="inlineStr">
        <is>
          <t>VÄSTERBOTTENS LÄN</t>
        </is>
      </c>
      <c r="G181" t="inlineStr">
        <is>
          <t>ROBERTSFORS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46262</v>
      </c>
      <c r="F182" t="inlineStr">
        <is>
          <t>VÄSTERBOTTENS LÄN</t>
        </is>
      </c>
      <c r="G182" t="inlineStr">
        <is>
          <t>ROBERTSFORS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46262</v>
      </c>
      <c r="F183" t="inlineStr">
        <is>
          <t>VÄSTERBOTTENS LÄN</t>
        </is>
      </c>
      <c r="G183" t="inlineStr">
        <is>
          <t>ROBERTSFORS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46262</v>
      </c>
      <c r="F184" t="inlineStr">
        <is>
          <t>VÄSTERBOTTENS LÄN</t>
        </is>
      </c>
      <c r="G184" t="inlineStr">
        <is>
          <t>ROBERTSFORS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46262</v>
      </c>
      <c r="F185" t="inlineStr">
        <is>
          <t>VÄSTERBOTTENS LÄN</t>
        </is>
      </c>
      <c r="G185" t="inlineStr">
        <is>
          <t>ROBERTSFORS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46262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46262</v>
      </c>
      <c r="F187" t="inlineStr">
        <is>
          <t>VÄSTERBOTTENS LÄN</t>
        </is>
      </c>
      <c r="G187" t="inlineStr">
        <is>
          <t>ROBERTSFORS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46262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46262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46262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46262</v>
      </c>
      <c r="F191" t="inlineStr">
        <is>
          <t>VÄSTERBOTTENS LÄN</t>
        </is>
      </c>
      <c r="G191" t="inlineStr">
        <is>
          <t>ROBERTSFORS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46262</v>
      </c>
      <c r="F192" t="inlineStr">
        <is>
          <t>VÄSTERBOTTENS LÄN</t>
        </is>
      </c>
      <c r="G192" t="inlineStr">
        <is>
          <t>ROBERTSFORS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46262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46262</v>
      </c>
      <c r="F194" t="inlineStr">
        <is>
          <t>VÄSTERBOTTENS LÄN</t>
        </is>
      </c>
      <c r="G194" t="inlineStr">
        <is>
          <t>ROBERTSFORS</t>
        </is>
      </c>
      <c r="I194" t="n">
        <v>12.7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46262</v>
      </c>
      <c r="F195" t="inlineStr">
        <is>
          <t>VÄSTERBOTTENS LÄN</t>
        </is>
      </c>
      <c r="G195" t="inlineStr">
        <is>
          <t>ROBERTSFORS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46262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45818</v>
      </c>
      <c r="E197" s="1" t="n">
        <v>46262</v>
      </c>
      <c r="F197" t="inlineStr">
        <is>
          <t>VÄSTERBOTTENS LÄN</t>
        </is>
      </c>
      <c r="G197" t="inlineStr">
        <is>
          <t>ROBERTSFORS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46262</v>
      </c>
      <c r="F198" t="inlineStr">
        <is>
          <t>VÄSTERBOTTENS LÄN</t>
        </is>
      </c>
      <c r="G198" t="inlineStr">
        <is>
          <t>ROBERTSFORS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46262</v>
      </c>
      <c r="F199" t="inlineStr">
        <is>
          <t>VÄSTERBOTTENS LÄN</t>
        </is>
      </c>
      <c r="G199" t="inlineStr">
        <is>
          <t>ROBERTSFORS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44130-2025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45915</v>
      </c>
      <c r="E200" s="1" t="n">
        <v>46262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46262</v>
      </c>
      <c r="F201" t="inlineStr">
        <is>
          <t>VÄSTERBOTTENS LÄN</t>
        </is>
      </c>
      <c r="G201" t="inlineStr">
        <is>
          <t>ROBERTSFORS</t>
        </is>
      </c>
      <c r="I201" t="n">
        <v>8.800000000000001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46262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46262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45919</v>
      </c>
      <c r="E204" s="1" t="n">
        <v>46262</v>
      </c>
      <c r="F204" t="inlineStr">
        <is>
          <t>VÄSTERBOTTENS LÄN</t>
        </is>
      </c>
      <c r="G204" t="inlineStr">
        <is>
          <t>ROBERTSFORS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46262</v>
      </c>
      <c r="F205" t="inlineStr">
        <is>
          <t>VÄSTERBOTTENS LÄN</t>
        </is>
      </c>
      <c r="G205" t="inlineStr">
        <is>
          <t>ROBERTSFORS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44960</v>
      </c>
      <c r="E206" s="1" t="n">
        <v>46262</v>
      </c>
      <c r="F206" t="inlineStr">
        <is>
          <t>VÄSTERBOTTENS LÄN</t>
        </is>
      </c>
      <c r="G206" t="inlineStr">
        <is>
          <t>ROBERTSFORS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44960</v>
      </c>
      <c r="E207" s="1" t="n">
        <v>46262</v>
      </c>
      <c r="F207" t="inlineStr">
        <is>
          <t>VÄSTERBOTTENS LÄN</t>
        </is>
      </c>
      <c r="G207" t="inlineStr">
        <is>
          <t>ROBERTSFORS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46262</v>
      </c>
      <c r="F208" t="inlineStr">
        <is>
          <t>VÄSTERBOTTENS LÄN</t>
        </is>
      </c>
      <c r="G208" t="inlineStr">
        <is>
          <t>ROBERTSFORS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46262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46262</v>
      </c>
      <c r="F210" t="inlineStr">
        <is>
          <t>VÄSTERBOTTENS LÄN</t>
        </is>
      </c>
      <c r="G210" t="inlineStr">
        <is>
          <t>ROBERTSFORS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46262</v>
      </c>
      <c r="F211" t="inlineStr">
        <is>
          <t>VÄSTERBOTTENS LÄN</t>
        </is>
      </c>
      <c r="G211" t="inlineStr">
        <is>
          <t>ROBERTSFORS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46262</v>
      </c>
      <c r="F212" t="inlineStr">
        <is>
          <t>VÄSTERBOTTENS LÄN</t>
        </is>
      </c>
      <c r="G212" t="inlineStr">
        <is>
          <t>ROBERTSFORS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46262</v>
      </c>
      <c r="F213" t="inlineStr">
        <is>
          <t>VÄSTERBOTTENS LÄN</t>
        </is>
      </c>
      <c r="G213" t="inlineStr">
        <is>
          <t>ROBERTSFORS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45924</v>
      </c>
      <c r="E214" s="1" t="n">
        <v>46262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46262</v>
      </c>
      <c r="F215" t="inlineStr">
        <is>
          <t>VÄSTERBOTTENS LÄN</t>
        </is>
      </c>
      <c r="G215" t="inlineStr">
        <is>
          <t>ROBERTSFORS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46262</v>
      </c>
      <c r="F216" t="inlineStr">
        <is>
          <t>VÄSTERBOTTENS LÄN</t>
        </is>
      </c>
      <c r="G216" t="inlineStr">
        <is>
          <t>ROBERTSFORS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44913</v>
      </c>
      <c r="E217" s="1" t="n">
        <v>46262</v>
      </c>
      <c r="F217" t="inlineStr">
        <is>
          <t>VÄSTERBOTTENS LÄN</t>
        </is>
      </c>
      <c r="G217" t="inlineStr">
        <is>
          <t>ROBERTSFORS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45070</v>
      </c>
      <c r="E218" s="1" t="n">
        <v>46262</v>
      </c>
      <c r="F218" t="inlineStr">
        <is>
          <t>VÄSTERBOTTENS LÄN</t>
        </is>
      </c>
      <c r="G218" t="inlineStr">
        <is>
          <t>ROBERTSFORS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45841</v>
      </c>
      <c r="E219" s="1" t="n">
        <v>46262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33375-2025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45841</v>
      </c>
      <c r="E220" s="1" t="n">
        <v>46262</v>
      </c>
      <c r="F220" t="inlineStr">
        <is>
          <t>VÄSTERBOTTENS LÄN</t>
        </is>
      </c>
      <c r="G220" t="inlineStr">
        <is>
          <t>ROBERTSFORS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46262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46262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46262</v>
      </c>
      <c r="F223" t="inlineStr">
        <is>
          <t>VÄSTERBOTTENS LÄN</t>
        </is>
      </c>
      <c r="G223" t="inlineStr">
        <is>
          <t>ROBERTSFORS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46262</v>
      </c>
      <c r="F224" t="inlineStr">
        <is>
          <t>VÄSTERBOTTENS LÄN</t>
        </is>
      </c>
      <c r="G224" t="inlineStr">
        <is>
          <t>ROBERTSFORS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46262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46262</v>
      </c>
      <c r="F226" t="inlineStr">
        <is>
          <t>VÄSTERBOTTENS LÄN</t>
        </is>
      </c>
      <c r="G226" t="inlineStr">
        <is>
          <t>ROBERTSFORS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44860</v>
      </c>
      <c r="E227" s="1" t="n">
        <v>46262</v>
      </c>
      <c r="F227" t="inlineStr">
        <is>
          <t>VÄSTERBOTTENS LÄN</t>
        </is>
      </c>
      <c r="G227" t="inlineStr">
        <is>
          <t>ROBERTSFORS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46262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45856</v>
      </c>
      <c r="E229" s="1" t="n">
        <v>46262</v>
      </c>
      <c r="F229" t="inlineStr">
        <is>
          <t>VÄSTERBOTTENS LÄN</t>
        </is>
      </c>
      <c r="G229" t="inlineStr">
        <is>
          <t>ROBERTSFORS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45856</v>
      </c>
      <c r="E230" s="1" t="n">
        <v>46262</v>
      </c>
      <c r="F230" t="inlineStr">
        <is>
          <t>VÄSTERBOTTENS LÄN</t>
        </is>
      </c>
      <c r="G230" t="inlineStr">
        <is>
          <t>ROBERTSFORS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46262</v>
      </c>
      <c r="F231" t="inlineStr">
        <is>
          <t>VÄSTERBOTTENS LÄN</t>
        </is>
      </c>
      <c r="G231" t="inlineStr">
        <is>
          <t>ROBERTSFORS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46262</v>
      </c>
      <c r="F232" t="inlineStr">
        <is>
          <t>VÄSTERBOTTENS LÄN</t>
        </is>
      </c>
      <c r="G232" t="inlineStr">
        <is>
          <t>ROBERTSFORS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46262</v>
      </c>
      <c r="F233" t="inlineStr">
        <is>
          <t>VÄSTERBOTTENS LÄN</t>
        </is>
      </c>
      <c r="G233" t="inlineStr">
        <is>
          <t>ROBERTSFORS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46262</v>
      </c>
      <c r="F234" t="inlineStr">
        <is>
          <t>VÄSTERBOTTENS LÄN</t>
        </is>
      </c>
      <c r="G234" t="inlineStr">
        <is>
          <t>ROBERTSFORS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46262</v>
      </c>
      <c r="F235" t="inlineStr">
        <is>
          <t>VÄSTERBOTTENS LÄN</t>
        </is>
      </c>
      <c r="G235" t="inlineStr">
        <is>
          <t>ROBERTSFORS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52834-2024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45610</v>
      </c>
      <c r="E236" s="1" t="n">
        <v>46262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SCA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36594-2025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45870</v>
      </c>
      <c r="E237" s="1" t="n">
        <v>46262</v>
      </c>
      <c r="F237" t="inlineStr">
        <is>
          <t>VÄSTERBOTTENS LÄN</t>
        </is>
      </c>
      <c r="G237" t="inlineStr">
        <is>
          <t>ROBERTSFORS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46262</v>
      </c>
      <c r="F238" t="inlineStr">
        <is>
          <t>VÄSTERBOTTENS LÄN</t>
        </is>
      </c>
      <c r="G238" t="inlineStr">
        <is>
          <t>ROBERTSFORS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45687</v>
      </c>
      <c r="E239" s="1" t="n">
        <v>46262</v>
      </c>
      <c r="F239" t="inlineStr">
        <is>
          <t>VÄSTERBOTTENS LÄN</t>
        </is>
      </c>
      <c r="G239" t="inlineStr">
        <is>
          <t>ROBERTSFORS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46262</v>
      </c>
      <c r="F240" t="inlineStr">
        <is>
          <t>VÄSTERBOTTENS LÄN</t>
        </is>
      </c>
      <c r="G240" t="inlineStr">
        <is>
          <t>ROBERTSFORS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46262</v>
      </c>
      <c r="F241" t="inlineStr">
        <is>
          <t>VÄSTERBOTTENS LÄN</t>
        </is>
      </c>
      <c r="G241" t="inlineStr">
        <is>
          <t>ROBERTSFORS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45996</v>
      </c>
      <c r="E242" s="1" t="n">
        <v>46262</v>
      </c>
      <c r="F242" t="inlineStr">
        <is>
          <t>VÄSTERBOTTENS LÄN</t>
        </is>
      </c>
      <c r="G242" t="inlineStr">
        <is>
          <t>ROBERTSFORS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46262</v>
      </c>
      <c r="F243" t="inlineStr">
        <is>
          <t>VÄSTERBOTTENS LÄN</t>
        </is>
      </c>
      <c r="G243" t="inlineStr">
        <is>
          <t>ROBERTSFORS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46262</v>
      </c>
      <c r="F244" t="inlineStr">
        <is>
          <t>VÄSTERBOTTENS LÄN</t>
        </is>
      </c>
      <c r="G244" t="inlineStr">
        <is>
          <t>ROBERTSFORS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46262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46262</v>
      </c>
      <c r="F246" t="inlineStr">
        <is>
          <t>VÄSTERBOTTENS LÄN</t>
        </is>
      </c>
      <c r="G246" t="inlineStr">
        <is>
          <t>ROBERTSFORS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45458</v>
      </c>
      <c r="E247" s="1" t="n">
        <v>46262</v>
      </c>
      <c r="F247" t="inlineStr">
        <is>
          <t>VÄSTERBOTTENS LÄN</t>
        </is>
      </c>
      <c r="G247" t="inlineStr">
        <is>
          <t>ROBERTSFORS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61114-2025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46262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Sveaskog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45205</v>
      </c>
      <c r="E249" s="1" t="n">
        <v>46262</v>
      </c>
      <c r="F249" t="inlineStr">
        <is>
          <t>VÄSTERBOTTENS LÄN</t>
        </is>
      </c>
      <c r="G249" t="inlineStr">
        <is>
          <t>ROBERTSFORS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46262</v>
      </c>
      <c r="F250" t="inlineStr">
        <is>
          <t>VÄSTERBOTTENS LÄN</t>
        </is>
      </c>
      <c r="G250" t="inlineStr">
        <is>
          <t>ROBERTSFORS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46262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46262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45458</v>
      </c>
      <c r="E253" s="1" t="n">
        <v>46262</v>
      </c>
      <c r="F253" t="inlineStr">
        <is>
          <t>VÄSTERBOTTENS LÄN</t>
        </is>
      </c>
      <c r="G253" t="inlineStr">
        <is>
          <t>ROBERTSFORS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45635</v>
      </c>
      <c r="E254" s="1" t="n">
        <v>46262</v>
      </c>
      <c r="F254" t="inlineStr">
        <is>
          <t>VÄSTERBOTTENS LÄN</t>
        </is>
      </c>
      <c r="G254" t="inlineStr">
        <is>
          <t>ROBERTSFORS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45029</v>
      </c>
      <c r="E255" s="1" t="n">
        <v>46262</v>
      </c>
      <c r="F255" t="inlineStr">
        <is>
          <t>VÄSTERBOTTENS LÄN</t>
        </is>
      </c>
      <c r="G255" t="inlineStr">
        <is>
          <t>ROBERTSFORS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44516</v>
      </c>
      <c r="E256" s="1" t="n">
        <v>46262</v>
      </c>
      <c r="F256" t="inlineStr">
        <is>
          <t>VÄSTERBOTTENS LÄN</t>
        </is>
      </c>
      <c r="G256" t="inlineStr">
        <is>
          <t>ROBERTSFORS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45480</v>
      </c>
      <c r="E257" s="1" t="n">
        <v>46262</v>
      </c>
      <c r="F257" t="inlineStr">
        <is>
          <t>VÄSTERBOTTENS LÄN</t>
        </is>
      </c>
      <c r="G257" t="inlineStr">
        <is>
          <t>ROBERTSFORS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45661</v>
      </c>
      <c r="E258" s="1" t="n">
        <v>46262</v>
      </c>
      <c r="F258" t="inlineStr">
        <is>
          <t>VÄSTERBOTTENS LÄN</t>
        </is>
      </c>
      <c r="G258" t="inlineStr">
        <is>
          <t>ROBERTSFORS</t>
        </is>
      </c>
      <c r="I258" t="n">
        <v>10.6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46262</v>
      </c>
      <c r="F259" t="inlineStr">
        <is>
          <t>VÄSTERBOTTENS LÄN</t>
        </is>
      </c>
      <c r="G259" t="inlineStr">
        <is>
          <t>ROBERTSFORS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65772-2021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46262</v>
      </c>
      <c r="F260" t="inlineStr">
        <is>
          <t>VÄSTERBOTTENS LÄN</t>
        </is>
      </c>
      <c r="G260" t="inlineStr">
        <is>
          <t>ROBERTSFORS</t>
        </is>
      </c>
      <c r="I260" t="n">
        <v>18.2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46262</v>
      </c>
      <c r="F261" t="inlineStr">
        <is>
          <t>VÄSTERBOTTENS LÄN</t>
        </is>
      </c>
      <c r="G261" t="inlineStr">
        <is>
          <t>ROBERTSFORS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46262</v>
      </c>
      <c r="F262" t="inlineStr">
        <is>
          <t>VÄSTERBOTTENS LÄN</t>
        </is>
      </c>
      <c r="G262" t="inlineStr">
        <is>
          <t>ROBERTSFORS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46262</v>
      </c>
      <c r="F263" t="inlineStr">
        <is>
          <t>VÄSTERBOTTENS LÄN</t>
        </is>
      </c>
      <c r="G263" t="inlineStr">
        <is>
          <t>ROBERTSFORS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32581-2022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44783</v>
      </c>
      <c r="E264" s="1" t="n">
        <v>46262</v>
      </c>
      <c r="F264" t="inlineStr">
        <is>
          <t>VÄSTERBOTTENS LÄN</t>
        </is>
      </c>
      <c r="G264" t="inlineStr">
        <is>
          <t>ROBERTSFORS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44026-2022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46262</v>
      </c>
      <c r="F265" t="inlineStr">
        <is>
          <t>VÄSTERBOTTENS LÄN</t>
        </is>
      </c>
      <c r="G265" t="inlineStr">
        <is>
          <t>ROBERTSFORS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46262</v>
      </c>
      <c r="F266" t="inlineStr">
        <is>
          <t>VÄSTERBOTTENS LÄN</t>
        </is>
      </c>
      <c r="G266" t="inlineStr">
        <is>
          <t>ROBERTSFORS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45653</v>
      </c>
      <c r="E267" s="1" t="n">
        <v>46262</v>
      </c>
      <c r="F267" t="inlineStr">
        <is>
          <t>VÄSTERBOTTENS LÄN</t>
        </is>
      </c>
      <c r="G267" t="inlineStr">
        <is>
          <t>ROBERTSFORS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46262</v>
      </c>
      <c r="F268" t="inlineStr">
        <is>
          <t>VÄSTERBOTTENS LÄN</t>
        </is>
      </c>
      <c r="G268" t="inlineStr">
        <is>
          <t>ROBERTSFORS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44945</v>
      </c>
      <c r="E269" s="1" t="n">
        <v>46262</v>
      </c>
      <c r="F269" t="inlineStr">
        <is>
          <t>VÄSTERBOTTENS LÄN</t>
        </is>
      </c>
      <c r="G269" t="inlineStr">
        <is>
          <t>ROBERTSFORS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57979-2021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44487</v>
      </c>
      <c r="E270" s="1" t="n">
        <v>46262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46037</v>
      </c>
      <c r="E271" s="1" t="n">
        <v>46262</v>
      </c>
      <c r="F271" t="inlineStr">
        <is>
          <t>VÄSTERBOTTENS LÄN</t>
        </is>
      </c>
      <c r="G271" t="inlineStr">
        <is>
          <t>ROBERTSFORS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45544</v>
      </c>
      <c r="E272" s="1" t="n">
        <v>46262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46262</v>
      </c>
      <c r="F273" t="inlineStr">
        <is>
          <t>VÄSTERBOTTENS LÄN</t>
        </is>
      </c>
      <c r="G273" t="inlineStr">
        <is>
          <t>ROBERTSFORS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46262</v>
      </c>
      <c r="F274" t="inlineStr">
        <is>
          <t>VÄSTERBOTTENS LÄN</t>
        </is>
      </c>
      <c r="G274" t="inlineStr">
        <is>
          <t>ROBERTSFORS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46262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46262</v>
      </c>
      <c r="F276" t="inlineStr">
        <is>
          <t>VÄSTERBOTTENS LÄN</t>
        </is>
      </c>
      <c r="G276" t="inlineStr">
        <is>
          <t>ROBERTSFORS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45335</v>
      </c>
      <c r="E277" s="1" t="n">
        <v>46262</v>
      </c>
      <c r="F277" t="inlineStr">
        <is>
          <t>VÄSTERBOTTENS LÄN</t>
        </is>
      </c>
      <c r="G277" t="inlineStr">
        <is>
          <t>ROBERTSFORS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46262</v>
      </c>
      <c r="F278" t="inlineStr">
        <is>
          <t>VÄSTERBOTTENS LÄN</t>
        </is>
      </c>
      <c r="G278" t="inlineStr">
        <is>
          <t>ROBERTSFORS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46262</v>
      </c>
      <c r="F279" t="inlineStr">
        <is>
          <t>VÄSTERBOTTENS LÄN</t>
        </is>
      </c>
      <c r="G279" t="inlineStr">
        <is>
          <t>ROBERTSFORS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46262</v>
      </c>
      <c r="F280" t="inlineStr">
        <is>
          <t>VÄSTERBOTTENS LÄN</t>
        </is>
      </c>
      <c r="G280" t="inlineStr">
        <is>
          <t>ROBERTSFORS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46262</v>
      </c>
      <c r="F281" t="inlineStr">
        <is>
          <t>VÄSTERBOTTENS LÄN</t>
        </is>
      </c>
      <c r="G281" t="inlineStr">
        <is>
          <t>ROBERTSFORS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46050</v>
      </c>
      <c r="E282" s="1" t="n">
        <v>46262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45405</v>
      </c>
      <c r="E283" s="1" t="n">
        <v>46262</v>
      </c>
      <c r="F283" t="inlineStr">
        <is>
          <t>VÄSTERBOTTENS LÄN</t>
        </is>
      </c>
      <c r="G283" t="inlineStr">
        <is>
          <t>ROBERTSFORS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46262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46262</v>
      </c>
      <c r="F285" t="inlineStr">
        <is>
          <t>VÄSTERBOTTENS LÄN</t>
        </is>
      </c>
      <c r="G285" t="inlineStr">
        <is>
          <t>ROBERTSFORS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46059</v>
      </c>
      <c r="E286" s="1" t="n">
        <v>46262</v>
      </c>
      <c r="F286" t="inlineStr">
        <is>
          <t>VÄSTERBOTTENS LÄN</t>
        </is>
      </c>
      <c r="G286" t="inlineStr">
        <is>
          <t>ROBERTSFORS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46262</v>
      </c>
      <c r="F287" t="inlineStr">
        <is>
          <t>VÄSTERBOTTENS LÄN</t>
        </is>
      </c>
      <c r="G287" t="inlineStr">
        <is>
          <t>ROBERTSFORS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46262</v>
      </c>
      <c r="F288" t="inlineStr">
        <is>
          <t>VÄSTERBOTTENS LÄN</t>
        </is>
      </c>
      <c r="G288" t="inlineStr">
        <is>
          <t>ROBERTSFORS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46262</v>
      </c>
      <c r="F289" t="inlineStr">
        <is>
          <t>VÄSTERBOTTENS LÄN</t>
        </is>
      </c>
      <c r="G289" t="inlineStr">
        <is>
          <t>ROBERTSFORS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46063</v>
      </c>
      <c r="E290" s="1" t="n">
        <v>46262</v>
      </c>
      <c r="F290" t="inlineStr">
        <is>
          <t>VÄSTERBOTTENS LÄN</t>
        </is>
      </c>
      <c r="G290" t="inlineStr">
        <is>
          <t>ROBERTSFORS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46262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46262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46065</v>
      </c>
      <c r="E293" s="1" t="n">
        <v>46262</v>
      </c>
      <c r="F293" t="inlineStr">
        <is>
          <t>VÄSTERBOTTENS LÄN</t>
        </is>
      </c>
      <c r="G293" t="inlineStr">
        <is>
          <t>ROBERTSFORS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44502</v>
      </c>
      <c r="E294" s="1" t="n">
        <v>46262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46262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46262</v>
      </c>
      <c r="F296" t="inlineStr">
        <is>
          <t>VÄSTERBOTTENS LÄN</t>
        </is>
      </c>
      <c r="G296" t="inlineStr">
        <is>
          <t>ROBERTSFORS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46083</v>
      </c>
      <c r="E297" s="1" t="n">
        <v>46262</v>
      </c>
      <c r="F297" t="inlineStr">
        <is>
          <t>VÄSTERBOTTENS LÄN</t>
        </is>
      </c>
      <c r="G297" t="inlineStr">
        <is>
          <t>ROBERTSFORS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46262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46262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46262</v>
      </c>
      <c r="F300" t="inlineStr">
        <is>
          <t>VÄSTERBOTTENS LÄN</t>
        </is>
      </c>
      <c r="G300" t="inlineStr">
        <is>
          <t>ROBERTSFORS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46262</v>
      </c>
      <c r="F301" t="inlineStr">
        <is>
          <t>VÄSTERBOTTENS LÄN</t>
        </is>
      </c>
      <c r="G301" t="inlineStr">
        <is>
          <t>ROBERTSFORS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46262</v>
      </c>
      <c r="F302" t="inlineStr">
        <is>
          <t>VÄSTERBOTTENS LÄN</t>
        </is>
      </c>
      <c r="G302" t="inlineStr">
        <is>
          <t>ROBERTSFORS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46262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9135-2024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45357</v>
      </c>
      <c r="E304" s="1" t="n">
        <v>46262</v>
      </c>
      <c r="F304" t="inlineStr">
        <is>
          <t>VÄSTERBOTTENS LÄN</t>
        </is>
      </c>
      <c r="G304" t="inlineStr">
        <is>
          <t>ROBERTSFORS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45712</v>
      </c>
      <c r="E305" s="1" t="n">
        <v>46262</v>
      </c>
      <c r="F305" t="inlineStr">
        <is>
          <t>VÄSTERBOTTENS LÄN</t>
        </is>
      </c>
      <c r="G305" t="inlineStr">
        <is>
          <t>ROBERTSFORS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46262</v>
      </c>
      <c r="F306" t="inlineStr">
        <is>
          <t>VÄSTERBOTTENS LÄN</t>
        </is>
      </c>
      <c r="G306" t="inlineStr">
        <is>
          <t>ROBERTSFORS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45587</v>
      </c>
      <c r="E307" s="1" t="n">
        <v>46262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46262</v>
      </c>
      <c r="F308" t="inlineStr">
        <is>
          <t>VÄSTERBOTTENS LÄN</t>
        </is>
      </c>
      <c r="G308" t="inlineStr">
        <is>
          <t>ROBERTSFORS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46262</v>
      </c>
      <c r="F309" t="inlineStr">
        <is>
          <t>VÄSTERBOTTENS LÄN</t>
        </is>
      </c>
      <c r="G309" t="inlineStr">
        <is>
          <t>ROBERTSFORS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45013</v>
      </c>
      <c r="E310" s="1" t="n">
        <v>46262</v>
      </c>
      <c r="F310" t="inlineStr">
        <is>
          <t>VÄSTERBOTTENS LÄN</t>
        </is>
      </c>
      <c r="G310" t="inlineStr">
        <is>
          <t>ROBERTSFORS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46262</v>
      </c>
      <c r="F311" t="inlineStr">
        <is>
          <t>VÄSTERBOTTENS LÄN</t>
        </is>
      </c>
      <c r="G311" t="inlineStr">
        <is>
          <t>ROBERTSFORS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46262</v>
      </c>
      <c r="F312" t="inlineStr">
        <is>
          <t>VÄSTERBOTTENS LÄN</t>
        </is>
      </c>
      <c r="G312" t="inlineStr">
        <is>
          <t>ROBERTSFORS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45042</v>
      </c>
      <c r="E313" s="1" t="n">
        <v>46262</v>
      </c>
      <c r="F313" t="inlineStr">
        <is>
          <t>VÄSTERBOTTENS LÄN</t>
        </is>
      </c>
      <c r="G313" t="inlineStr">
        <is>
          <t>ROBERTSFORS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45679</v>
      </c>
      <c r="E314" s="1" t="n">
        <v>46262</v>
      </c>
      <c r="F314" t="inlineStr">
        <is>
          <t>VÄSTERBOTTENS LÄN</t>
        </is>
      </c>
      <c r="G314" t="inlineStr">
        <is>
          <t>ROBERTSFORS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46262</v>
      </c>
      <c r="F315" t="inlineStr">
        <is>
          <t>VÄSTERBOTTENS LÄN</t>
        </is>
      </c>
      <c r="G315" t="inlineStr">
        <is>
          <t>ROBERTSFORS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53271-2021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44467</v>
      </c>
      <c r="E316" s="1" t="n">
        <v>46262</v>
      </c>
      <c r="F316" t="inlineStr">
        <is>
          <t>VÄSTERBOTTENS LÄN</t>
        </is>
      </c>
      <c r="G316" t="inlineStr">
        <is>
          <t>ROBERTSFORS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34844-2023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46262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45664</v>
      </c>
      <c r="E318" s="1" t="n">
        <v>46262</v>
      </c>
      <c r="F318" t="inlineStr">
        <is>
          <t>VÄSTERBOTTENS LÄN</t>
        </is>
      </c>
      <c r="G318" t="inlineStr">
        <is>
          <t>ROBERTSFORS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46112</v>
      </c>
      <c r="E319" s="1" t="n">
        <v>46262</v>
      </c>
      <c r="F319" t="inlineStr">
        <is>
          <t>VÄSTERBOTTENS LÄN</t>
        </is>
      </c>
      <c r="G319" t="inlineStr">
        <is>
          <t>ROBERTSFORS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46262</v>
      </c>
      <c r="F320" t="inlineStr">
        <is>
          <t>VÄSTERBOTTENS LÄN</t>
        </is>
      </c>
      <c r="G320" t="inlineStr">
        <is>
          <t>ROBERTSFORS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26038-2022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46262</v>
      </c>
      <c r="F321" t="inlineStr">
        <is>
          <t>VÄSTERBOTTENS LÄN</t>
        </is>
      </c>
      <c r="G321" t="inlineStr">
        <is>
          <t>ROBERTSFORS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45205</v>
      </c>
      <c r="E322" s="1" t="n">
        <v>46262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46262</v>
      </c>
      <c r="F323" t="inlineStr">
        <is>
          <t>VÄSTERBOTTENS LÄN</t>
        </is>
      </c>
      <c r="G323" t="inlineStr">
        <is>
          <t>ROBERTSFORS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46262</v>
      </c>
      <c r="F324" t="inlineStr">
        <is>
          <t>VÄSTERBOTTENS LÄN</t>
        </is>
      </c>
      <c r="G324" t="inlineStr">
        <is>
          <t>ROBERTSFORS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46262</v>
      </c>
      <c r="F325" t="inlineStr">
        <is>
          <t>VÄSTERBOTTENS LÄN</t>
        </is>
      </c>
      <c r="G325" t="inlineStr">
        <is>
          <t>ROBERTSFORS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46262</v>
      </c>
      <c r="F326" t="inlineStr">
        <is>
          <t>VÄSTERBOTTENS LÄN</t>
        </is>
      </c>
      <c r="G326" t="inlineStr">
        <is>
          <t>ROBERTSFORS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45020</v>
      </c>
      <c r="E327" s="1" t="n">
        <v>46262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46262</v>
      </c>
      <c r="F328" t="inlineStr">
        <is>
          <t>VÄSTERBOTTENS LÄN</t>
        </is>
      </c>
      <c r="G328" t="inlineStr">
        <is>
          <t>ROBERTSFORS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55469-2021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44475</v>
      </c>
      <c r="E329" s="1" t="n">
        <v>46262</v>
      </c>
      <c r="F329" t="inlineStr">
        <is>
          <t>VÄSTERBOTTENS LÄN</t>
        </is>
      </c>
      <c r="G329" t="inlineStr">
        <is>
          <t>ROBERTSFORS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46262</v>
      </c>
      <c r="F330" t="inlineStr">
        <is>
          <t>VÄSTERBOTTENS LÄN</t>
        </is>
      </c>
      <c r="G330" t="inlineStr">
        <is>
          <t>ROBERTSFORS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46262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46262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46262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46262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45002</v>
      </c>
      <c r="E335" s="1" t="n">
        <v>46262</v>
      </c>
      <c r="F335" t="inlineStr">
        <is>
          <t>VÄSTERBOTTENS LÄN</t>
        </is>
      </c>
      <c r="G335" t="inlineStr">
        <is>
          <t>ROBERTSFORS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19126-2026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46262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46262</v>
      </c>
      <c r="F337" t="inlineStr">
        <is>
          <t>VÄSTERBOTTENS LÄN</t>
        </is>
      </c>
      <c r="G337" t="inlineStr">
        <is>
          <t>ROBERTSFORS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46262</v>
      </c>
      <c r="F338" t="inlineStr">
        <is>
          <t>VÄSTERBOTTENS LÄN</t>
        </is>
      </c>
      <c r="G338" t="inlineStr">
        <is>
          <t>ROBERTSFORS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46135</v>
      </c>
      <c r="E339" s="1" t="n">
        <v>46262</v>
      </c>
      <c r="F339" t="inlineStr">
        <is>
          <t>VÄSTERBOTTENS LÄN</t>
        </is>
      </c>
      <c r="G339" t="inlineStr">
        <is>
          <t>ROBERTSFORS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45129</v>
      </c>
      <c r="E340" s="1" t="n">
        <v>46262</v>
      </c>
      <c r="F340" t="inlineStr">
        <is>
          <t>VÄSTERBOTTENS LÄN</t>
        </is>
      </c>
      <c r="G340" t="inlineStr">
        <is>
          <t>ROBERTSFORS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43027-2023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45182</v>
      </c>
      <c r="E341" s="1" t="n">
        <v>46262</v>
      </c>
      <c r="F341" t="inlineStr">
        <is>
          <t>VÄSTERBOTTENS LÄN</t>
        </is>
      </c>
      <c r="G341" t="inlineStr">
        <is>
          <t>ROBERTSFORS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46262</v>
      </c>
      <c r="F342" t="inlineStr">
        <is>
          <t>VÄSTERBOTTENS LÄN</t>
        </is>
      </c>
      <c r="G342" t="inlineStr">
        <is>
          <t>ROBERTSFORS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45502</v>
      </c>
      <c r="E343" s="1" t="n">
        <v>46262</v>
      </c>
      <c r="F343" t="inlineStr">
        <is>
          <t>VÄSTERBOTTENS LÄN</t>
        </is>
      </c>
      <c r="G343" t="inlineStr">
        <is>
          <t>ROBERTSFORS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46262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46262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45404</v>
      </c>
      <c r="E346" s="1" t="n">
        <v>46262</v>
      </c>
      <c r="F346" t="inlineStr">
        <is>
          <t>VÄSTERBOTTENS LÄN</t>
        </is>
      </c>
      <c r="G346" t="inlineStr">
        <is>
          <t>ROBERTSFORS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46262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SCA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46262</v>
      </c>
      <c r="F348" t="inlineStr">
        <is>
          <t>VÄSTERBOTTENS LÄN</t>
        </is>
      </c>
      <c r="G348" t="inlineStr">
        <is>
          <t>ROBERTSFORS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46262</v>
      </c>
      <c r="F349" t="inlineStr">
        <is>
          <t>VÄSTERBOTTENS LÄN</t>
        </is>
      </c>
      <c r="G349" t="inlineStr">
        <is>
          <t>ROBERTSFORS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45475</v>
      </c>
      <c r="E350" s="1" t="n">
        <v>46262</v>
      </c>
      <c r="F350" t="inlineStr">
        <is>
          <t>VÄSTERBOTTENS LÄN</t>
        </is>
      </c>
      <c r="G350" t="inlineStr">
        <is>
          <t>ROBERTSFORS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46262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46262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45635</v>
      </c>
      <c r="E353" s="1" t="n">
        <v>46262</v>
      </c>
      <c r="F353" t="inlineStr">
        <is>
          <t>VÄSTERBOTTENS LÄN</t>
        </is>
      </c>
      <c r="G353" t="inlineStr">
        <is>
          <t>ROBERTSFORS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45458</v>
      </c>
      <c r="E354" s="1" t="n">
        <v>46262</v>
      </c>
      <c r="F354" t="inlineStr">
        <is>
          <t>VÄSTERBOTTENS LÄN</t>
        </is>
      </c>
      <c r="G354" t="inlineStr">
        <is>
          <t>ROBERTSFORS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46262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45041</v>
      </c>
      <c r="E356" s="1" t="n">
        <v>46262</v>
      </c>
      <c r="F356" t="inlineStr">
        <is>
          <t>VÄSTERBOTTENS LÄN</t>
        </is>
      </c>
      <c r="G356" t="inlineStr">
        <is>
          <t>ROBERTSFORS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46262</v>
      </c>
      <c r="F357" t="inlineStr">
        <is>
          <t>VÄSTERBOTTENS LÄN</t>
        </is>
      </c>
      <c r="G357" t="inlineStr">
        <is>
          <t>ROBERTSFORS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46262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46262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45133</v>
      </c>
      <c r="E360" s="1" t="n">
        <v>46262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45734</v>
      </c>
      <c r="E361" s="1" t="n">
        <v>46262</v>
      </c>
      <c r="F361" t="inlineStr">
        <is>
          <t>VÄSTERBOTTENS LÄN</t>
        </is>
      </c>
      <c r="G361" t="inlineStr">
        <is>
          <t>ROBERTSFORS</t>
        </is>
      </c>
      <c r="I361" t="n">
        <v>24.4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45756</v>
      </c>
      <c r="E362" s="1" t="n">
        <v>46262</v>
      </c>
      <c r="F362" t="inlineStr">
        <is>
          <t>VÄSTERBOTTENS LÄN</t>
        </is>
      </c>
      <c r="G362" t="inlineStr">
        <is>
          <t>ROBERTSFORS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41914-2024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45561</v>
      </c>
      <c r="E363" s="1" t="n">
        <v>46262</v>
      </c>
      <c r="F363" t="inlineStr">
        <is>
          <t>VÄSTERBOTTENS LÄN</t>
        </is>
      </c>
      <c r="G363" t="inlineStr">
        <is>
          <t>ROBERTSFORS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45678</v>
      </c>
      <c r="E364" s="1" t="n">
        <v>46262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19925-2026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46136</v>
      </c>
      <c r="E365" s="1" t="n">
        <v>46262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46262</v>
      </c>
      <c r="F366" t="inlineStr">
        <is>
          <t>VÄSTERBOTTENS LÄN</t>
        </is>
      </c>
      <c r="G366" t="inlineStr">
        <is>
          <t>ROBERTSFORS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57629-2023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46262</v>
      </c>
      <c r="F367" t="inlineStr">
        <is>
          <t>VÄSTERBOTTENS LÄN</t>
        </is>
      </c>
      <c r="G367" t="inlineStr">
        <is>
          <t>ROBERTSFORS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46262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46262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45268</v>
      </c>
      <c r="E370" s="1" t="n">
        <v>46262</v>
      </c>
      <c r="F370" t="inlineStr">
        <is>
          <t>VÄSTERBOTTENS LÄN</t>
        </is>
      </c>
      <c r="G370" t="inlineStr">
        <is>
          <t>ROBERTSFORS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45307</v>
      </c>
      <c r="E371" s="1" t="n">
        <v>46262</v>
      </c>
      <c r="F371" t="inlineStr">
        <is>
          <t>VÄSTERBOTTENS LÄN</t>
        </is>
      </c>
      <c r="G371" t="inlineStr">
        <is>
          <t>ROBERTSFORS</t>
        </is>
      </c>
      <c r="I371" t="n">
        <v>12.1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51966-2024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45607</v>
      </c>
      <c r="E372" s="1" t="n">
        <v>46262</v>
      </c>
      <c r="F372" t="inlineStr">
        <is>
          <t>VÄSTERBOTTENS LÄN</t>
        </is>
      </c>
      <c r="G372" t="inlineStr">
        <is>
          <t>ROBERTSFORS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45470</v>
      </c>
      <c r="E373" s="1" t="n">
        <v>46262</v>
      </c>
      <c r="F373" t="inlineStr">
        <is>
          <t>VÄSTERBOTTENS LÄN</t>
        </is>
      </c>
      <c r="G373" t="inlineStr">
        <is>
          <t>ROBERTSFORS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991-2024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45301</v>
      </c>
      <c r="E374" s="1" t="n">
        <v>46262</v>
      </c>
      <c r="F374" t="inlineStr">
        <is>
          <t>VÄSTERBOTTENS LÄN</t>
        </is>
      </c>
      <c r="G374" t="inlineStr">
        <is>
          <t>ROBERTSFORS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45712</v>
      </c>
      <c r="E375" s="1" t="n">
        <v>46262</v>
      </c>
      <c r="F375" t="inlineStr">
        <is>
          <t>VÄSTERBOTTENS LÄN</t>
        </is>
      </c>
      <c r="G375" t="inlineStr">
        <is>
          <t>ROBERTSFORS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46262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45261</v>
      </c>
      <c r="E377" s="1" t="n">
        <v>46262</v>
      </c>
      <c r="F377" t="inlineStr">
        <is>
          <t>VÄSTERBOTTENS LÄN</t>
        </is>
      </c>
      <c r="G377" t="inlineStr">
        <is>
          <t>ROBERTSFORS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46262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46262</v>
      </c>
      <c r="F379" t="inlineStr">
        <is>
          <t>VÄSTERBOTTENS LÄN</t>
        </is>
      </c>
      <c r="G379" t="inlineStr">
        <is>
          <t>ROBERTSFORS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46262</v>
      </c>
      <c r="F380" t="inlineStr">
        <is>
          <t>VÄSTERBOTTENS LÄN</t>
        </is>
      </c>
      <c r="G380" t="inlineStr">
        <is>
          <t>ROBERTSFORS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46262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45176</v>
      </c>
      <c r="E382" s="1" t="n">
        <v>46262</v>
      </c>
      <c r="F382" t="inlineStr">
        <is>
          <t>VÄSTERBOTTENS LÄN</t>
        </is>
      </c>
      <c r="G382" t="inlineStr">
        <is>
          <t>ROBERTSFORS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46262</v>
      </c>
      <c r="F383" t="inlineStr">
        <is>
          <t>VÄSTERBOTTENS LÄN</t>
        </is>
      </c>
      <c r="G383" t="inlineStr">
        <is>
          <t>ROBERTSFORS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45365</v>
      </c>
      <c r="E384" s="1" t="n">
        <v>46262</v>
      </c>
      <c r="F384" t="inlineStr">
        <is>
          <t>VÄSTERBOTTENS LÄN</t>
        </is>
      </c>
      <c r="G384" t="inlineStr">
        <is>
          <t>ROBERTSFORS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46148</v>
      </c>
      <c r="E385" s="1" t="n">
        <v>46262</v>
      </c>
      <c r="F385" t="inlineStr">
        <is>
          <t>VÄSTERBOTTENS LÄN</t>
        </is>
      </c>
      <c r="G385" t="inlineStr">
        <is>
          <t>ROBERTSFORS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46262</v>
      </c>
      <c r="F386" t="inlineStr">
        <is>
          <t>VÄSTERBOTTENS LÄN</t>
        </is>
      </c>
      <c r="G386" t="inlineStr">
        <is>
          <t>ROBERTSFORS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46262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46262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45667</v>
      </c>
      <c r="E389" s="1" t="n">
        <v>46262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52832-2024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45610</v>
      </c>
      <c r="E390" s="1" t="n">
        <v>46262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SCA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46150</v>
      </c>
      <c r="E391" s="1" t="n">
        <v>46262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46262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45526</v>
      </c>
      <c r="E393" s="1" t="n">
        <v>46262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46262</v>
      </c>
      <c r="F394" t="inlineStr">
        <is>
          <t>VÄSTERBOTTENS LÄN</t>
        </is>
      </c>
      <c r="G394" t="inlineStr">
        <is>
          <t>ROBERTSFORS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46262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46262</v>
      </c>
      <c r="F396" t="inlineStr">
        <is>
          <t>VÄSTERBOTTENS LÄN</t>
        </is>
      </c>
      <c r="G396" t="inlineStr">
        <is>
          <t>ROBERTSFORS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46262</v>
      </c>
      <c r="F397" t="inlineStr">
        <is>
          <t>VÄSTERBOTTENS LÄN</t>
        </is>
      </c>
      <c r="G397" t="inlineStr">
        <is>
          <t>ROBERTSFORS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46262</v>
      </c>
      <c r="F398" t="inlineStr">
        <is>
          <t>VÄSTERBOTTENS LÄN</t>
        </is>
      </c>
      <c r="G398" t="inlineStr">
        <is>
          <t>ROBERTSFORS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45644</v>
      </c>
      <c r="E399" s="1" t="n">
        <v>46262</v>
      </c>
      <c r="F399" t="inlineStr">
        <is>
          <t>VÄSTERBOTTENS LÄN</t>
        </is>
      </c>
      <c r="G399" t="inlineStr">
        <is>
          <t>ROBERTSFORS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46262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46262</v>
      </c>
      <c r="F401" t="inlineStr">
        <is>
          <t>VÄSTERBOTTENS LÄN</t>
        </is>
      </c>
      <c r="G401" t="inlineStr">
        <is>
          <t>ROBERTSFORS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44876</v>
      </c>
      <c r="E402" s="1" t="n">
        <v>46262</v>
      </c>
      <c r="F402" t="inlineStr">
        <is>
          <t>VÄSTERBOTTENS LÄN</t>
        </is>
      </c>
      <c r="G402" t="inlineStr">
        <is>
          <t>ROBERTSFORS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45502</v>
      </c>
      <c r="E403" s="1" t="n">
        <v>46262</v>
      </c>
      <c r="F403" t="inlineStr">
        <is>
          <t>VÄSTERBOTTENS LÄN</t>
        </is>
      </c>
      <c r="G403" t="inlineStr">
        <is>
          <t>ROBERTSFORS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46262</v>
      </c>
      <c r="F404" t="inlineStr">
        <is>
          <t>VÄSTERBOTTENS LÄN</t>
        </is>
      </c>
      <c r="G404" t="inlineStr">
        <is>
          <t>ROBERTSFORS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46262</v>
      </c>
      <c r="F405" t="inlineStr">
        <is>
          <t>VÄSTERBOTTENS LÄN</t>
        </is>
      </c>
      <c r="G405" t="inlineStr">
        <is>
          <t>ROBERTSFORS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46262</v>
      </c>
      <c r="F406" t="inlineStr">
        <is>
          <t>VÄSTERBOTTENS LÄN</t>
        </is>
      </c>
      <c r="G406" t="inlineStr">
        <is>
          <t>ROBERTSFORS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16865-2023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45029</v>
      </c>
      <c r="E407" s="1" t="n">
        <v>46262</v>
      </c>
      <c r="F407" t="inlineStr">
        <is>
          <t>VÄSTERBOTTENS LÄN</t>
        </is>
      </c>
      <c r="G407" t="inlineStr">
        <is>
          <t>ROBERTSFORS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46262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45846-2024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45580</v>
      </c>
      <c r="E409" s="1" t="n">
        <v>46262</v>
      </c>
      <c r="F409" t="inlineStr">
        <is>
          <t>VÄSTERBOTTENS LÄN</t>
        </is>
      </c>
      <c r="G409" t="inlineStr">
        <is>
          <t>ROBERTSFORS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45565</v>
      </c>
      <c r="E410" s="1" t="n">
        <v>46262</v>
      </c>
      <c r="F410" t="inlineStr">
        <is>
          <t>VÄSTERBOTTENS LÄN</t>
        </is>
      </c>
      <c r="G410" t="inlineStr">
        <is>
          <t>ROBERTSFORS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45627</v>
      </c>
      <c r="E411" s="1" t="n">
        <v>46262</v>
      </c>
      <c r="F411" t="inlineStr">
        <is>
          <t>VÄSTERBOTTENS LÄN</t>
        </is>
      </c>
      <c r="G411" t="inlineStr">
        <is>
          <t>ROBERTSFORS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46262</v>
      </c>
      <c r="F412" t="inlineStr">
        <is>
          <t>VÄSTERBOTTENS LÄN</t>
        </is>
      </c>
      <c r="G412" t="inlineStr">
        <is>
          <t>ROBERTSFORS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46169</v>
      </c>
      <c r="E413" s="1" t="n">
        <v>46262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45049</v>
      </c>
      <c r="E414" s="1" t="n">
        <v>46262</v>
      </c>
      <c r="F414" t="inlineStr">
        <is>
          <t>VÄSTERBOTTENS LÄN</t>
        </is>
      </c>
      <c r="G414" t="inlineStr">
        <is>
          <t>ROBERTSFORS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58426-2022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44901</v>
      </c>
      <c r="E415" s="1" t="n">
        <v>46262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45140</v>
      </c>
      <c r="E416" s="1" t="n">
        <v>46262</v>
      </c>
      <c r="F416" t="inlineStr">
        <is>
          <t>VÄSTERBOTTENS LÄN</t>
        </is>
      </c>
      <c r="G416" t="inlineStr">
        <is>
          <t>ROBERTSFORS</t>
        </is>
      </c>
      <c r="I416" t="n">
        <v>15.3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24647-2026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46262</v>
      </c>
      <c r="F417" t="inlineStr">
        <is>
          <t>VÄSTERBOTTENS LÄN</t>
        </is>
      </c>
      <c r="G417" t="inlineStr">
        <is>
          <t>ROBERTSFORS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46262</v>
      </c>
      <c r="F418" t="inlineStr">
        <is>
          <t>VÄSTERBOTTENS LÄN</t>
        </is>
      </c>
      <c r="G418" t="inlineStr">
        <is>
          <t>ROBERTSFORS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50046-2024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46262</v>
      </c>
      <c r="F419" t="inlineStr">
        <is>
          <t>VÄSTERBOTTENS LÄN</t>
        </is>
      </c>
      <c r="G419" t="inlineStr">
        <is>
          <t>ROBERTSFORS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13164-2024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45386</v>
      </c>
      <c r="E420" s="1" t="n">
        <v>46262</v>
      </c>
      <c r="F420" t="inlineStr">
        <is>
          <t>VÄSTERBOTTENS LÄN</t>
        </is>
      </c>
      <c r="G420" t="inlineStr">
        <is>
          <t>ROBERTSFORS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24705-2026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46171</v>
      </c>
      <c r="E421" s="1" t="n">
        <v>46262</v>
      </c>
      <c r="F421" t="inlineStr">
        <is>
          <t>VÄSTERBOTTENS LÄN</t>
        </is>
      </c>
      <c r="G421" t="inlineStr">
        <is>
          <t>ROBERTSFORS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45250</v>
      </c>
      <c r="E422" s="1" t="n">
        <v>46262</v>
      </c>
      <c r="F422" t="inlineStr">
        <is>
          <t>VÄSTERBOTTENS LÄN</t>
        </is>
      </c>
      <c r="G422" t="inlineStr">
        <is>
          <t>ROBERTSFORS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45610</v>
      </c>
      <c r="E423" s="1" t="n">
        <v>46262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SCA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46262</v>
      </c>
      <c r="F424" t="inlineStr">
        <is>
          <t>VÄSTERBOTTENS LÄN</t>
        </is>
      </c>
      <c r="G424" t="inlineStr">
        <is>
          <t>ROBERTSFORS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44571</v>
      </c>
      <c r="E425" s="1" t="n">
        <v>46262</v>
      </c>
      <c r="F425" t="inlineStr">
        <is>
          <t>VÄSTERBOTTENS LÄN</t>
        </is>
      </c>
      <c r="G425" t="inlineStr">
        <is>
          <t>ROBERTSFORS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44895</v>
      </c>
      <c r="E426" s="1" t="n">
        <v>46262</v>
      </c>
      <c r="F426" t="inlineStr">
        <is>
          <t>VÄSTERBOTTENS LÄN</t>
        </is>
      </c>
      <c r="G426" t="inlineStr">
        <is>
          <t>ROBERTSFORS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25154-2026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46175</v>
      </c>
      <c r="E427" s="1" t="n">
        <v>46262</v>
      </c>
      <c r="F427" t="inlineStr">
        <is>
          <t>VÄSTERBOTTENS LÄN</t>
        </is>
      </c>
      <c r="G427" t="inlineStr">
        <is>
          <t>ROBERTSFORS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46176</v>
      </c>
      <c r="E428" s="1" t="n">
        <v>46262</v>
      </c>
      <c r="F428" t="inlineStr">
        <is>
          <t>VÄSTERBOTTENS LÄN</t>
        </is>
      </c>
      <c r="G428" t="inlineStr">
        <is>
          <t>ROBERTSFORS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26368-2024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46262</v>
      </c>
      <c r="F429" t="inlineStr">
        <is>
          <t>VÄSTERBOTTENS LÄN</t>
        </is>
      </c>
      <c r="G429" t="inlineStr">
        <is>
          <t>ROBERTSFORS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38120-2024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46262</v>
      </c>
      <c r="F430" t="inlineStr">
        <is>
          <t>VÄSTERBOTTENS LÄN</t>
        </is>
      </c>
      <c r="G430" t="inlineStr">
        <is>
          <t>ROBERTSFORS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45664</v>
      </c>
      <c r="E431" s="1" t="n">
        <v>46262</v>
      </c>
      <c r="F431" t="inlineStr">
        <is>
          <t>VÄSTERBOTTENS LÄN</t>
        </is>
      </c>
      <c r="G431" t="inlineStr">
        <is>
          <t>ROBERTSFORS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46262</v>
      </c>
      <c r="F432" t="inlineStr">
        <is>
          <t>VÄSTERBOTTENS LÄN</t>
        </is>
      </c>
      <c r="G432" t="inlineStr">
        <is>
          <t>ROBERTSFORS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23647-2024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45454</v>
      </c>
      <c r="E433" s="1" t="n">
        <v>46262</v>
      </c>
      <c r="F433" t="inlineStr">
        <is>
          <t>VÄSTERBOTTENS LÄN</t>
        </is>
      </c>
      <c r="G433" t="inlineStr">
        <is>
          <t>ROBERTSFORS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46262</v>
      </c>
      <c r="F434" t="inlineStr">
        <is>
          <t>VÄSTERBOTTENS LÄN</t>
        </is>
      </c>
      <c r="G434" t="inlineStr">
        <is>
          <t>ROBERTSFORS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46262</v>
      </c>
      <c r="F435" t="inlineStr">
        <is>
          <t>VÄSTERBOTTENS LÄN</t>
        </is>
      </c>
      <c r="G435" t="inlineStr">
        <is>
          <t>ROBERTSFORS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30733-2024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45496</v>
      </c>
      <c r="E436" s="1" t="n">
        <v>46262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10173-2022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44622</v>
      </c>
      <c r="E437" s="1" t="n">
        <v>46262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26045-2026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46262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25572-2023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45082</v>
      </c>
      <c r="E439" s="1" t="n">
        <v>46262</v>
      </c>
      <c r="F439" t="inlineStr">
        <is>
          <t>VÄSTERBOTTENS LÄN</t>
        </is>
      </c>
      <c r="G439" t="inlineStr">
        <is>
          <t>ROBERTSFORS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46262</v>
      </c>
      <c r="F440" t="inlineStr">
        <is>
          <t>VÄSTERBOTTENS LÄN</t>
        </is>
      </c>
      <c r="G440" t="inlineStr">
        <is>
          <t>ROBERTSFORS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44952</v>
      </c>
      <c r="E441" s="1" t="n">
        <v>46262</v>
      </c>
      <c r="F441" t="inlineStr">
        <is>
          <t>VÄSTERBOTTENS LÄN</t>
        </is>
      </c>
      <c r="G441" t="inlineStr">
        <is>
          <t>ROBERTSFORS</t>
        </is>
      </c>
      <c r="I441" t="n">
        <v>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46262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46225</v>
      </c>
      <c r="E443" s="1" t="n">
        <v>46262</v>
      </c>
      <c r="F443" t="inlineStr">
        <is>
          <t>VÄSTERBOTTENS LÄN</t>
        </is>
      </c>
      <c r="G443" t="inlineStr">
        <is>
          <t>ROBERTSFORS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31665-2026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46225</v>
      </c>
      <c r="E444" s="1" t="n">
        <v>46262</v>
      </c>
      <c r="F444" t="inlineStr">
        <is>
          <t>VÄSTERBOTTENS LÄN</t>
        </is>
      </c>
      <c r="G444" t="inlineStr">
        <is>
          <t>ROBERTSFORS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46262</v>
      </c>
      <c r="F445" t="inlineStr">
        <is>
          <t>VÄSTERBOTTENS LÄN</t>
        </is>
      </c>
      <c r="G445" t="inlineStr">
        <is>
          <t>ROBERTSFORS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46225</v>
      </c>
      <c r="E446" s="1" t="n">
        <v>46262</v>
      </c>
      <c r="F446" t="inlineStr">
        <is>
          <t>VÄSTERBOTTENS LÄN</t>
        </is>
      </c>
      <c r="G446" t="inlineStr">
        <is>
          <t>ROBERTSFORS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46262</v>
      </c>
      <c r="F447" t="inlineStr">
        <is>
          <t>VÄSTERBOTTENS LÄN</t>
        </is>
      </c>
      <c r="G447" t="inlineStr">
        <is>
          <t>ROBERTSFORS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31806-2026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46230</v>
      </c>
      <c r="E448" s="1" t="n">
        <v>46262</v>
      </c>
      <c r="F448" t="inlineStr">
        <is>
          <t>VÄSTERBOTTENS LÄN</t>
        </is>
      </c>
      <c r="G448" t="inlineStr">
        <is>
          <t>ROBERTSFORS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46262</v>
      </c>
      <c r="F449" t="inlineStr">
        <is>
          <t>VÄSTERBOTTENS LÄN</t>
        </is>
      </c>
      <c r="G449" t="inlineStr">
        <is>
          <t>ROBERTSFORS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45184</v>
      </c>
      <c r="E450" s="1" t="n">
        <v>46262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46185</v>
      </c>
      <c r="E451" s="1" t="n">
        <v>46262</v>
      </c>
      <c r="F451" t="inlineStr">
        <is>
          <t>VÄSTERBOTTENS LÄN</t>
        </is>
      </c>
      <c r="G451" t="inlineStr">
        <is>
          <t>ROBERTSFORS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46262</v>
      </c>
      <c r="F452" t="inlineStr">
        <is>
          <t>VÄSTERBOTTENS LÄN</t>
        </is>
      </c>
      <c r="G452" t="inlineStr">
        <is>
          <t>ROBERTSFORS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46262</v>
      </c>
      <c r="F453" t="inlineStr">
        <is>
          <t>VÄSTERBOTTENS LÄN</t>
        </is>
      </c>
      <c r="G453" t="inlineStr">
        <is>
          <t>ROBERTSFORS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46262</v>
      </c>
      <c r="F454" t="inlineStr">
        <is>
          <t>VÄSTERBOTTENS LÄN</t>
        </is>
      </c>
      <c r="G454" t="inlineStr">
        <is>
          <t>ROBERTSFORS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46262</v>
      </c>
      <c r="F455" t="inlineStr">
        <is>
          <t>VÄSTERBOTTENS LÄN</t>
        </is>
      </c>
      <c r="G455" t="inlineStr">
        <is>
          <t>ROBERTSFORS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46262</v>
      </c>
      <c r="F456" t="inlineStr">
        <is>
          <t>VÄSTERBOTTENS LÄN</t>
        </is>
      </c>
      <c r="G456" t="inlineStr">
        <is>
          <t>ROBERTSFORS</t>
        </is>
      </c>
      <c r="I456" t="n">
        <v>16.1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46262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46262</v>
      </c>
      <c r="F458" t="inlineStr">
        <is>
          <t>VÄSTERBOTTENS LÄN</t>
        </is>
      </c>
      <c r="G458" t="inlineStr">
        <is>
          <t>ROBERTSFORS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51873-2024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46262</v>
      </c>
      <c r="F459" t="inlineStr">
        <is>
          <t>VÄSTERBOTTENS LÄN</t>
        </is>
      </c>
      <c r="G459" t="inlineStr">
        <is>
          <t>ROBERTSFORS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45659</v>
      </c>
      <c r="E460" s="1" t="n">
        <v>46262</v>
      </c>
      <c r="F460" t="inlineStr">
        <is>
          <t>VÄSTERBOTTENS LÄN</t>
        </is>
      </c>
      <c r="G460" t="inlineStr">
        <is>
          <t>ROBERTSFORS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44980</v>
      </c>
      <c r="E461" s="1" t="n">
        <v>46262</v>
      </c>
      <c r="F461" t="inlineStr">
        <is>
          <t>VÄSTERBOTTENS LÄN</t>
        </is>
      </c>
      <c r="G461" t="inlineStr">
        <is>
          <t>ROBERTSFORS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43095-2023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46262</v>
      </c>
      <c r="F462" t="inlineStr">
        <is>
          <t>VÄSTERBOTTENS LÄN</t>
        </is>
      </c>
      <c r="G462" t="inlineStr">
        <is>
          <t>ROBERTSFORS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58030-2024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45631</v>
      </c>
      <c r="E463" s="1" t="n">
        <v>46262</v>
      </c>
      <c r="F463" t="inlineStr">
        <is>
          <t>VÄSTERBOTTENS LÄN</t>
        </is>
      </c>
      <c r="G463" t="inlineStr">
        <is>
          <t>ROBERTSFORS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46262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45620</v>
      </c>
      <c r="E465" s="1" t="n">
        <v>46262</v>
      </c>
      <c r="F465" t="inlineStr">
        <is>
          <t>VÄSTERBOTTENS LÄN</t>
        </is>
      </c>
      <c r="G465" t="inlineStr">
        <is>
          <t>ROBERTSFORS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46262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46262</v>
      </c>
      <c r="F467" t="inlineStr">
        <is>
          <t>VÄSTERBOTTENS LÄN</t>
        </is>
      </c>
      <c r="G467" t="inlineStr">
        <is>
          <t>ROBERTSFORS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46239</v>
      </c>
      <c r="E468" s="1" t="n">
        <v>46262</v>
      </c>
      <c r="F468" t="inlineStr">
        <is>
          <t>VÄSTERBOTTENS LÄN</t>
        </is>
      </c>
      <c r="G468" t="inlineStr">
        <is>
          <t>ROBERTSFORS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45135</v>
      </c>
      <c r="E469" s="1" t="n">
        <v>46262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46239</v>
      </c>
      <c r="E470" s="1" t="n">
        <v>46262</v>
      </c>
      <c r="F470" t="inlineStr">
        <is>
          <t>VÄSTERBOTTENS LÄN</t>
        </is>
      </c>
      <c r="G470" t="inlineStr">
        <is>
          <t>ROBERTSFORS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46262</v>
      </c>
      <c r="F471" t="inlineStr">
        <is>
          <t>VÄSTERBOTTENS LÄN</t>
        </is>
      </c>
      <c r="G471" t="inlineStr">
        <is>
          <t>ROBERTSFORS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46262</v>
      </c>
      <c r="F472" t="inlineStr">
        <is>
          <t>VÄSTERBOTTENS LÄN</t>
        </is>
      </c>
      <c r="G472" t="inlineStr">
        <is>
          <t>ROBERTSFORS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46262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46262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28651-2026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46262</v>
      </c>
      <c r="F475" t="inlineStr">
        <is>
          <t>VÄSTERBOTTENS LÄN</t>
        </is>
      </c>
      <c r="G475" t="inlineStr">
        <is>
          <t>ROBERTSFORS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32594-2026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46262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46262</v>
      </c>
      <c r="F477" t="inlineStr">
        <is>
          <t>VÄSTERBOTTENS LÄN</t>
        </is>
      </c>
      <c r="G477" t="inlineStr">
        <is>
          <t>ROBERTSFORS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46262</v>
      </c>
      <c r="F478" t="inlineStr">
        <is>
          <t>VÄSTERBOTTENS LÄN</t>
        </is>
      </c>
      <c r="G478" t="inlineStr">
        <is>
          <t>ROBERTSFORS</t>
        </is>
      </c>
      <c r="I478" t="n">
        <v>11.3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45636</v>
      </c>
      <c r="E479" s="1" t="n">
        <v>46262</v>
      </c>
      <c r="F479" t="inlineStr">
        <is>
          <t>VÄSTERBOTTENS LÄN</t>
        </is>
      </c>
      <c r="G479" t="inlineStr">
        <is>
          <t>ROBERTSFORS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46240</v>
      </c>
      <c r="E480" s="1" t="n">
        <v>46262</v>
      </c>
      <c r="F480" t="inlineStr">
        <is>
          <t>VÄSTERBOTTENS LÄN</t>
        </is>
      </c>
      <c r="G480" t="inlineStr">
        <is>
          <t>ROBERTSFORS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46240</v>
      </c>
      <c r="E481" s="1" t="n">
        <v>46262</v>
      </c>
      <c r="F481" t="inlineStr">
        <is>
          <t>VÄSTERBOTTENS LÄN</t>
        </is>
      </c>
      <c r="G481" t="inlineStr">
        <is>
          <t>ROBERTSFORS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46240</v>
      </c>
      <c r="E482" s="1" t="n">
        <v>46262</v>
      </c>
      <c r="F482" t="inlineStr">
        <is>
          <t>VÄSTERBOTTENS LÄN</t>
        </is>
      </c>
      <c r="G482" t="inlineStr">
        <is>
          <t>ROBERTSFORS</t>
        </is>
      </c>
      <c r="I482" t="n">
        <v>7.9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46262</v>
      </c>
      <c r="F483" t="inlineStr">
        <is>
          <t>VÄSTERBOTTENS LÄN</t>
        </is>
      </c>
      <c r="G483" t="inlineStr">
        <is>
          <t>ROBERTSFORS</t>
        </is>
      </c>
      <c r="I483" t="n">
        <v>11.5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44683</v>
      </c>
      <c r="E484" s="1" t="n">
        <v>46262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45530</v>
      </c>
      <c r="E485" s="1" t="n">
        <v>46262</v>
      </c>
      <c r="F485" t="inlineStr">
        <is>
          <t>VÄSTERBOTTENS LÄN</t>
        </is>
      </c>
      <c r="G485" t="inlineStr">
        <is>
          <t>ROBERTSFORS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44960</v>
      </c>
      <c r="E486" s="1" t="n">
        <v>46262</v>
      </c>
      <c r="F486" t="inlineStr">
        <is>
          <t>VÄSTERBOTTENS LÄN</t>
        </is>
      </c>
      <c r="G486" t="inlineStr">
        <is>
          <t>ROBERTSFORS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44588</v>
      </c>
      <c r="E487" s="1" t="n">
        <v>46262</v>
      </c>
      <c r="F487" t="inlineStr">
        <is>
          <t>VÄSTERBOTTENS LÄN</t>
        </is>
      </c>
      <c r="G487" t="inlineStr">
        <is>
          <t>ROBERTSFORS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32912-2026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46262</v>
      </c>
      <c r="F488" t="inlineStr">
        <is>
          <t>VÄSTERBOTTENS LÄN</t>
        </is>
      </c>
      <c r="G488" t="inlineStr">
        <is>
          <t>ROBERTSFORS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46262</v>
      </c>
      <c r="F489" t="inlineStr">
        <is>
          <t>VÄSTERBOTTENS LÄN</t>
        </is>
      </c>
      <c r="G489" t="inlineStr">
        <is>
          <t>ROBERTSFORS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29600-2026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46262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SCA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45659</v>
      </c>
      <c r="E491" s="1" t="n">
        <v>46262</v>
      </c>
      <c r="F491" t="inlineStr">
        <is>
          <t>VÄSTERBOTTENS LÄN</t>
        </is>
      </c>
      <c r="G491" t="inlineStr">
        <is>
          <t>ROBERTSFORS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29459-2026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46262</v>
      </c>
      <c r="F492" t="inlineStr">
        <is>
          <t>VÄSTERBOTTENS LÄN</t>
        </is>
      </c>
      <c r="G492" t="inlineStr">
        <is>
          <t>ROBERTSFORS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46262</v>
      </c>
      <c r="F493" t="inlineStr">
        <is>
          <t>VÄSTERBOTTENS LÄN</t>
        </is>
      </c>
      <c r="G493" t="inlineStr">
        <is>
          <t>ROBERTSFORS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45692</v>
      </c>
      <c r="E494" s="1" t="n">
        <v>46262</v>
      </c>
      <c r="F494" t="inlineStr">
        <is>
          <t>VÄSTERBOTTENS LÄN</t>
        </is>
      </c>
      <c r="G494" t="inlineStr">
        <is>
          <t>ROBERTSFORS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30081-2026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46262</v>
      </c>
      <c r="F495" t="inlineStr">
        <is>
          <t>VÄSTERBOTTENS LÄN</t>
        </is>
      </c>
      <c r="G495" t="inlineStr">
        <is>
          <t>ROBERTSFORS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45671</v>
      </c>
      <c r="E496" s="1" t="n">
        <v>46262</v>
      </c>
      <c r="F496" t="inlineStr">
        <is>
          <t>VÄSTERBOTTENS LÄN</t>
        </is>
      </c>
      <c r="G496" t="inlineStr">
        <is>
          <t>ROBERTSFORS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73557-2021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44551</v>
      </c>
      <c r="E497" s="1" t="n">
        <v>46262</v>
      </c>
      <c r="F497" t="inlineStr">
        <is>
          <t>VÄSTERBOTTENS LÄN</t>
        </is>
      </c>
      <c r="G497" t="inlineStr">
        <is>
          <t>ROBERTSFORS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46262</v>
      </c>
      <c r="F498" t="inlineStr">
        <is>
          <t>VÄSTERBOTTENS LÄN</t>
        </is>
      </c>
      <c r="G498" t="inlineStr">
        <is>
          <t>ROBERTSFORS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46262</v>
      </c>
      <c r="F499" t="inlineStr">
        <is>
          <t>VÄSTERBOTTENS LÄN</t>
        </is>
      </c>
      <c r="G499" t="inlineStr">
        <is>
          <t>ROBERTSFORS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25575-2022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44732</v>
      </c>
      <c r="E500" s="1" t="n">
        <v>46262</v>
      </c>
      <c r="F500" t="inlineStr">
        <is>
          <t>VÄSTERBOTTENS LÄN</t>
        </is>
      </c>
      <c r="G500" t="inlineStr">
        <is>
          <t>ROBERTSFORS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46262</v>
      </c>
      <c r="F501" t="inlineStr">
        <is>
          <t>VÄSTERBOTTENS LÄN</t>
        </is>
      </c>
      <c r="G501" t="inlineStr">
        <is>
          <t>ROBERTSFORS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20519-2022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44699</v>
      </c>
      <c r="E502" s="1" t="n">
        <v>46262</v>
      </c>
      <c r="F502" t="inlineStr">
        <is>
          <t>VÄSTERBOTTENS LÄN</t>
        </is>
      </c>
      <c r="G502" t="inlineStr">
        <is>
          <t>ROBERTSFORS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59833-2022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44901</v>
      </c>
      <c r="E503" s="1" t="n">
        <v>46262</v>
      </c>
      <c r="F503" t="inlineStr">
        <is>
          <t>VÄSTERBOTTENS LÄN</t>
        </is>
      </c>
      <c r="G503" t="inlineStr">
        <is>
          <t>ROBERTSFORS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45005</v>
      </c>
      <c r="E504" s="1" t="n">
        <v>46262</v>
      </c>
      <c r="F504" t="inlineStr">
        <is>
          <t>VÄSTERBOTTENS LÄN</t>
        </is>
      </c>
      <c r="G504" t="inlineStr">
        <is>
          <t>ROBERTSFORS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45148</v>
      </c>
      <c r="E505" s="1" t="n">
        <v>46262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45670</v>
      </c>
      <c r="E506" s="1" t="n">
        <v>46262</v>
      </c>
      <c r="F506" t="inlineStr">
        <is>
          <t>VÄSTERBOTTENS LÄN</t>
        </is>
      </c>
      <c r="G506" t="inlineStr">
        <is>
          <t>ROBERTSFORS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46262</v>
      </c>
      <c r="F507" t="inlineStr">
        <is>
          <t>VÄSTERBOTTENS LÄN</t>
        </is>
      </c>
      <c r="G507" t="inlineStr">
        <is>
          <t>ROBERTSFORS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46262</v>
      </c>
      <c r="F508" t="inlineStr">
        <is>
          <t>VÄSTERBOTTENS LÄN</t>
        </is>
      </c>
      <c r="G508" t="inlineStr">
        <is>
          <t>ROBERTSFORS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45701</v>
      </c>
      <c r="E509" s="1" t="n">
        <v>46262</v>
      </c>
      <c r="F509" t="inlineStr">
        <is>
          <t>VÄSTERBOTTENS LÄN</t>
        </is>
      </c>
      <c r="G509" t="inlineStr">
        <is>
          <t>ROBERTSFORS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46262</v>
      </c>
      <c r="F510" t="inlineStr">
        <is>
          <t>VÄSTERBOTTENS LÄN</t>
        </is>
      </c>
      <c r="G510" t="inlineStr">
        <is>
          <t>ROBERTSFORS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46262</v>
      </c>
      <c r="F511" t="inlineStr">
        <is>
          <t>VÄSTERBOTTENS LÄN</t>
        </is>
      </c>
      <c r="G511" t="inlineStr">
        <is>
          <t>ROBERTSFORS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38352-2023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45161</v>
      </c>
      <c r="E512" s="1" t="n">
        <v>46262</v>
      </c>
      <c r="F512" t="inlineStr">
        <is>
          <t>VÄSTERBOTTENS LÄN</t>
        </is>
      </c>
      <c r="G512" t="inlineStr">
        <is>
          <t>ROBERTSFORS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58582-2023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46262</v>
      </c>
      <c r="F513" t="inlineStr">
        <is>
          <t>VÄSTERBOTTENS LÄN</t>
        </is>
      </c>
      <c r="G513" t="inlineStr">
        <is>
          <t>ROBERTSFORS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46262</v>
      </c>
      <c r="F514" t="inlineStr">
        <is>
          <t>VÄSTERBOTTENS LÄN</t>
        </is>
      </c>
      <c r="G514" t="inlineStr">
        <is>
          <t>ROBERTSFORS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46262</v>
      </c>
      <c r="F515" t="inlineStr">
        <is>
          <t>VÄSTERBOTTENS LÄN</t>
        </is>
      </c>
      <c r="G515" t="inlineStr">
        <is>
          <t>ROBERTSFORS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60570-2024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45644</v>
      </c>
      <c r="E516" s="1" t="n">
        <v>46262</v>
      </c>
      <c r="F516" t="inlineStr">
        <is>
          <t>VÄSTERBOTTENS LÄN</t>
        </is>
      </c>
      <c r="G516" t="inlineStr">
        <is>
          <t>ROBERTSFORS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57008-2024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46262</v>
      </c>
      <c r="F517" t="inlineStr">
        <is>
          <t>VÄSTERBOTTENS LÄN</t>
        </is>
      </c>
      <c r="G517" t="inlineStr">
        <is>
          <t>ROBERTSFORS</t>
        </is>
      </c>
      <c r="I517" t="n">
        <v>12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46259</v>
      </c>
      <c r="E518" s="1" t="n">
        <v>46262</v>
      </c>
      <c r="F518" t="inlineStr">
        <is>
          <t>VÄSTERBOTTENS LÄN</t>
        </is>
      </c>
      <c r="G518" t="inlineStr">
        <is>
          <t>ROBERTSFORS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46262</v>
      </c>
      <c r="F519" t="inlineStr">
        <is>
          <t>VÄSTERBOTTENS LÄN</t>
        </is>
      </c>
      <c r="G519" t="inlineStr">
        <is>
          <t>ROBERTSFORS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46262</v>
      </c>
      <c r="F520" t="inlineStr">
        <is>
          <t>VÄSTERBOTTENS LÄN</t>
        </is>
      </c>
      <c r="G520" t="inlineStr">
        <is>
          <t>ROBERTSFORS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35276-2026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46262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46262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2849-2022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44707</v>
      </c>
      <c r="E523" s="1" t="n">
        <v>46262</v>
      </c>
      <c r="F523" t="inlineStr">
        <is>
          <t>VÄSTERBOTTENS LÄN</t>
        </is>
      </c>
      <c r="G523" t="inlineStr">
        <is>
          <t>ROBERTSFORS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8592-2021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44501</v>
      </c>
      <c r="E524" s="1" t="n">
        <v>46262</v>
      </c>
      <c r="F524" t="inlineStr">
        <is>
          <t>VÄSTERBOTTENS LÄN</t>
        </is>
      </c>
      <c r="G524" t="inlineStr">
        <is>
          <t>ROBERTSFORS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1034-2025</t>
        </is>
      </c>
      <c r="B525" t="inlineStr">
        <is>
          <t>samrådsanmälan</t>
        </is>
      </c>
      <c r="C525" t="inlineStr">
        <is>
          <t>Skogsgödsling</t>
        </is>
      </c>
      <c r="D525" s="1" t="n">
        <v>45747</v>
      </c>
      <c r="E525" s="1" t="n">
        <v>46262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1249-2025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45762</v>
      </c>
      <c r="E526" s="1" t="n">
        <v>46262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175.8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702-2026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46092</v>
      </c>
      <c r="E527" s="1" t="n">
        <v>46262</v>
      </c>
      <c r="F527" t="inlineStr">
        <is>
          <t>VÄSTERBOTTENS LÄN</t>
        </is>
      </c>
      <c r="G527" t="inlineStr">
        <is>
          <t>ROBERTSFORS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1273-2026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46147</v>
      </c>
      <c r="E528" s="1" t="n">
        <v>46262</v>
      </c>
      <c r="F528" t="inlineStr">
        <is>
          <t>VÄSTERBOTTENS LÄN</t>
        </is>
      </c>
      <c r="G528" t="inlineStr">
        <is>
          <t>ROBERTSFORS</t>
        </is>
      </c>
      <c r="I528" t="n">
        <v>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1322-2026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46149</v>
      </c>
      <c r="E529" s="1" t="n">
        <v>46262</v>
      </c>
      <c r="F529" t="inlineStr">
        <is>
          <t>VÄSTERBOTTENS LÄN</t>
        </is>
      </c>
      <c r="G529" t="inlineStr">
        <is>
          <t>ROBERTSFORS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1416-2026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46155</v>
      </c>
      <c r="E530" s="1" t="n">
        <v>46262</v>
      </c>
      <c r="F530" t="inlineStr">
        <is>
          <t>VÄSTERBOTTENS LÄN</t>
        </is>
      </c>
      <c r="G530" t="inlineStr">
        <is>
          <t>ROBERTSFORS</t>
        </is>
      </c>
      <c r="I530" t="n">
        <v>32.7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2026-08-28T01:48:54Z</dcterms:created>
  <dcterms:modified xmlns:dcterms="http://purl.org/dc/terms/" xmlns:xsi="http://www.w3.org/2001/XMLSchema-instance" xsi:type="dcterms:W3CDTF">2026-08-28T01:48:55Z</dcterms:modified>
</cp:coreProperties>
</file>