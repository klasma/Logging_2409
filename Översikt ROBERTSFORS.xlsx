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45692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45692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45692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45692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45692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45692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45692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45692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45692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45692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45692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45692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45692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45692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45692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45692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45692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45692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45692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45692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45692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45692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45692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45692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45692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45692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45692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45692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469-2023</t>
        </is>
      </c>
      <c r="B30" s="1" t="n">
        <v>44929</v>
      </c>
      <c r="C30" s="1" t="n">
        <v>45692</v>
      </c>
      <c r="D30" t="inlineStr">
        <is>
          <t>VÄSTERBOTTENS LÄN</t>
        </is>
      </c>
      <c r="E30" t="inlineStr">
        <is>
          <t>ROBERTSFORS</t>
        </is>
      </c>
      <c r="G30" t="n">
        <v>13.8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469-2023 artfynd.xlsx", "A 469-2023")</f>
        <v/>
      </c>
      <c r="T30">
        <f>HYPERLINK("https://klasma.github.io/Logging_2409/kartor/A 469-2023 karta.png", "A 469-2023")</f>
        <v/>
      </c>
      <c r="V30">
        <f>HYPERLINK("https://klasma.github.io/Logging_2409/klagomål/A 469-2023 FSC-klagomål.docx", "A 469-2023")</f>
        <v/>
      </c>
      <c r="W30">
        <f>HYPERLINK("https://klasma.github.io/Logging_2409/klagomålsmail/A 469-2023 FSC-klagomål mail.docx", "A 469-2023")</f>
        <v/>
      </c>
      <c r="X30">
        <f>HYPERLINK("https://klasma.github.io/Logging_2409/tillsyn/A 469-2023 tillsynsbegäran.docx", "A 469-2023")</f>
        <v/>
      </c>
      <c r="Y30">
        <f>HYPERLINK("https://klasma.github.io/Logging_2409/tillsynsmail/A 469-2023 tillsynsbegäran mail.docx", "A 469-2023")</f>
        <v/>
      </c>
    </row>
    <row r="31" ht="15" customHeight="1">
      <c r="A31" t="inlineStr">
        <is>
          <t>A 26029-2023</t>
        </is>
      </c>
      <c r="B31" s="1" t="n">
        <v>45091</v>
      </c>
      <c r="C31" s="1" t="n">
        <v>45692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Spillkråka</t>
        </is>
      </c>
      <c r="S31">
        <f>HYPERLINK("https://klasma.github.io/Logging_2409/artfynd/A 26029-2023 artfynd.xlsx", "A 26029-2023")</f>
        <v/>
      </c>
      <c r="T31">
        <f>HYPERLINK("https://klasma.github.io/Logging_2409/kartor/A 26029-2023 karta.png", "A 26029-2023")</f>
        <v/>
      </c>
      <c r="V31">
        <f>HYPERLINK("https://klasma.github.io/Logging_2409/klagomål/A 26029-2023 FSC-klagomål.docx", "A 26029-2023")</f>
        <v/>
      </c>
      <c r="W31">
        <f>HYPERLINK("https://klasma.github.io/Logging_2409/klagomålsmail/A 26029-2023 FSC-klagomål mail.docx", "A 26029-2023")</f>
        <v/>
      </c>
      <c r="X31">
        <f>HYPERLINK("https://klasma.github.io/Logging_2409/tillsyn/A 26029-2023 tillsynsbegäran.docx", "A 26029-2023")</f>
        <v/>
      </c>
      <c r="Y31">
        <f>HYPERLINK("https://klasma.github.io/Logging_2409/tillsynsmail/A 26029-2023 tillsynsbegäran mail.docx", "A 26029-2023")</f>
        <v/>
      </c>
      <c r="Z31">
        <f>HYPERLINK("https://klasma.github.io/Logging_2409/fåglar/A 26029-2023 prioriterade fågelarter.docx", "A 26029-2023")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45692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39826-2023</t>
        </is>
      </c>
      <c r="B33" s="1" t="n">
        <v>45168</v>
      </c>
      <c r="C33" s="1" t="n">
        <v>45692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39826-2023 artfynd.xlsx", "A 39826-2023")</f>
        <v/>
      </c>
      <c r="T33">
        <f>HYPERLINK("https://klasma.github.io/Logging_2409/kartor/A 39826-2023 karta.png", "A 39826-2023")</f>
        <v/>
      </c>
      <c r="V33">
        <f>HYPERLINK("https://klasma.github.io/Logging_2409/klagomål/A 39826-2023 FSC-klagomål.docx", "A 39826-2023")</f>
        <v/>
      </c>
      <c r="W33">
        <f>HYPERLINK("https://klasma.github.io/Logging_2409/klagomålsmail/A 39826-2023 FSC-klagomål mail.docx", "A 39826-2023")</f>
        <v/>
      </c>
      <c r="X33">
        <f>HYPERLINK("https://klasma.github.io/Logging_2409/tillsyn/A 39826-2023 tillsynsbegäran.docx", "A 39826-2023")</f>
        <v/>
      </c>
      <c r="Y33">
        <f>HYPERLINK("https://klasma.github.io/Logging_2409/tillsynsmail/A 39826-2023 tillsynsbegäran mail.docx", "A 39826-2023")</f>
        <v/>
      </c>
    </row>
    <row r="34" ht="15" customHeight="1">
      <c r="A34" t="inlineStr">
        <is>
          <t>A 43094-2023</t>
        </is>
      </c>
      <c r="B34" s="1" t="n">
        <v>45182</v>
      </c>
      <c r="C34" s="1" t="n">
        <v>45692</v>
      </c>
      <c r="D34" t="inlineStr">
        <is>
          <t>VÄSTERBOTTENS LÄN</t>
        </is>
      </c>
      <c r="E34" t="inlineStr">
        <is>
          <t>ROBERTSFORS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flugsnappare
Ärtsångare</t>
        </is>
      </c>
      <c r="S34">
        <f>HYPERLINK("https://klasma.github.io/Logging_2409/artfynd/A 43094-2023 artfynd.xlsx", "A 43094-2023")</f>
        <v/>
      </c>
      <c r="T34">
        <f>HYPERLINK("https://klasma.github.io/Logging_2409/kartor/A 43094-2023 karta.png", "A 43094-2023")</f>
        <v/>
      </c>
      <c r="V34">
        <f>HYPERLINK("https://klasma.github.io/Logging_2409/klagomål/A 43094-2023 FSC-klagomål.docx", "A 43094-2023")</f>
        <v/>
      </c>
      <c r="W34">
        <f>HYPERLINK("https://klasma.github.io/Logging_2409/klagomålsmail/A 43094-2023 FSC-klagomål mail.docx", "A 43094-2023")</f>
        <v/>
      </c>
      <c r="X34">
        <f>HYPERLINK("https://klasma.github.io/Logging_2409/tillsyn/A 43094-2023 tillsynsbegäran.docx", "A 43094-2023")</f>
        <v/>
      </c>
      <c r="Y34">
        <f>HYPERLINK("https://klasma.github.io/Logging_2409/tillsynsmail/A 43094-2023 tillsynsbegäran mail.docx", "A 43094-2023")</f>
        <v/>
      </c>
      <c r="Z34">
        <f>HYPERLINK("https://klasma.github.io/Logging_2409/fåglar/A 43094-2023 prioriterade fågelarter.docx", "A 43094-2023")</f>
        <v/>
      </c>
    </row>
    <row r="35" ht="15" customHeight="1">
      <c r="A35" t="inlineStr">
        <is>
          <t>A 57674-2023</t>
        </is>
      </c>
      <c r="B35" s="1" t="n">
        <v>45246</v>
      </c>
      <c r="C35" s="1" t="n">
        <v>45692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57674-2023 artfynd.xlsx", "A 57674-2023")</f>
        <v/>
      </c>
      <c r="T35">
        <f>HYPERLINK("https://klasma.github.io/Logging_2409/kartor/A 57674-2023 karta.png", "A 57674-2023")</f>
        <v/>
      </c>
      <c r="V35">
        <f>HYPERLINK("https://klasma.github.io/Logging_2409/klagomål/A 57674-2023 FSC-klagomål.docx", "A 57674-2023")</f>
        <v/>
      </c>
      <c r="W35">
        <f>HYPERLINK("https://klasma.github.io/Logging_2409/klagomålsmail/A 57674-2023 FSC-klagomål mail.docx", "A 57674-2023")</f>
        <v/>
      </c>
      <c r="X35">
        <f>HYPERLINK("https://klasma.github.io/Logging_2409/tillsyn/A 57674-2023 tillsynsbegäran.docx", "A 57674-2023")</f>
        <v/>
      </c>
      <c r="Y35">
        <f>HYPERLINK("https://klasma.github.io/Logging_2409/tillsynsmail/A 57674-2023 tillsynsbegäran mail.docx", "A 57674-2023")</f>
        <v/>
      </c>
    </row>
    <row r="36" ht="15" customHeight="1">
      <c r="A36" t="inlineStr">
        <is>
          <t>A 6839-2024</t>
        </is>
      </c>
      <c r="B36" s="1" t="n">
        <v>45342</v>
      </c>
      <c r="C36" s="1" t="n">
        <v>45692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6.6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6839-2024 artfynd.xlsx", "A 6839-2024")</f>
        <v/>
      </c>
      <c r="T36">
        <f>HYPERLINK("https://klasma.github.io/Logging_2409/kartor/A 6839-2024 karta.png", "A 6839-2024")</f>
        <v/>
      </c>
      <c r="V36">
        <f>HYPERLINK("https://klasma.github.io/Logging_2409/klagomål/A 6839-2024 FSC-klagomål.docx", "A 6839-2024")</f>
        <v/>
      </c>
      <c r="W36">
        <f>HYPERLINK("https://klasma.github.io/Logging_2409/klagomålsmail/A 6839-2024 FSC-klagomål mail.docx", "A 6839-2024")</f>
        <v/>
      </c>
      <c r="X36">
        <f>HYPERLINK("https://klasma.github.io/Logging_2409/tillsyn/A 6839-2024 tillsynsbegäran.docx", "A 6839-2024")</f>
        <v/>
      </c>
      <c r="Y36">
        <f>HYPERLINK("https://klasma.github.io/Logging_2409/tillsynsmail/A 6839-2024 tillsynsbegäran mail.docx", "A 6839-2024")</f>
        <v/>
      </c>
    </row>
    <row r="37" ht="15" customHeight="1">
      <c r="A37" t="inlineStr">
        <is>
          <t>A 31320-2024</t>
        </is>
      </c>
      <c r="B37" s="1" t="n">
        <v>45504</v>
      </c>
      <c r="C37" s="1" t="n">
        <v>45692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Vedflamlav</t>
        </is>
      </c>
      <c r="S37">
        <f>HYPERLINK("https://klasma.github.io/Logging_2409/artfynd/A 31320-2024 artfynd.xlsx", "A 31320-2024")</f>
        <v/>
      </c>
      <c r="T37">
        <f>HYPERLINK("https://klasma.github.io/Logging_2409/kartor/A 31320-2024 karta.png", "A 31320-2024")</f>
        <v/>
      </c>
      <c r="V37">
        <f>HYPERLINK("https://klasma.github.io/Logging_2409/klagomål/A 31320-2024 FSC-klagomål.docx", "A 31320-2024")</f>
        <v/>
      </c>
      <c r="W37">
        <f>HYPERLINK("https://klasma.github.io/Logging_2409/klagomålsmail/A 31320-2024 FSC-klagomål mail.docx", "A 31320-2024")</f>
        <v/>
      </c>
      <c r="X37">
        <f>HYPERLINK("https://klasma.github.io/Logging_2409/tillsyn/A 31320-2024 tillsynsbegäran.docx", "A 31320-2024")</f>
        <v/>
      </c>
      <c r="Y37">
        <f>HYPERLINK("https://klasma.github.io/Logging_2409/tillsynsmail/A 31320-2024 tillsynsbegäran mail.docx", "A 31320-2024")</f>
        <v/>
      </c>
    </row>
    <row r="38" ht="15" customHeight="1">
      <c r="A38" t="inlineStr">
        <is>
          <t>A 41723-2024</t>
        </is>
      </c>
      <c r="B38" s="1" t="n">
        <v>45560</v>
      </c>
      <c r="C38" s="1" t="n">
        <v>45692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HYPERLINK("https://klasma.github.io/Logging_2409/artfynd/A 41723-2024 artfynd.xlsx", "A 41723-2024")</f>
        <v/>
      </c>
      <c r="T38">
        <f>HYPERLINK("https://klasma.github.io/Logging_2409/kartor/A 41723-2024 karta.png", "A 41723-2024")</f>
        <v/>
      </c>
      <c r="V38">
        <f>HYPERLINK("https://klasma.github.io/Logging_2409/klagomål/A 41723-2024 FSC-klagomål.docx", "A 41723-2024")</f>
        <v/>
      </c>
      <c r="W38">
        <f>HYPERLINK("https://klasma.github.io/Logging_2409/klagomålsmail/A 41723-2024 FSC-klagomål mail.docx", "A 41723-2024")</f>
        <v/>
      </c>
      <c r="X38">
        <f>HYPERLINK("https://klasma.github.io/Logging_2409/tillsyn/A 41723-2024 tillsynsbegäran.docx", "A 41723-2024")</f>
        <v/>
      </c>
      <c r="Y38">
        <f>HYPERLINK("https://klasma.github.io/Logging_2409/tillsynsmail/A 41723-2024 tillsynsbegäran mail.docx", "A 41723-2024")</f>
        <v/>
      </c>
      <c r="Z38">
        <f>HYPERLINK("https://klasma.github.io/Logging_2409/fåglar/A 41723-2024 prioriterade fågelarter.docx", "A 41723-2024")</f>
        <v/>
      </c>
    </row>
    <row r="39" ht="15" customHeight="1">
      <c r="A39" t="inlineStr">
        <is>
          <t>A 59868-2024</t>
        </is>
      </c>
      <c r="B39" s="1" t="n">
        <v>45640</v>
      </c>
      <c r="C39" s="1" t="n">
        <v>45692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HYPERLINK("https://klasma.github.io/Logging_2409/artfynd/A 59868-2024 artfynd.xlsx", "A 59868-2024")</f>
        <v/>
      </c>
      <c r="T39">
        <f>HYPERLINK("https://klasma.github.io/Logging_2409/kartor/A 59868-2024 karta.png", "A 59868-2024")</f>
        <v/>
      </c>
      <c r="V39">
        <f>HYPERLINK("https://klasma.github.io/Logging_2409/klagomål/A 59868-2024 FSC-klagomål.docx", "A 59868-2024")</f>
        <v/>
      </c>
      <c r="W39">
        <f>HYPERLINK("https://klasma.github.io/Logging_2409/klagomålsmail/A 59868-2024 FSC-klagomål mail.docx", "A 59868-2024")</f>
        <v/>
      </c>
      <c r="X39">
        <f>HYPERLINK("https://klasma.github.io/Logging_2409/tillsyn/A 59868-2024 tillsynsbegäran.docx", "A 59868-2024")</f>
        <v/>
      </c>
      <c r="Y39">
        <f>HYPERLINK("https://klasma.github.io/Logging_2409/tillsynsmail/A 59868-2024 tillsynsbegäran mail.docx", "A 59868-2024")</f>
        <v/>
      </c>
    </row>
    <row r="40" ht="15" customHeight="1">
      <c r="A40" t="inlineStr">
        <is>
          <t>A 33236-2020</t>
        </is>
      </c>
      <c r="B40" s="1" t="n">
        <v>44022</v>
      </c>
      <c r="C40" s="1" t="n">
        <v>45692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33236-2020 artfynd.xlsx", "A 33236-2020")</f>
        <v/>
      </c>
      <c r="T40">
        <f>HYPERLINK("https://klasma.github.io/Logging_2409/kartor/A 33236-2020 karta.png", "A 33236-2020")</f>
        <v/>
      </c>
      <c r="V40">
        <f>HYPERLINK("https://klasma.github.io/Logging_2409/klagomål/A 33236-2020 FSC-klagomål.docx", "A 33236-2020")</f>
        <v/>
      </c>
      <c r="W40">
        <f>HYPERLINK("https://klasma.github.io/Logging_2409/klagomålsmail/A 33236-2020 FSC-klagomål mail.docx", "A 33236-2020")</f>
        <v/>
      </c>
      <c r="X40">
        <f>HYPERLINK("https://klasma.github.io/Logging_2409/tillsyn/A 33236-2020 tillsynsbegäran.docx", "A 33236-2020")</f>
        <v/>
      </c>
      <c r="Y40">
        <f>HYPERLINK("https://klasma.github.io/Logging_2409/tillsynsmail/A 33236-2020 tillsynsbegäran mail.docx", "A 33236-2020")</f>
        <v/>
      </c>
    </row>
    <row r="41" ht="15" customHeight="1">
      <c r="A41" t="inlineStr">
        <is>
          <t>A 63237-2020</t>
        </is>
      </c>
      <c r="B41" s="1" t="n">
        <v>44163</v>
      </c>
      <c r="C41" s="1" t="n">
        <v>45692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63237-2020 artfynd.xlsx", "A 63237-2020")</f>
        <v/>
      </c>
      <c r="T41">
        <f>HYPERLINK("https://klasma.github.io/Logging_2409/kartor/A 63237-2020 karta.png", "A 63237-2020")</f>
        <v/>
      </c>
      <c r="V41">
        <f>HYPERLINK("https://klasma.github.io/Logging_2409/klagomål/A 63237-2020 FSC-klagomål.docx", "A 63237-2020")</f>
        <v/>
      </c>
      <c r="W41">
        <f>HYPERLINK("https://klasma.github.io/Logging_2409/klagomålsmail/A 63237-2020 FSC-klagomål mail.docx", "A 63237-2020")</f>
        <v/>
      </c>
      <c r="X41">
        <f>HYPERLINK("https://klasma.github.io/Logging_2409/tillsyn/A 63237-2020 tillsynsbegäran.docx", "A 63237-2020")</f>
        <v/>
      </c>
      <c r="Y41">
        <f>HYPERLINK("https://klasma.github.io/Logging_2409/tillsynsmail/A 63237-2020 tillsynsbegäran mail.docx", "A 63237-2020")</f>
        <v/>
      </c>
    </row>
    <row r="42" ht="15" customHeight="1">
      <c r="A42" t="inlineStr">
        <is>
          <t>A 60833-2021</t>
        </is>
      </c>
      <c r="B42" s="1" t="n">
        <v>44497</v>
      </c>
      <c r="C42" s="1" t="n">
        <v>45692</v>
      </c>
      <c r="D42" t="inlineStr">
        <is>
          <t>VÄSTERBOTTENS LÄN</t>
        </is>
      </c>
      <c r="E42" t="inlineStr">
        <is>
          <t>ROBERTSFORS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HYPERLINK("https://klasma.github.io/Logging_2409/artfynd/A 60833-2021 artfynd.xlsx", "A 60833-2021")</f>
        <v/>
      </c>
      <c r="T42">
        <f>HYPERLINK("https://klasma.github.io/Logging_2409/kartor/A 60833-2021 karta.png", "A 60833-2021")</f>
        <v/>
      </c>
      <c r="V42">
        <f>HYPERLINK("https://klasma.github.io/Logging_2409/klagomål/A 60833-2021 FSC-klagomål.docx", "A 60833-2021")</f>
        <v/>
      </c>
      <c r="W42">
        <f>HYPERLINK("https://klasma.github.io/Logging_2409/klagomålsmail/A 60833-2021 FSC-klagomål mail.docx", "A 60833-2021")</f>
        <v/>
      </c>
      <c r="X42">
        <f>HYPERLINK("https://klasma.github.io/Logging_2409/tillsyn/A 60833-2021 tillsynsbegäran.docx", "A 60833-2021")</f>
        <v/>
      </c>
      <c r="Y42">
        <f>HYPERLINK("https://klasma.github.io/Logging_2409/tillsynsmail/A 60833-2021 tillsynsbegäran mail.docx", "A 60833-2021")</f>
        <v/>
      </c>
    </row>
    <row r="43" ht="15" customHeight="1">
      <c r="A43" t="inlineStr">
        <is>
          <t>A 24807-2022</t>
        </is>
      </c>
      <c r="B43" s="1" t="n">
        <v>44727</v>
      </c>
      <c r="C43" s="1" t="n">
        <v>45692</v>
      </c>
      <c r="D43" t="inlineStr">
        <is>
          <t>VÄSTERBOTTENS LÄN</t>
        </is>
      </c>
      <c r="E43" t="inlineStr">
        <is>
          <t>ROBERTSFORS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24807-2022 artfynd.xlsx", "A 24807-2022")</f>
        <v/>
      </c>
      <c r="T43">
        <f>HYPERLINK("https://klasma.github.io/Logging_2409/kartor/A 24807-2022 karta.png", "A 24807-2022")</f>
        <v/>
      </c>
      <c r="V43">
        <f>HYPERLINK("https://klasma.github.io/Logging_2409/klagomål/A 24807-2022 FSC-klagomål.docx", "A 24807-2022")</f>
        <v/>
      </c>
      <c r="W43">
        <f>HYPERLINK("https://klasma.github.io/Logging_2409/klagomålsmail/A 24807-2022 FSC-klagomål mail.docx", "A 24807-2022")</f>
        <v/>
      </c>
      <c r="X43">
        <f>HYPERLINK("https://klasma.github.io/Logging_2409/tillsyn/A 24807-2022 tillsynsbegäran.docx", "A 24807-2022")</f>
        <v/>
      </c>
      <c r="Y43">
        <f>HYPERLINK("https://klasma.github.io/Logging_2409/tillsynsmail/A 24807-2022 tillsynsbegäran mail.docx", "A 24807-2022")</f>
        <v/>
      </c>
    </row>
    <row r="44" ht="15" customHeight="1">
      <c r="A44" t="inlineStr">
        <is>
          <t>A 44222-2022</t>
        </is>
      </c>
      <c r="B44" s="1" t="n">
        <v>44839</v>
      </c>
      <c r="C44" s="1" t="n">
        <v>45692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HYPERLINK("https://klasma.github.io/Logging_2409/artfynd/A 44222-2022 artfynd.xlsx", "A 44222-2022")</f>
        <v/>
      </c>
      <c r="T44">
        <f>HYPERLINK("https://klasma.github.io/Logging_2409/kartor/A 44222-2022 karta.png", "A 44222-2022")</f>
        <v/>
      </c>
      <c r="V44">
        <f>HYPERLINK("https://klasma.github.io/Logging_2409/klagomål/A 44222-2022 FSC-klagomål.docx", "A 44222-2022")</f>
        <v/>
      </c>
      <c r="W44">
        <f>HYPERLINK("https://klasma.github.io/Logging_2409/klagomålsmail/A 44222-2022 FSC-klagomål mail.docx", "A 44222-2022")</f>
        <v/>
      </c>
      <c r="X44">
        <f>HYPERLINK("https://klasma.github.io/Logging_2409/tillsyn/A 44222-2022 tillsynsbegäran.docx", "A 44222-2022")</f>
        <v/>
      </c>
      <c r="Y44">
        <f>HYPERLINK("https://klasma.github.io/Logging_2409/tillsynsmail/A 44222-2022 tillsynsbegäran mail.docx", "A 44222-2022")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45692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45692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45692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45692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45692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45692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45692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45692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45692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45692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45692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45692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45692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45692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45692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45692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45692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45692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45692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45692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45692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45692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45692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45692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45692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45692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45692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45692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45692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45692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45692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45692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45692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45692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45692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45692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45692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45692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45692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45692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45692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45692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45692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45692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45692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45692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45692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45692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45692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45692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45692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45692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45692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45692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45692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45692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45692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45692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45692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45692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45692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45692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45692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45692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45692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45692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45692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45692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45692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45692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45692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45692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45692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45692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45692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45692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45692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45692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45692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45692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45692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45692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45692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45692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45692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45692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45692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45692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45692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45692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45692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45692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45692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45692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45692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45692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45692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45692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45692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45692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45692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45692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45692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45692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45692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45692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45692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45692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45692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45692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45692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45692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45692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45692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45692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45692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45692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45692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45692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45692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45692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45692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45692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45692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45692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45692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45692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45692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45692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45692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45692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45692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45692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45692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45692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45692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45692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45692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45692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45692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45692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45692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45692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45692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45692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45692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45692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45692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45692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45692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45692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45692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45692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45692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45692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45692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45692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45692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45692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45692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45692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45692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45692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45692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45692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45692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45692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45692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45692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45692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45692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45692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45692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45692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45692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45692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45692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45692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45692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45692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45692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45692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45692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45692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45692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45692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45692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45692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45692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45692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45692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45692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45692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45692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45692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45692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45692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45692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45692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45692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45692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45692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45692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45692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45692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45692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45692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45692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45692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45692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45692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45692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45692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45692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45692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45692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45692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45692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45692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45692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45692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45692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45692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45692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45692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45692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45692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45692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45692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45692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45692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45692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45692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45692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45692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45692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45692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45692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45692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45692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45692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45692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45692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45692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45692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45692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45692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45692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45692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45692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45692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45692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45692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45692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45692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45692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45692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45692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45692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45692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45692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45692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45692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45692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45692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45692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45692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45692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45692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45692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45692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45692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45692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45692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45692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45692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45692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45692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45692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45692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45692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45692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45692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45692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45692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45692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45692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45692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45692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45692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45692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45692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45692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45692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45692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45692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45692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45692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45692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45692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45692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45692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45692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45692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45692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45692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45692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45692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45692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45692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45692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45692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45692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45692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45692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45692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45692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45692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45692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45692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45692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45692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45692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45692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45692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45692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45692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45692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45692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45692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45692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45692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45692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45692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45692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45692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45692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45692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45692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45692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45692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45692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45692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45692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45692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45692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45692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45692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45692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45692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45692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45692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45692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45692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45692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45692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45692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45692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45692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45692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45692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45692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45692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45692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45692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45692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45692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45692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45692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45692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45692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45692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45692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45692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45692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45692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45692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45692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45692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45692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45692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45692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45692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45692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45692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45692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45692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45692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45692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45692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45692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45692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45692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45692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45692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45692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45692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45692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45692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45692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45692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45692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45692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45692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45692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45692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45692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45692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45692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45692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45692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45692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45692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45692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45692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45692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45692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45692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45692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45692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45692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45692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45692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45692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45692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45692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45692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45692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45692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45692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45692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45692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45692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45692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45692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45692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45692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45692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45692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45692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45692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45692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45692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45692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45692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45692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45692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45692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45692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45692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45692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45692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45692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45692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45692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45692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45692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45692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45692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45692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45692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45692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45692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45692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45692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45692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45692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45692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45692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45692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45692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45692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45692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45692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45692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45692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45692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45692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45692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45692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45692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45692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45692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45692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45692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45692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45692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45692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45692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45692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45692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45692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45692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45692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45692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45692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45692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45692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45692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45692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45692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45692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45692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45692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45692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45692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45692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45692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45692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45692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45692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45692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45692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45692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45692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45692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45692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45692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45692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45692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45692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45692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45692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45692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45692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45692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45692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45692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45692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45692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45692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45692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45692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45692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45692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45692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45692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45692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45692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45692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45692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45692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45692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45692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45692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45692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45692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45692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45692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45692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45692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45692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45692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45692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45692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45692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45692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45692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45692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45692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45692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45692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45692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45692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45692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45692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45692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45692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45692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45692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45692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45692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45692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45692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45692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45692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45692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45692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45692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45692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45692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45692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45692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45692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45692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45692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45692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45692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45692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45692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45692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45692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45692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45692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45692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45692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45692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45692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45692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45692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45692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45692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45692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45692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45692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45692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45692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45692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45692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45692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45692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45692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45692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45692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45692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45692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45692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45692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45692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45692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45692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45692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45692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45692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45692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45692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45692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45692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45692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45692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45692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45692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45692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45692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45692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45692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45692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45692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45692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45692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45692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45692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45692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45692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45692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45692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45692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45692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45692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45692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45692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45692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45692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45692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45692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45692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45692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45692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45692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45692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45692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45692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45692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45692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45692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45692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45692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45692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45692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45692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45692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45692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45692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45692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45692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45692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45692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45692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45692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45692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45692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45692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45692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45692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45692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45692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45692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45692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45692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45692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45692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45692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45692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45692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45692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45692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45692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45692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45692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45692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45692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45692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45692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45692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45692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45692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45692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45692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45692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45692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45692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45692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45692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45692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45692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45692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45692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45692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45692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45692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45692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45692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45692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45692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45692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45692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45692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45692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45692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45692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45692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45692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45692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45692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45692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45692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45692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45692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45692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45692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45692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45692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45692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45692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45692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45692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45692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45692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45692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45692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45692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45692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45692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45692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45692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45692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45692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45692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45692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45692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45692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45692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45692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45692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45692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45692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45692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45692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45692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45692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45692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45692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45692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45692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45692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45692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45692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45692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45692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45692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45692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45692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45692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45692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45692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45692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45692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45692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45692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45692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45692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45692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45692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45692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45692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45692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45692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45692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45692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45692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45692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45692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45692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45692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45692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45692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45692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45692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45692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45692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45692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45692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45692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45692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45692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45692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45692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45692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45692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45692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45692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45692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45692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45692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45692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45692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45692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45692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45692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45692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45692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45692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45692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45692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45692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45692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45692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45692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45692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45692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45692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45692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45692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45692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45692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45692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45692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45692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45692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45692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45692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45692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45692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45692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45692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45692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45692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45692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45692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45692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45692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45692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45692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45692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45692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45692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45692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45692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45692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45692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45692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45692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45692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45692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45692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45692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45692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45692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45692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45692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45692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45692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45692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45692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45692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45692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45692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45692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45692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45692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45692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45692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45692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45692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45692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45692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45692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45692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45692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45692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45692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45692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45692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45692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45692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45692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45692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45692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45692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45692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45692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45692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45692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45692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45692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45692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45692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45692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45692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45692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45692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45692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45692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45692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45692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45692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45692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45692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45692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45692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45692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45692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45692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45692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45692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45692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45692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45692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45692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45692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45692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45692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45692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45692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45692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45692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45692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45692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45692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45692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45692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45692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45692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45692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45692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45692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45692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45692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45692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672-2025</t>
        </is>
      </c>
      <c r="B1004" s="1" t="n">
        <v>45664</v>
      </c>
      <c r="C1004" s="1" t="n">
        <v>45692</v>
      </c>
      <c r="D1004" t="inlineStr">
        <is>
          <t>VÄSTERBOTTENS LÄN</t>
        </is>
      </c>
      <c r="E1004" t="inlineStr">
        <is>
          <t>ROBERTSFORS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676-2025</t>
        </is>
      </c>
      <c r="B1005" s="1" t="n">
        <v>45664</v>
      </c>
      <c r="C1005" s="1" t="n">
        <v>45692</v>
      </c>
      <c r="D1005" t="inlineStr">
        <is>
          <t>VÄSTERBOTTENS LÄN</t>
        </is>
      </c>
      <c r="E1005" t="inlineStr">
        <is>
          <t>ROBERTSFORS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45692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45692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45692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45692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1311-2025</t>
        </is>
      </c>
      <c r="B1010" s="1" t="n">
        <v>45667</v>
      </c>
      <c r="C1010" s="1" t="n">
        <v>45692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1243-2025</t>
        </is>
      </c>
      <c r="B1011" s="1" t="n">
        <v>45667</v>
      </c>
      <c r="C1011" s="1" t="n">
        <v>45692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45692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1691-2025</t>
        </is>
      </c>
      <c r="B1013" s="1" t="n">
        <v>45670</v>
      </c>
      <c r="C1013" s="1" t="n">
        <v>45692</v>
      </c>
      <c r="D1013" t="inlineStr">
        <is>
          <t>VÄSTERBOTTENS LÄN</t>
        </is>
      </c>
      <c r="E1013" t="inlineStr">
        <is>
          <t>ROBERTSFORS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1689-2025</t>
        </is>
      </c>
      <c r="B1014" s="1" t="n">
        <v>45670</v>
      </c>
      <c r="C1014" s="1" t="n">
        <v>45692</v>
      </c>
      <c r="D1014" t="inlineStr">
        <is>
          <t>VÄSTERBOTTENS LÄN</t>
        </is>
      </c>
      <c r="E1014" t="inlineStr">
        <is>
          <t>ROBERTSFORS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45692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45692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1814-2025</t>
        </is>
      </c>
      <c r="B1017" s="1" t="n">
        <v>45671</v>
      </c>
      <c r="C1017" s="1" t="n">
        <v>45692</v>
      </c>
      <c r="D1017" t="inlineStr">
        <is>
          <t>VÄSTERBOTTENS LÄN</t>
        </is>
      </c>
      <c r="E1017" t="inlineStr">
        <is>
          <t>ROBERTSFORS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1815-2025</t>
        </is>
      </c>
      <c r="B1018" s="1" t="n">
        <v>45671</v>
      </c>
      <c r="C1018" s="1" t="n">
        <v>45692</v>
      </c>
      <c r="D1018" t="inlineStr">
        <is>
          <t>VÄSTERBOTTENS LÄN</t>
        </is>
      </c>
      <c r="E1018" t="inlineStr">
        <is>
          <t>ROBERTSFORS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45692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45692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45692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2709-2025</t>
        </is>
      </c>
      <c r="B1022" s="1" t="n">
        <v>45674</v>
      </c>
      <c r="C1022" s="1" t="n">
        <v>45692</v>
      </c>
      <c r="D1022" t="inlineStr">
        <is>
          <t>VÄSTERBOTTENS LÄN</t>
        </is>
      </c>
      <c r="E1022" t="inlineStr">
        <is>
          <t>ROBERTSFORS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2696-2025</t>
        </is>
      </c>
      <c r="B1023" s="1" t="n">
        <v>45674</v>
      </c>
      <c r="C1023" s="1" t="n">
        <v>45692</v>
      </c>
      <c r="D1023" t="inlineStr">
        <is>
          <t>VÄSTERBOTTENS LÄN</t>
        </is>
      </c>
      <c r="E1023" t="inlineStr">
        <is>
          <t>ROBERTSFORS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3050-2025</t>
        </is>
      </c>
      <c r="B1024" s="1" t="n">
        <v>45678</v>
      </c>
      <c r="C1024" s="1" t="n">
        <v>45692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3042-2025</t>
        </is>
      </c>
      <c r="B1025" s="1" t="n">
        <v>45678</v>
      </c>
      <c r="C1025" s="1" t="n">
        <v>45692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3046-2025</t>
        </is>
      </c>
      <c r="B1026" s="1" t="n">
        <v>45678</v>
      </c>
      <c r="C1026" s="1" t="n">
        <v>45692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8.9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45692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45692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3221-2025</t>
        </is>
      </c>
      <c r="B1029" s="1" t="n">
        <v>45679</v>
      </c>
      <c r="C1029" s="1" t="n">
        <v>45692</v>
      </c>
      <c r="D1029" t="inlineStr">
        <is>
          <t>VÄSTERBOTTENS LÄN</t>
        </is>
      </c>
      <c r="E1029" t="inlineStr">
        <is>
          <t>ROBERTSFORS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45692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45692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3783-2025</t>
        </is>
      </c>
      <c r="B1032" s="1" t="n">
        <v>45681</v>
      </c>
      <c r="C1032" s="1" t="n">
        <v>45692</v>
      </c>
      <c r="D1032" t="inlineStr">
        <is>
          <t>VÄSTERBOTTENS LÄN</t>
        </is>
      </c>
      <c r="E1032" t="inlineStr">
        <is>
          <t>ROBERTSFORS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4552-2025</t>
        </is>
      </c>
      <c r="B1033" s="1" t="n">
        <v>45687</v>
      </c>
      <c r="C1033" s="1" t="n">
        <v>45692</v>
      </c>
      <c r="D1033" t="inlineStr">
        <is>
          <t>VÄSTERBOTTENS LÄN</t>
        </is>
      </c>
      <c r="E1033" t="inlineStr">
        <is>
          <t>ROBERTSFORS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4602-2025</t>
        </is>
      </c>
      <c r="B1034" s="1" t="n">
        <v>45687</v>
      </c>
      <c r="C1034" s="1" t="n">
        <v>45692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45692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45692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4611-2025</t>
        </is>
      </c>
      <c r="B1037" s="1" t="n">
        <v>45687</v>
      </c>
      <c r="C1037" s="1" t="n">
        <v>45692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2025-02-04T15:59:46Z</dcterms:created>
  <dcterms:modified xmlns:dcterms="http://purl.org/dc/terms/" xmlns:xsi="http://www.w3.org/2001/XMLSchema-instance" xsi:type="dcterms:W3CDTF">2025-02-04T15:59:47Z</dcterms:modified>
</cp:coreProperties>
</file>