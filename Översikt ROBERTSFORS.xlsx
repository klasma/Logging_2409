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46230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46230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46230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46230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46230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46230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46230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46230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46230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46230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46230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46230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46230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46230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46230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46230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46230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46230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46230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46230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46230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46230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46230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46230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46230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46230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46230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t="n">
        <v>0</v>
      </c>
      <c r="V34" s="2" t="inlineStr">
        <is>
          <t>Garnlav
Tretåig hackspett</t>
        </is>
      </c>
      <c r="W34">
        <f>HYPERLINK("https://klasma.github.io/Logging_2409/artfynd/A 26807-2026 artfynd.xlsx", "A 26807-2026")</f>
        <v/>
      </c>
      <c r="X34">
        <f>HYPERLINK("https://klasma.github.io/Logging_2409/kartor/A 26807-2026 karta.png", "A 26807-2026")</f>
        <v/>
      </c>
      <c r="Y34">
        <f>HYPERLINK("https://klasma.github.io/Logging_2409/kartor_geotiff/A 26807-2026 georefererad karta.tif", "A 26807-2026")</f>
        <v/>
      </c>
      <c r="AA34">
        <f>HYPERLINK("https://klasma.github.io/Logging_2409/klagomål/A 26807-2026 FSC-klagomål.docx", "A 26807-2026")</f>
        <v/>
      </c>
      <c r="AB34">
        <f>HYPERLINK("https://klasma.github.io/Logging_2409/klagomålsmail/A 26807-2026 FSC-klagomål mail.docx", "A 26807-2026")</f>
        <v/>
      </c>
      <c r="AC34">
        <f>HYPERLINK("https://klasma.github.io/Logging_2409/tillsyn/A 26807-2026 tillsynsbegäran.docx", "A 26807-2026")</f>
        <v/>
      </c>
      <c r="AD34">
        <f>HYPERLINK("https://klasma.github.io/Logging_2409/tillsynsmail/A 26807-2026 tillsynsbegäran mail.docx", "A 26807-2026")</f>
        <v/>
      </c>
      <c r="AE34">
        <f>HYPERLINK("https://klasma.github.io/Logging_2409/fåglar/A 26807-2026 prioriterade fågelarter.docx", "A 26807-2026")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46230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46230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46230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46230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46230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46230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46230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46230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46230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46230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46230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46230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46230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46230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10145-2025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46230</v>
      </c>
      <c r="F51" t="inlineStr">
        <is>
          <t>VÄSTERBOTTENS LÄN</t>
        </is>
      </c>
      <c r="G51" t="inlineStr">
        <is>
          <t>ROBERTSFORS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HYPERLINK("https://klasma.github.io/Logging_2409/artfynd/A 10145-2025 artfynd.xlsx", "A 10145-2025")</f>
        <v/>
      </c>
      <c r="X51">
        <f>HYPERLINK("https://klasma.github.io/Logging_2409/kartor/A 10145-2025 karta.png", "A 10145-2025")</f>
        <v/>
      </c>
      <c r="Y51">
        <f>HYPERLINK("https://klasma.github.io/Logging_2409/kartor_geotiff/A 10145-2025 georefererad karta.tif", "A 10145-2025")</f>
        <v/>
      </c>
      <c r="AA51">
        <f>HYPERLINK("https://klasma.github.io/Logging_2409/klagomål/A 10145-2025 FSC-klagomål.docx", "A 10145-2025")</f>
        <v/>
      </c>
      <c r="AB51">
        <f>HYPERLINK("https://klasma.github.io/Logging_2409/klagomålsmail/A 10145-2025 FSC-klagomål mail.docx", "A 10145-2025")</f>
        <v/>
      </c>
      <c r="AC51">
        <f>HYPERLINK("https://klasma.github.io/Logging_2409/tillsyn/A 10145-2025 tillsynsbegäran.docx", "A 10145-2025")</f>
        <v/>
      </c>
      <c r="AD51">
        <f>HYPERLINK("https://klasma.github.io/Logging_2409/tillsynsmail/A 10145-2025 tillsynsbegäran mail.docx", "A 10145-2025")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46230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28224-2026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46230</v>
      </c>
      <c r="F53" t="inlineStr">
        <is>
          <t>VÄSTERBOTTENS LÄN</t>
        </is>
      </c>
      <c r="G53" t="inlineStr">
        <is>
          <t>ROBERTSFORS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6</v>
      </c>
      <c r="U53" t="n">
        <v>0</v>
      </c>
      <c r="V53" s="2" t="inlineStr">
        <is>
          <t>Garnlav</t>
        </is>
      </c>
      <c r="W53">
        <f>HYPERLINK("https://klasma.github.io/Logging_2409/artfynd/A 28224-2026 artfynd.xlsx", "A 28224-2026")</f>
        <v/>
      </c>
      <c r="X53">
        <f>HYPERLINK("https://klasma.github.io/Logging_2409/kartor/A 28224-2026 karta.png", "A 28224-2026")</f>
        <v/>
      </c>
      <c r="Y53">
        <f>HYPERLINK("https://klasma.github.io/Logging_2409/kartor_geotiff/A 28224-2026 georefererad karta.tif", "A 28224-2026")</f>
        <v/>
      </c>
      <c r="AA53">
        <f>HYPERLINK("https://klasma.github.io/Logging_2409/klagomål/A 28224-2026 FSC-klagomål.docx", "A 28224-2026")</f>
        <v/>
      </c>
      <c r="AB53">
        <f>HYPERLINK("https://klasma.github.io/Logging_2409/klagomålsmail/A 28224-2026 FSC-klagomål mail.docx", "A 28224-2026")</f>
        <v/>
      </c>
      <c r="AC53">
        <f>HYPERLINK("https://klasma.github.io/Logging_2409/tillsyn/A 28224-2026 tillsynsbegäran.docx", "A 28224-2026")</f>
        <v/>
      </c>
      <c r="AD53">
        <f>HYPERLINK("https://klasma.github.io/Logging_2409/tillsynsmail/A 28224-2026 tillsynsbegäran mail.docx", "A 28224-2026")</f>
        <v/>
      </c>
    </row>
    <row r="54" ht="15" customHeight="1">
      <c r="A54" t="inlineStr">
        <is>
          <t>A 38777-2023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45163</v>
      </c>
      <c r="E54" s="1" t="n">
        <v>46230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5.9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HYPERLINK("https://klasma.github.io/Logging_2409/artfynd/A 38777-2023 artfynd.xlsx", "A 38777-2023")</f>
        <v/>
      </c>
      <c r="X54">
        <f>HYPERLINK("https://klasma.github.io/Logging_2409/kartor/A 38777-2023 karta.png", "A 38777-2023")</f>
        <v/>
      </c>
      <c r="Y54">
        <f>HYPERLINK("https://klasma.github.io/Logging_2409/kartor_geotiff/A 38777-2023 georefererad karta.tif", "A 38777-2023")</f>
        <v/>
      </c>
      <c r="AA54">
        <f>HYPERLINK("https://klasma.github.io/Logging_2409/klagomål/A 38777-2023 FSC-klagomål.docx", "A 38777-2023")</f>
        <v/>
      </c>
      <c r="AB54">
        <f>HYPERLINK("https://klasma.github.io/Logging_2409/klagomålsmail/A 38777-2023 FSC-klagomål mail.docx", "A 38777-2023")</f>
        <v/>
      </c>
      <c r="AC54">
        <f>HYPERLINK("https://klasma.github.io/Logging_2409/tillsyn/A 38777-2023 tillsynsbegäran.docx", "A 38777-2023")</f>
        <v/>
      </c>
      <c r="AD54">
        <f>HYPERLINK("https://klasma.github.io/Logging_2409/tillsynsmail/A 38777-2023 tillsynsbegäran mail.docx", "A 38777-2023")</f>
        <v/>
      </c>
      <c r="AE54">
        <f>HYPERLINK("https://klasma.github.io/Logging_2409/fåglar/A 38777-2023 prioriterade fågelarter.docx", "A 38777-2023")</f>
        <v/>
      </c>
    </row>
    <row r="55" ht="15" customHeight="1">
      <c r="A55" t="inlineStr">
        <is>
          <t>A 28750-2026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46230</v>
      </c>
      <c r="F55" t="inlineStr">
        <is>
          <t>VÄSTERBOTTENS LÄN</t>
        </is>
      </c>
      <c r="G55" t="inlineStr">
        <is>
          <t>ROBERTSFORS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28750-2026 artfynd.xlsx", "A 28750-2026")</f>
        <v/>
      </c>
      <c r="X55">
        <f>HYPERLINK("https://klasma.github.io/Logging_2409/kartor/A 28750-2026 karta.png", "A 28750-2026")</f>
        <v/>
      </c>
      <c r="Y55">
        <f>HYPERLINK("https://klasma.github.io/Logging_2409/kartor_geotiff/A 28750-2026 georefererad karta.tif", "A 28750-2026")</f>
        <v/>
      </c>
      <c r="AA55">
        <f>HYPERLINK("https://klasma.github.io/Logging_2409/klagomål/A 28750-2026 FSC-klagomål.docx", "A 28750-2026")</f>
        <v/>
      </c>
      <c r="AB55">
        <f>HYPERLINK("https://klasma.github.io/Logging_2409/klagomålsmail/A 28750-2026 FSC-klagomål mail.docx", "A 28750-2026")</f>
        <v/>
      </c>
      <c r="AC55">
        <f>HYPERLINK("https://klasma.github.io/Logging_2409/tillsyn/A 28750-2026 tillsynsbegäran.docx", "A 28750-2026")</f>
        <v/>
      </c>
      <c r="AD55">
        <f>HYPERLINK("https://klasma.github.io/Logging_2409/tillsynsmail/A 28750-2026 tillsynsbegäran mail.docx", "A 28750-2026")</f>
        <v/>
      </c>
    </row>
    <row r="56" ht="15" customHeight="1">
      <c r="A56" t="inlineStr">
        <is>
          <t>A 57653-2024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45630</v>
      </c>
      <c r="E56" s="1" t="n">
        <v>46230</v>
      </c>
      <c r="F56" t="inlineStr">
        <is>
          <t>VÄSTERBOTTENS LÄN</t>
        </is>
      </c>
      <c r="G56" t="inlineStr">
        <is>
          <t>ROBERTSFORS</t>
        </is>
      </c>
      <c r="I56" t="n">
        <v>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Blå kärrhök</t>
        </is>
      </c>
      <c r="W56">
        <f>HYPERLINK("https://klasma.github.io/Logging_2409/artfynd/A 57653-2024 artfynd.xlsx", "A 57653-2024")</f>
        <v/>
      </c>
      <c r="X56">
        <f>HYPERLINK("https://klasma.github.io/Logging_2409/kartor/A 57653-2024 karta.png", "A 57653-2024")</f>
        <v/>
      </c>
      <c r="Y56">
        <f>HYPERLINK("https://klasma.github.io/Logging_2409/kartor_geotiff/A 57653-2024 georefererad karta.tif", "A 57653-2024")</f>
        <v/>
      </c>
      <c r="AA56">
        <f>HYPERLINK("https://klasma.github.io/Logging_2409/klagomål/A 57653-2024 FSC-klagomål.docx", "A 57653-2024")</f>
        <v/>
      </c>
      <c r="AB56">
        <f>HYPERLINK("https://klasma.github.io/Logging_2409/klagomålsmail/A 57653-2024 FSC-klagomål mail.docx", "A 57653-2024")</f>
        <v/>
      </c>
      <c r="AC56">
        <f>HYPERLINK("https://klasma.github.io/Logging_2409/tillsyn/A 57653-2024 tillsynsbegäran.docx", "A 57653-2024")</f>
        <v/>
      </c>
      <c r="AD56">
        <f>HYPERLINK("https://klasma.github.io/Logging_2409/tillsynsmail/A 57653-2024 tillsynsbegäran mail.docx", "A 57653-2024")</f>
        <v/>
      </c>
      <c r="AE56">
        <f>HYPERLINK("https://klasma.github.io/Logging_2409/fåglar/A 57653-2024 prioriterade fågelarter.docx", "A 57653-2024")</f>
        <v/>
      </c>
    </row>
    <row r="57" ht="15" customHeight="1">
      <c r="A57" t="inlineStr">
        <is>
          <t>A 29583-2026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46230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SCA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Björksplintborre</t>
        </is>
      </c>
      <c r="W57">
        <f>HYPERLINK("https://klasma.github.io/Logging_2409/artfynd/A 29583-2026 artfynd.xlsx", "A 29583-2026")</f>
        <v/>
      </c>
      <c r="X57">
        <f>HYPERLINK("https://klasma.github.io/Logging_2409/kartor/A 29583-2026 karta.png", "A 29583-2026")</f>
        <v/>
      </c>
      <c r="Y57">
        <f>HYPERLINK("https://klasma.github.io/Logging_2409/kartor_geotiff/A 29583-2026 georefererad karta.tif", "A 29583-2026")</f>
        <v/>
      </c>
      <c r="AA57">
        <f>HYPERLINK("https://klasma.github.io/Logging_2409/klagomål/A 29583-2026 FSC-klagomål.docx", "A 29583-2026")</f>
        <v/>
      </c>
      <c r="AB57">
        <f>HYPERLINK("https://klasma.github.io/Logging_2409/klagomålsmail/A 29583-2026 FSC-klagomål mail.docx", "A 29583-2026")</f>
        <v/>
      </c>
      <c r="AC57">
        <f>HYPERLINK("https://klasma.github.io/Logging_2409/tillsyn/A 29583-2026 tillsynsbegäran.docx", "A 29583-2026")</f>
        <v/>
      </c>
      <c r="AD57">
        <f>HYPERLINK("https://klasma.github.io/Logging_2409/tillsynsmail/A 29583-2026 tillsynsbegäran mail.docx", "A 29583-2026")</f>
        <v/>
      </c>
    </row>
    <row r="58" ht="15" customHeight="1">
      <c r="A58" t="inlineStr">
        <is>
          <t>A 5285-2026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46230</v>
      </c>
      <c r="F58" t="inlineStr">
        <is>
          <t>VÄSTERBOTTENS LÄN</t>
        </is>
      </c>
      <c r="G58" t="inlineStr">
        <is>
          <t>ROBERTSFORS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HYPERLINK("https://klasma.github.io/Logging_2409/artfynd/A 5285-2026 artfynd.xlsx", "A 5285-2026")</f>
        <v/>
      </c>
      <c r="X58">
        <f>HYPERLINK("https://klasma.github.io/Logging_2409/kartor/A 5285-2026 karta.png", "A 5285-2026")</f>
        <v/>
      </c>
      <c r="Y58">
        <f>HYPERLINK("https://klasma.github.io/Logging_2409/kartor_geotiff/A 5285-2026 georefererad karta.tif", "A 5285-2026")</f>
        <v/>
      </c>
      <c r="AA58">
        <f>HYPERLINK("https://klasma.github.io/Logging_2409/klagomål/A 5285-2026 FSC-klagomål.docx", "A 5285-2026")</f>
        <v/>
      </c>
      <c r="AB58">
        <f>HYPERLINK("https://klasma.github.io/Logging_2409/klagomålsmail/A 5285-2026 FSC-klagomål mail.docx", "A 5285-2026")</f>
        <v/>
      </c>
      <c r="AC58">
        <f>HYPERLINK("https://klasma.github.io/Logging_2409/tillsyn/A 5285-2026 tillsynsbegäran.docx", "A 5285-2026")</f>
        <v/>
      </c>
      <c r="AD58">
        <f>HYPERLINK("https://klasma.github.io/Logging_2409/tillsynsmail/A 5285-2026 tillsynsbegäran mail.docx", "A 5285-2026")</f>
        <v/>
      </c>
      <c r="AE58">
        <f>HYPERLINK("https://klasma.github.io/Logging_2409/fåglar/A 5285-2026 prioriterade fågelarter.docx", "A 5285-2026")</f>
        <v/>
      </c>
    </row>
    <row r="59" ht="15" customHeight="1">
      <c r="A59" t="inlineStr">
        <is>
          <t>A 5289-2026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46230</v>
      </c>
      <c r="F59" t="inlineStr">
        <is>
          <t>VÄSTERBOTTENS LÄN</t>
        </is>
      </c>
      <c r="G59" t="inlineStr">
        <is>
          <t>ROBERTSFORS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HYPERLINK("https://klasma.github.io/Logging_2409/artfynd/A 5289-2026 artfynd.xlsx", "A 5289-2026")</f>
        <v/>
      </c>
      <c r="X59">
        <f>HYPERLINK("https://klasma.github.io/Logging_2409/kartor/A 5289-2026 karta.png", "A 5289-2026")</f>
        <v/>
      </c>
      <c r="Y59">
        <f>HYPERLINK("https://klasma.github.io/Logging_2409/kartor_geotiff/A 5289-2026 georefererad karta.tif", "A 5289-2026")</f>
        <v/>
      </c>
      <c r="AA59">
        <f>HYPERLINK("https://klasma.github.io/Logging_2409/klagomål/A 5289-2026 FSC-klagomål.docx", "A 5289-2026")</f>
        <v/>
      </c>
      <c r="AB59">
        <f>HYPERLINK("https://klasma.github.io/Logging_2409/klagomålsmail/A 5289-2026 FSC-klagomål mail.docx", "A 5289-2026")</f>
        <v/>
      </c>
      <c r="AC59">
        <f>HYPERLINK("https://klasma.github.io/Logging_2409/tillsyn/A 5289-2026 tillsynsbegäran.docx", "A 5289-2026")</f>
        <v/>
      </c>
      <c r="AD59">
        <f>HYPERLINK("https://klasma.github.io/Logging_2409/tillsynsmail/A 5289-2026 tillsynsbegäran mail.docx", "A 5289-2026")</f>
        <v/>
      </c>
      <c r="AE59">
        <f>HYPERLINK("https://klasma.github.io/Logging_2409/fåglar/A 5289-2026 prioriterade fågelarter.docx", "A 5289-2026")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46230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46230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46230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46230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46230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41767-2023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46230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0.8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41767-2023 artfynd.xlsx", "A 41767-2023")</f>
        <v/>
      </c>
      <c r="X65">
        <f>HYPERLINK("https://klasma.github.io/Logging_2409/kartor/A 41767-2023 karta.png", "A 41767-2023")</f>
        <v/>
      </c>
      <c r="Y65">
        <f>HYPERLINK("https://klasma.github.io/Logging_2409/kartor_geotiff/A 41767-2023 georefererad karta.tif", "A 41767-2023")</f>
        <v/>
      </c>
      <c r="AA65">
        <f>HYPERLINK("https://klasma.github.io/Logging_2409/klagomål/A 41767-2023 FSC-klagomål.docx", "A 41767-2023")</f>
        <v/>
      </c>
      <c r="AB65">
        <f>HYPERLINK("https://klasma.github.io/Logging_2409/klagomålsmail/A 41767-2023 FSC-klagomål mail.docx", "A 41767-2023")</f>
        <v/>
      </c>
      <c r="AC65">
        <f>HYPERLINK("https://klasma.github.io/Logging_2409/tillsyn/A 41767-2023 tillsynsbegäran.docx", "A 41767-2023")</f>
        <v/>
      </c>
      <c r="AD65">
        <f>HYPERLINK("https://klasma.github.io/Logging_2409/tillsynsmail/A 41767-2023 tillsynsbegäran mail.docx", "A 41767-2023")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46230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46230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46230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46230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46230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46230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46230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46230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46230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46230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46230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46230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46230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46230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46230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46230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46230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46230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46230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46230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46230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46230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46230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46230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46230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46230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46230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46230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46230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46230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46230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46230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46230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46230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46230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46230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46230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46230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46230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46230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46230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46230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46230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46230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46230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46230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46230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46230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46230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46230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46230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46230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46230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46230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46230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46230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46230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46230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46230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46230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46230</v>
      </c>
      <c r="F126" t="inlineStr">
        <is>
          <t>VÄSTERBOTTENS LÄN</t>
        </is>
      </c>
      <c r="G126" t="inlineStr">
        <is>
          <t>ROBERTSFORS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46230</v>
      </c>
      <c r="F127" t="inlineStr">
        <is>
          <t>VÄSTERBOTTENS LÄN</t>
        </is>
      </c>
      <c r="G127" t="inlineStr">
        <is>
          <t>ROBERTSFORS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46230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46230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46230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46230</v>
      </c>
      <c r="F131" t="inlineStr">
        <is>
          <t>VÄSTERBOTTENS LÄN</t>
        </is>
      </c>
      <c r="G131" t="inlineStr">
        <is>
          <t>ROBERTSFORS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46230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46230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46230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46230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46230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46230</v>
      </c>
      <c r="F137" t="inlineStr">
        <is>
          <t>VÄSTERBOTTENS LÄN</t>
        </is>
      </c>
      <c r="G137" t="inlineStr">
        <is>
          <t>ROBERTSFORS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46230</v>
      </c>
      <c r="F138" t="inlineStr">
        <is>
          <t>VÄSTERBOTTENS LÄN</t>
        </is>
      </c>
      <c r="G138" t="inlineStr">
        <is>
          <t>ROBERTSFORS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15294-2023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45019</v>
      </c>
      <c r="E139" s="1" t="n">
        <v>46230</v>
      </c>
      <c r="F139" t="inlineStr">
        <is>
          <t>VÄSTERBOTTENS LÄN</t>
        </is>
      </c>
      <c r="G139" t="inlineStr">
        <is>
          <t>ROBERTSFORS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46230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46230</v>
      </c>
      <c r="F141" t="inlineStr">
        <is>
          <t>VÄSTERBOTTENS LÄN</t>
        </is>
      </c>
      <c r="G141" t="inlineStr">
        <is>
          <t>ROBERTSFORS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46230</v>
      </c>
      <c r="F142" t="inlineStr">
        <is>
          <t>VÄSTERBOTTENS LÄN</t>
        </is>
      </c>
      <c r="G142" t="inlineStr">
        <is>
          <t>ROBERTSFORS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46230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46230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46230</v>
      </c>
      <c r="F145" t="inlineStr">
        <is>
          <t>VÄSTERBOTTENS LÄN</t>
        </is>
      </c>
      <c r="G145" t="inlineStr">
        <is>
          <t>ROBERTSFORS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46230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46230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46230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46230</v>
      </c>
      <c r="F149" t="inlineStr">
        <is>
          <t>VÄSTERBOTTENS LÄN</t>
        </is>
      </c>
      <c r="G149" t="inlineStr">
        <is>
          <t>ROBERTSFORS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46230</v>
      </c>
      <c r="F150" t="inlineStr">
        <is>
          <t>VÄSTERBOTTENS LÄN</t>
        </is>
      </c>
      <c r="G150" t="inlineStr">
        <is>
          <t>ROBERTSFORS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30722-2024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45496</v>
      </c>
      <c r="E151" s="1" t="n">
        <v>46230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46230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45659</v>
      </c>
      <c r="E153" s="1" t="n">
        <v>46230</v>
      </c>
      <c r="F153" t="inlineStr">
        <is>
          <t>VÄSTERBOTTENS LÄN</t>
        </is>
      </c>
      <c r="G153" t="inlineStr">
        <is>
          <t>ROBERTSFORS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46230</v>
      </c>
      <c r="F154" t="inlineStr">
        <is>
          <t>VÄSTERBOTTENS LÄN</t>
        </is>
      </c>
      <c r="G154" t="inlineStr">
        <is>
          <t>ROBERTSFORS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46230</v>
      </c>
      <c r="F155" t="inlineStr">
        <is>
          <t>VÄSTERBOTTENS LÄN</t>
        </is>
      </c>
      <c r="G155" t="inlineStr">
        <is>
          <t>ROBERTSFORS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46230</v>
      </c>
      <c r="F156" t="inlineStr">
        <is>
          <t>VÄSTERBOTTENS LÄN</t>
        </is>
      </c>
      <c r="G156" t="inlineStr">
        <is>
          <t>ROBERTSFORS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45715</v>
      </c>
      <c r="E157" s="1" t="n">
        <v>46230</v>
      </c>
      <c r="F157" t="inlineStr">
        <is>
          <t>VÄSTERBOTTENS LÄN</t>
        </is>
      </c>
      <c r="G157" t="inlineStr">
        <is>
          <t>ROBERTSFORS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46230</v>
      </c>
      <c r="F158" t="inlineStr">
        <is>
          <t>VÄSTERBOTTENS LÄN</t>
        </is>
      </c>
      <c r="G158" t="inlineStr">
        <is>
          <t>ROBERTSFORS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46230</v>
      </c>
      <c r="F159" t="inlineStr">
        <is>
          <t>VÄSTERBOTTENS LÄN</t>
        </is>
      </c>
      <c r="G159" t="inlineStr">
        <is>
          <t>ROBERTSFORS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46230</v>
      </c>
      <c r="F160" t="inlineStr">
        <is>
          <t>VÄSTERBOTTENS LÄN</t>
        </is>
      </c>
      <c r="G160" t="inlineStr">
        <is>
          <t>ROBERTSFORS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44913</v>
      </c>
      <c r="E161" s="1" t="n">
        <v>46230</v>
      </c>
      <c r="F161" t="inlineStr">
        <is>
          <t>VÄSTERBOTTENS LÄN</t>
        </is>
      </c>
      <c r="G161" t="inlineStr">
        <is>
          <t>ROBERTSFORS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46230</v>
      </c>
      <c r="F162" t="inlineStr">
        <is>
          <t>VÄSTERBOTTENS LÄN</t>
        </is>
      </c>
      <c r="G162" t="inlineStr">
        <is>
          <t>ROBERTSFORS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46230</v>
      </c>
      <c r="F163" t="inlineStr">
        <is>
          <t>VÄSTERBOTTENS LÄN</t>
        </is>
      </c>
      <c r="G163" t="inlineStr">
        <is>
          <t>ROBERTSFORS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46230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46230</v>
      </c>
      <c r="F165" t="inlineStr">
        <is>
          <t>VÄSTERBOTTENS LÄN</t>
        </is>
      </c>
      <c r="G165" t="inlineStr">
        <is>
          <t>ROBERTSFORS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45030</v>
      </c>
      <c r="E166" s="1" t="n">
        <v>46230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46230</v>
      </c>
      <c r="F167" t="inlineStr">
        <is>
          <t>VÄSTERBOTTENS LÄN</t>
        </is>
      </c>
      <c r="G167" t="inlineStr">
        <is>
          <t>ROBERTSFORS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46230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46230</v>
      </c>
      <c r="F169" t="inlineStr">
        <is>
          <t>VÄSTERBOTTENS LÄN</t>
        </is>
      </c>
      <c r="G169" t="inlineStr">
        <is>
          <t>ROBERTSFORS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46230</v>
      </c>
      <c r="F170" t="inlineStr">
        <is>
          <t>VÄSTERBOTTENS LÄN</t>
        </is>
      </c>
      <c r="G170" t="inlineStr">
        <is>
          <t>ROBERTSFORS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46230</v>
      </c>
      <c r="F171" t="inlineStr">
        <is>
          <t>VÄSTERBOTTENS LÄN</t>
        </is>
      </c>
      <c r="G171" t="inlineStr">
        <is>
          <t>ROBERTSFORS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46230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SCA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46230</v>
      </c>
      <c r="F173" t="inlineStr">
        <is>
          <t>VÄSTERBOTTENS LÄN</t>
        </is>
      </c>
      <c r="G173" t="inlineStr">
        <is>
          <t>ROBERTSFORS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46230</v>
      </c>
      <c r="F174" t="inlineStr">
        <is>
          <t>VÄSTERBOTTENS LÄN</t>
        </is>
      </c>
      <c r="G174" t="inlineStr">
        <is>
          <t>ROBERTSFORS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46230</v>
      </c>
      <c r="F175" t="inlineStr">
        <is>
          <t>VÄSTERBOTTENS LÄN</t>
        </is>
      </c>
      <c r="G175" t="inlineStr">
        <is>
          <t>ROBERTSFORS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46230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46230</v>
      </c>
      <c r="F177" t="inlineStr">
        <is>
          <t>VÄSTERBOTTENS LÄN</t>
        </is>
      </c>
      <c r="G177" t="inlineStr">
        <is>
          <t>ROBERTSFORS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46230</v>
      </c>
      <c r="F178" t="inlineStr">
        <is>
          <t>VÄSTERBOTTENS LÄN</t>
        </is>
      </c>
      <c r="G178" t="inlineStr">
        <is>
          <t>ROBERTSFORS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46230</v>
      </c>
      <c r="F179" t="inlineStr">
        <is>
          <t>VÄSTERBOTTENS LÄN</t>
        </is>
      </c>
      <c r="G179" t="inlineStr">
        <is>
          <t>ROBERTSFORS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46230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45458</v>
      </c>
      <c r="E181" s="1" t="n">
        <v>46230</v>
      </c>
      <c r="F181" t="inlineStr">
        <is>
          <t>VÄSTERBOTTENS LÄN</t>
        </is>
      </c>
      <c r="G181" t="inlineStr">
        <is>
          <t>ROBERTSFORS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46230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45458</v>
      </c>
      <c r="E183" s="1" t="n">
        <v>46230</v>
      </c>
      <c r="F183" t="inlineStr">
        <is>
          <t>VÄSTERBOTTENS LÄN</t>
        </is>
      </c>
      <c r="G183" t="inlineStr">
        <is>
          <t>ROBERTSFORS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46230</v>
      </c>
      <c r="F184" t="inlineStr">
        <is>
          <t>VÄSTERBOTTENS LÄN</t>
        </is>
      </c>
      <c r="G184" t="inlineStr">
        <is>
          <t>ROBERTSFORS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45870</v>
      </c>
      <c r="E185" s="1" t="n">
        <v>46230</v>
      </c>
      <c r="F185" t="inlineStr">
        <is>
          <t>VÄSTERBOTTENS LÄN</t>
        </is>
      </c>
      <c r="G185" t="inlineStr">
        <is>
          <t>ROBERTSFORS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46230</v>
      </c>
      <c r="F186" t="inlineStr">
        <is>
          <t>VÄSTERBOTTENS LÄN</t>
        </is>
      </c>
      <c r="G186" t="inlineStr">
        <is>
          <t>ROBERTSFORS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46230</v>
      </c>
      <c r="F187" t="inlineStr">
        <is>
          <t>VÄSTERBOTTENS LÄN</t>
        </is>
      </c>
      <c r="G187" t="inlineStr">
        <is>
          <t>ROBERTSFORS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46230</v>
      </c>
      <c r="F188" t="inlineStr">
        <is>
          <t>VÄSTERBOTTENS LÄN</t>
        </is>
      </c>
      <c r="G188" t="inlineStr">
        <is>
          <t>ROBERTSFORS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44516</v>
      </c>
      <c r="E189" s="1" t="n">
        <v>46230</v>
      </c>
      <c r="F189" t="inlineStr">
        <is>
          <t>VÄSTERBOTTENS LÄN</t>
        </is>
      </c>
      <c r="G189" t="inlineStr">
        <is>
          <t>ROBERTSFORS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45480</v>
      </c>
      <c r="E190" s="1" t="n">
        <v>46230</v>
      </c>
      <c r="F190" t="inlineStr">
        <is>
          <t>VÄSTERBOTTENS LÄN</t>
        </is>
      </c>
      <c r="G190" t="inlineStr">
        <is>
          <t>ROBERTSFORS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45661</v>
      </c>
      <c r="E191" s="1" t="n">
        <v>46230</v>
      </c>
      <c r="F191" t="inlineStr">
        <is>
          <t>VÄSTERBOTTENS LÄN</t>
        </is>
      </c>
      <c r="G191" t="inlineStr">
        <is>
          <t>ROBERTSFORS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46230</v>
      </c>
      <c r="F192" t="inlineStr">
        <is>
          <t>VÄSTERBOTTENS LÄN</t>
        </is>
      </c>
      <c r="G192" t="inlineStr">
        <is>
          <t>ROBERTSFORS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19734-2026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46135</v>
      </c>
      <c r="E193" s="1" t="n">
        <v>46230</v>
      </c>
      <c r="F193" t="inlineStr">
        <is>
          <t>VÄSTERBOTTENS LÄN</t>
        </is>
      </c>
      <c r="G193" t="inlineStr">
        <is>
          <t>ROBERTSFORS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65772-2021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44516</v>
      </c>
      <c r="E194" s="1" t="n">
        <v>46230</v>
      </c>
      <c r="F194" t="inlineStr">
        <is>
          <t>VÄSTERBOTTENS LÄN</t>
        </is>
      </c>
      <c r="G194" t="inlineStr">
        <is>
          <t>ROBERTSFORS</t>
        </is>
      </c>
      <c r="I194" t="n">
        <v>18.2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46230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45502</v>
      </c>
      <c r="E196" s="1" t="n">
        <v>46230</v>
      </c>
      <c r="F196" t="inlineStr">
        <is>
          <t>VÄSTERBOTTENS LÄN</t>
        </is>
      </c>
      <c r="G196" t="inlineStr">
        <is>
          <t>ROBERTSFORS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46230</v>
      </c>
      <c r="F197" t="inlineStr">
        <is>
          <t>VÄSTERBOTTENS LÄN</t>
        </is>
      </c>
      <c r="G197" t="inlineStr">
        <is>
          <t>ROBERTSFORS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46230</v>
      </c>
      <c r="F198" t="inlineStr">
        <is>
          <t>VÄSTERBOTTENS LÄN</t>
        </is>
      </c>
      <c r="G198" t="inlineStr">
        <is>
          <t>ROBERTSFORS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46230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46230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44413</v>
      </c>
      <c r="E201" s="1" t="n">
        <v>46230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46230</v>
      </c>
      <c r="F202" t="inlineStr">
        <is>
          <t>VÄSTERBOTTENS LÄN</t>
        </is>
      </c>
      <c r="G202" t="inlineStr">
        <is>
          <t>ROBERTSFORS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44838</v>
      </c>
      <c r="E203" s="1" t="n">
        <v>46230</v>
      </c>
      <c r="F203" t="inlineStr">
        <is>
          <t>VÄSTERBOTTENS LÄN</t>
        </is>
      </c>
      <c r="G203" t="inlineStr">
        <is>
          <t>ROBERTSFORS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46230</v>
      </c>
      <c r="F204" t="inlineStr">
        <is>
          <t>VÄSTERBOTTENS LÄN</t>
        </is>
      </c>
      <c r="G204" t="inlineStr">
        <is>
          <t>ROBERTSFORS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46230</v>
      </c>
      <c r="F205" t="inlineStr">
        <is>
          <t>VÄSTERBOTTENS LÄN</t>
        </is>
      </c>
      <c r="G205" t="inlineStr">
        <is>
          <t>ROBERTSFORS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46230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45653</v>
      </c>
      <c r="E207" s="1" t="n">
        <v>46230</v>
      </c>
      <c r="F207" t="inlineStr">
        <is>
          <t>VÄSTERBOTTENS LÄN</t>
        </is>
      </c>
      <c r="G207" t="inlineStr">
        <is>
          <t>ROBERTSFORS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46230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46230</v>
      </c>
      <c r="F209" t="inlineStr">
        <is>
          <t>VÄSTERBOTTENS LÄN</t>
        </is>
      </c>
      <c r="G209" t="inlineStr">
        <is>
          <t>ROBERTSFORS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46230</v>
      </c>
      <c r="F210" t="inlineStr">
        <is>
          <t>VÄSTERBOTTENS LÄN</t>
        </is>
      </c>
      <c r="G210" t="inlineStr">
        <is>
          <t>ROBERTSFORS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46230</v>
      </c>
      <c r="F211" t="inlineStr">
        <is>
          <t>VÄSTERBOTTENS LÄN</t>
        </is>
      </c>
      <c r="G211" t="inlineStr">
        <is>
          <t>ROBERTSFORS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39982-2025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45893</v>
      </c>
      <c r="E212" s="1" t="n">
        <v>46230</v>
      </c>
      <c r="F212" t="inlineStr">
        <is>
          <t>VÄSTERBOTTENS LÄN</t>
        </is>
      </c>
      <c r="G212" t="inlineStr">
        <is>
          <t>ROBERTSFORS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44487</v>
      </c>
      <c r="E213" s="1" t="n">
        <v>46230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45896</v>
      </c>
      <c r="E214" s="1" t="n">
        <v>46230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46230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SCA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46230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46230</v>
      </c>
      <c r="F217" t="inlineStr">
        <is>
          <t>VÄSTERBOTTENS LÄN</t>
        </is>
      </c>
      <c r="G217" t="inlineStr">
        <is>
          <t>ROBERTSFORS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46230</v>
      </c>
      <c r="F218" t="inlineStr">
        <is>
          <t>VÄSTERBOTTENS LÄN</t>
        </is>
      </c>
      <c r="G218" t="inlineStr">
        <is>
          <t>ROBERTSFORS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46230</v>
      </c>
      <c r="F219" t="inlineStr">
        <is>
          <t>VÄSTERBOTTENS LÄN</t>
        </is>
      </c>
      <c r="G219" t="inlineStr">
        <is>
          <t>ROBERTSFORS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46230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46230</v>
      </c>
      <c r="F221" t="inlineStr">
        <is>
          <t>VÄSTERBOTTENS LÄN</t>
        </is>
      </c>
      <c r="G221" t="inlineStr">
        <is>
          <t>ROBERTSFORS</t>
        </is>
      </c>
      <c r="I221" t="n">
        <v>12.7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46230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45335</v>
      </c>
      <c r="E223" s="1" t="n">
        <v>46230</v>
      </c>
      <c r="F223" t="inlineStr">
        <is>
          <t>VÄSTERBOTTENS LÄN</t>
        </is>
      </c>
      <c r="G223" t="inlineStr">
        <is>
          <t>ROBERTSFORS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46230</v>
      </c>
      <c r="F224" t="inlineStr">
        <is>
          <t>VÄSTERBOTTENS LÄN</t>
        </is>
      </c>
      <c r="G224" t="inlineStr">
        <is>
          <t>ROBERTSFORS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46230</v>
      </c>
      <c r="F225" t="inlineStr">
        <is>
          <t>VÄSTERBOTTENS LÄN</t>
        </is>
      </c>
      <c r="G225" t="inlineStr">
        <is>
          <t>ROBERTSFORS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44130-2025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45915</v>
      </c>
      <c r="E226" s="1" t="n">
        <v>46230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46139</v>
      </c>
      <c r="E227" s="1" t="n">
        <v>46230</v>
      </c>
      <c r="F227" t="inlineStr">
        <is>
          <t>VÄSTERBOTTENS LÄN</t>
        </is>
      </c>
      <c r="G227" t="inlineStr">
        <is>
          <t>ROBERTSFORS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46230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46230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46230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46230</v>
      </c>
      <c r="F231" t="inlineStr">
        <is>
          <t>VÄSTERBOTTENS LÄN</t>
        </is>
      </c>
      <c r="G231" t="inlineStr">
        <is>
          <t>ROBERTSFORS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46230</v>
      </c>
      <c r="F232" t="inlineStr">
        <is>
          <t>VÄSTERBOTTENS LÄN</t>
        </is>
      </c>
      <c r="G232" t="inlineStr">
        <is>
          <t>ROBERTSFORS</t>
        </is>
      </c>
      <c r="I232" t="n">
        <v>24.4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45405</v>
      </c>
      <c r="E233" s="1" t="n">
        <v>46230</v>
      </c>
      <c r="F233" t="inlineStr">
        <is>
          <t>VÄSTERBOTTENS LÄN</t>
        </is>
      </c>
      <c r="G233" t="inlineStr">
        <is>
          <t>ROBERTSFORS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46230</v>
      </c>
      <c r="F234" t="inlineStr">
        <is>
          <t>VÄSTERBOTTENS LÄN</t>
        </is>
      </c>
      <c r="G234" t="inlineStr">
        <is>
          <t>ROBERTSFORS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46168-2025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45924</v>
      </c>
      <c r="E235" s="1" t="n">
        <v>46230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46230</v>
      </c>
      <c r="F236" t="inlineStr">
        <is>
          <t>VÄSTERBOTTENS LÄN</t>
        </is>
      </c>
      <c r="G236" t="inlineStr">
        <is>
          <t>ROBERTSFORS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39324-2021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44413</v>
      </c>
      <c r="E237" s="1" t="n">
        <v>46230</v>
      </c>
      <c r="F237" t="inlineStr">
        <is>
          <t>VÄSTERBOTTENS LÄN</t>
        </is>
      </c>
      <c r="G237" t="inlineStr">
        <is>
          <t>ROBERTSFORS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46230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46230</v>
      </c>
      <c r="F239" t="inlineStr">
        <is>
          <t>VÄSTERBOTTENS LÄN</t>
        </is>
      </c>
      <c r="G239" t="inlineStr">
        <is>
          <t>ROBERTSFORS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46230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46230</v>
      </c>
      <c r="F241" t="inlineStr">
        <is>
          <t>VÄSTERBOTTENS LÄN</t>
        </is>
      </c>
      <c r="G241" t="inlineStr">
        <is>
          <t>ROBERTSFORS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46230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46230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46230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45020</v>
      </c>
      <c r="E245" s="1" t="n">
        <v>46230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Sveaskog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46230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62187-2021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44502</v>
      </c>
      <c r="E247" s="1" t="n">
        <v>46230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46230</v>
      </c>
      <c r="F248" t="inlineStr">
        <is>
          <t>VÄSTERBOTTENS LÄN</t>
        </is>
      </c>
      <c r="G248" t="inlineStr">
        <is>
          <t>ROBERTSFORS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46230</v>
      </c>
      <c r="F249" t="inlineStr">
        <is>
          <t>VÄSTERBOTTENS LÄN</t>
        </is>
      </c>
      <c r="G249" t="inlineStr">
        <is>
          <t>ROBERTSFORS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45146</v>
      </c>
      <c r="E250" s="1" t="n">
        <v>46230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45782</v>
      </c>
      <c r="E251" s="1" t="n">
        <v>46230</v>
      </c>
      <c r="F251" t="inlineStr">
        <is>
          <t>VÄSTERBOTTENS LÄN</t>
        </is>
      </c>
      <c r="G251" t="inlineStr">
        <is>
          <t>ROBERTSFORS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46230</v>
      </c>
      <c r="F252" t="inlineStr">
        <is>
          <t>VÄSTERBOTTENS LÄN</t>
        </is>
      </c>
      <c r="G252" t="inlineStr">
        <is>
          <t>ROBERTSFORS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58526-2023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46230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45510</v>
      </c>
      <c r="E254" s="1" t="n">
        <v>46230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46230</v>
      </c>
      <c r="F255" t="inlineStr">
        <is>
          <t>VÄSTERBOTTENS LÄN</t>
        </is>
      </c>
      <c r="G255" t="inlineStr">
        <is>
          <t>ROBERTSFORS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46230</v>
      </c>
      <c r="F256" t="inlineStr">
        <is>
          <t>VÄSTERBOTTENS LÄN</t>
        </is>
      </c>
      <c r="G256" t="inlineStr">
        <is>
          <t>ROBERTSFORS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46230</v>
      </c>
      <c r="F257" t="inlineStr">
        <is>
          <t>VÄSTERBOTTENS LÄN</t>
        </is>
      </c>
      <c r="G257" t="inlineStr">
        <is>
          <t>ROBERTSFORS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46230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45365</v>
      </c>
      <c r="E259" s="1" t="n">
        <v>46230</v>
      </c>
      <c r="F259" t="inlineStr">
        <is>
          <t>VÄSTERBOTTENS LÄN</t>
        </is>
      </c>
      <c r="G259" t="inlineStr">
        <is>
          <t>ROBERTSFORS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46230</v>
      </c>
      <c r="F260" t="inlineStr">
        <is>
          <t>VÄSTERBOTTENS LÄN</t>
        </is>
      </c>
      <c r="G260" t="inlineStr">
        <is>
          <t>ROBERTSFORS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46230</v>
      </c>
      <c r="F261" t="inlineStr">
        <is>
          <t>VÄSTERBOTTENS LÄN</t>
        </is>
      </c>
      <c r="G261" t="inlineStr">
        <is>
          <t>ROBERTSFORS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46230</v>
      </c>
      <c r="F262" t="inlineStr">
        <is>
          <t>VÄSTERBOTTENS LÄN</t>
        </is>
      </c>
      <c r="G262" t="inlineStr">
        <is>
          <t>ROBERTSFORS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46230</v>
      </c>
      <c r="F263" t="inlineStr">
        <is>
          <t>VÄSTERBOTTENS LÄN</t>
        </is>
      </c>
      <c r="G263" t="inlineStr">
        <is>
          <t>ROBERTSFORS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46230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45959</v>
      </c>
      <c r="E265" s="1" t="n">
        <v>46230</v>
      </c>
      <c r="F265" t="inlineStr">
        <is>
          <t>VÄSTERBOTTENS LÄN</t>
        </is>
      </c>
      <c r="G265" t="inlineStr">
        <is>
          <t>ROBERTSFORS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46230</v>
      </c>
      <c r="F266" t="inlineStr">
        <is>
          <t>VÄSTERBOTTENS LÄN</t>
        </is>
      </c>
      <c r="G266" t="inlineStr">
        <is>
          <t>ROBERTSFORS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9135-2024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45357</v>
      </c>
      <c r="E267" s="1" t="n">
        <v>46230</v>
      </c>
      <c r="F267" t="inlineStr">
        <is>
          <t>VÄSTERBOTTENS LÄN</t>
        </is>
      </c>
      <c r="G267" t="inlineStr">
        <is>
          <t>ROBERTSFORS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45712</v>
      </c>
      <c r="E268" s="1" t="n">
        <v>46230</v>
      </c>
      <c r="F268" t="inlineStr">
        <is>
          <t>VÄSTERBOTTENS LÄN</t>
        </is>
      </c>
      <c r="G268" t="inlineStr">
        <is>
          <t>ROBERTSFORS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46230</v>
      </c>
      <c r="F269" t="inlineStr">
        <is>
          <t>VÄSTERBOTTENS LÄN</t>
        </is>
      </c>
      <c r="G269" t="inlineStr">
        <is>
          <t>ROBERTSFORS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46230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46230</v>
      </c>
      <c r="F271" t="inlineStr">
        <is>
          <t>VÄSTERBOTTENS LÄN</t>
        </is>
      </c>
      <c r="G271" t="inlineStr">
        <is>
          <t>ROBERTSFORS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46230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46230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46230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46230</v>
      </c>
      <c r="F275" t="inlineStr">
        <is>
          <t>VÄSTERBOTTENS LÄN</t>
        </is>
      </c>
      <c r="G275" t="inlineStr">
        <is>
          <t>ROBERTSFORS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46148</v>
      </c>
      <c r="E276" s="1" t="n">
        <v>46230</v>
      </c>
      <c r="F276" t="inlineStr">
        <is>
          <t>VÄSTERBOTTENS LÄN</t>
        </is>
      </c>
      <c r="G276" t="inlineStr">
        <is>
          <t>ROBERTSFORS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46230</v>
      </c>
      <c r="F277" t="inlineStr">
        <is>
          <t>VÄSTERBOTTENS LÄN</t>
        </is>
      </c>
      <c r="G277" t="inlineStr">
        <is>
          <t>ROBERTSFORS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46230</v>
      </c>
      <c r="F278" t="inlineStr">
        <is>
          <t>VÄSTERBOTTENS LÄN</t>
        </is>
      </c>
      <c r="G278" t="inlineStr">
        <is>
          <t>ROBERTSFORS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45013</v>
      </c>
      <c r="E279" s="1" t="n">
        <v>46230</v>
      </c>
      <c r="F279" t="inlineStr">
        <is>
          <t>VÄSTERBOTTENS LÄN</t>
        </is>
      </c>
      <c r="G279" t="inlineStr">
        <is>
          <t>ROBERTSFORS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46230</v>
      </c>
      <c r="F280" t="inlineStr">
        <is>
          <t>VÄSTERBOTTENS LÄN</t>
        </is>
      </c>
      <c r="G280" t="inlineStr">
        <is>
          <t>ROBERTSFORS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46230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46230</v>
      </c>
      <c r="F282" t="inlineStr">
        <is>
          <t>VÄSTERBOTTENS LÄN</t>
        </is>
      </c>
      <c r="G282" t="inlineStr">
        <is>
          <t>ROBERTSFORS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46230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45042</v>
      </c>
      <c r="E284" s="1" t="n">
        <v>46230</v>
      </c>
      <c r="F284" t="inlineStr">
        <is>
          <t>VÄSTERBOTTENS LÄN</t>
        </is>
      </c>
      <c r="G284" t="inlineStr">
        <is>
          <t>ROBERTSFORS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45679</v>
      </c>
      <c r="E285" s="1" t="n">
        <v>46230</v>
      </c>
      <c r="F285" t="inlineStr">
        <is>
          <t>VÄSTERBOTTENS LÄN</t>
        </is>
      </c>
      <c r="G285" t="inlineStr">
        <is>
          <t>ROBERTSFORS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53271-2021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44467</v>
      </c>
      <c r="E286" s="1" t="n">
        <v>46230</v>
      </c>
      <c r="F286" t="inlineStr">
        <is>
          <t>VÄSTERBOTTENS LÄN</t>
        </is>
      </c>
      <c r="G286" t="inlineStr">
        <is>
          <t>ROBERTSFORS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45141</v>
      </c>
      <c r="E287" s="1" t="n">
        <v>46230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46230</v>
      </c>
      <c r="F288" t="inlineStr">
        <is>
          <t>VÄSTERBOTTENS LÄN</t>
        </is>
      </c>
      <c r="G288" t="inlineStr">
        <is>
          <t>ROBERTSFORS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46230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46230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46230</v>
      </c>
      <c r="F291" t="inlineStr">
        <is>
          <t>VÄSTERBOTTENS LÄN</t>
        </is>
      </c>
      <c r="G291" t="inlineStr">
        <is>
          <t>ROBERTSFORS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46230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46230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46230</v>
      </c>
      <c r="F294" t="inlineStr">
        <is>
          <t>VÄSTERBOTTENS LÄN</t>
        </is>
      </c>
      <c r="G294" t="inlineStr">
        <is>
          <t>ROBERTSFORS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46230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46230</v>
      </c>
      <c r="F296" t="inlineStr">
        <is>
          <t>VÄSTERBOTTENS LÄN</t>
        </is>
      </c>
      <c r="G296" t="inlineStr">
        <is>
          <t>ROBERTSFORS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44734</v>
      </c>
      <c r="E297" s="1" t="n">
        <v>46230</v>
      </c>
      <c r="F297" t="inlineStr">
        <is>
          <t>VÄSTERBOTTENS LÄN</t>
        </is>
      </c>
      <c r="G297" t="inlineStr">
        <is>
          <t>ROBERTSFORS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46230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46230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45987</v>
      </c>
      <c r="E300" s="1" t="n">
        <v>46230</v>
      </c>
      <c r="F300" t="inlineStr">
        <is>
          <t>VÄSTERBOTTENS LÄN</t>
        </is>
      </c>
      <c r="G300" t="inlineStr">
        <is>
          <t>ROBERTSFORS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45205</v>
      </c>
      <c r="E301" s="1" t="n">
        <v>46230</v>
      </c>
      <c r="F301" t="inlineStr">
        <is>
          <t>VÄSTERBOTTENS LÄN</t>
        </is>
      </c>
      <c r="G301" t="inlineStr">
        <is>
          <t>ROBERTSFORS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46230</v>
      </c>
      <c r="F302" t="inlineStr">
        <is>
          <t>VÄSTERBOTTENS LÄN</t>
        </is>
      </c>
      <c r="G302" t="inlineStr">
        <is>
          <t>ROBERTSFORS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46230</v>
      </c>
      <c r="F303" t="inlineStr">
        <is>
          <t>VÄSTERBOTTENS LÄN</t>
        </is>
      </c>
      <c r="G303" t="inlineStr">
        <is>
          <t>ROBERTSFORS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45020</v>
      </c>
      <c r="E304" s="1" t="n">
        <v>46230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Sveaskog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44475</v>
      </c>
      <c r="E305" s="1" t="n">
        <v>46230</v>
      </c>
      <c r="F305" t="inlineStr">
        <is>
          <t>VÄSTERBOTTENS LÄN</t>
        </is>
      </c>
      <c r="G305" t="inlineStr">
        <is>
          <t>ROBERTSFORS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45996</v>
      </c>
      <c r="E306" s="1" t="n">
        <v>46230</v>
      </c>
      <c r="F306" t="inlineStr">
        <is>
          <t>VÄSTERBOTTENS LÄN</t>
        </is>
      </c>
      <c r="G306" t="inlineStr">
        <is>
          <t>ROBERTSFORS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46230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46230</v>
      </c>
      <c r="F308" t="inlineStr">
        <is>
          <t>VÄSTERBOTTENS LÄN</t>
        </is>
      </c>
      <c r="G308" t="inlineStr">
        <is>
          <t>ROBERTSFORS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46230</v>
      </c>
      <c r="F309" t="inlineStr">
        <is>
          <t>VÄSTERBOTTENS LÄN</t>
        </is>
      </c>
      <c r="G309" t="inlineStr">
        <is>
          <t>ROBERTSFORS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46230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Sveaskog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45129</v>
      </c>
      <c r="E311" s="1" t="n">
        <v>46230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45182</v>
      </c>
      <c r="E312" s="1" t="n">
        <v>46230</v>
      </c>
      <c r="F312" t="inlineStr">
        <is>
          <t>VÄSTERBOTTENS LÄN</t>
        </is>
      </c>
      <c r="G312" t="inlineStr">
        <is>
          <t>ROBERTSFORS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46230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46230</v>
      </c>
      <c r="F314" t="inlineStr">
        <is>
          <t>VÄSTERBOTTENS LÄN</t>
        </is>
      </c>
      <c r="G314" t="inlineStr">
        <is>
          <t>ROBERTSFORS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46155</v>
      </c>
      <c r="E315" s="1" t="n">
        <v>46230</v>
      </c>
      <c r="F315" t="inlineStr">
        <is>
          <t>VÄSTERBOTTENS LÄN</t>
        </is>
      </c>
      <c r="G315" t="inlineStr">
        <is>
          <t>ROBERTSFORS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46230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46230</v>
      </c>
      <c r="F317" t="inlineStr">
        <is>
          <t>VÄSTERBOTTENS LÄN</t>
        </is>
      </c>
      <c r="G317" t="inlineStr">
        <is>
          <t>ROBERTSFORS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45610</v>
      </c>
      <c r="E318" s="1" t="n">
        <v>46230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SCA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45302</v>
      </c>
      <c r="E319" s="1" t="n">
        <v>46230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46230</v>
      </c>
      <c r="F320" t="inlineStr">
        <is>
          <t>VÄSTERBOTTENS LÄN</t>
        </is>
      </c>
      <c r="G320" t="inlineStr">
        <is>
          <t>ROBERTSFORS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46230</v>
      </c>
      <c r="F321" t="inlineStr">
        <is>
          <t>VÄSTERBOTTENS LÄN</t>
        </is>
      </c>
      <c r="G321" t="inlineStr">
        <is>
          <t>ROBERTSFORS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46230</v>
      </c>
      <c r="F322" t="inlineStr">
        <is>
          <t>VÄSTERBOTTENS LÄN</t>
        </is>
      </c>
      <c r="G322" t="inlineStr">
        <is>
          <t>ROBERTSFORS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45160</v>
      </c>
      <c r="E323" s="1" t="n">
        <v>46230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45620</v>
      </c>
      <c r="E324" s="1" t="n">
        <v>46230</v>
      </c>
      <c r="F324" t="inlineStr">
        <is>
          <t>VÄSTERBOTTENS LÄN</t>
        </is>
      </c>
      <c r="G324" t="inlineStr">
        <is>
          <t>ROBERTSFORS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58712-2024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45635</v>
      </c>
      <c r="E325" s="1" t="n">
        <v>46230</v>
      </c>
      <c r="F325" t="inlineStr">
        <is>
          <t>VÄSTERBOTTENS LÄN</t>
        </is>
      </c>
      <c r="G325" t="inlineStr">
        <is>
          <t>ROBERTSFORS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45458</v>
      </c>
      <c r="E326" s="1" t="n">
        <v>46230</v>
      </c>
      <c r="F326" t="inlineStr">
        <is>
          <t>VÄSTERBOTTENS LÄN</t>
        </is>
      </c>
      <c r="G326" t="inlineStr">
        <is>
          <t>ROBERTSFORS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46203</v>
      </c>
      <c r="E327" s="1" t="n">
        <v>46230</v>
      </c>
      <c r="F327" t="inlineStr">
        <is>
          <t>VÄSTERBOTTENS LÄN</t>
        </is>
      </c>
      <c r="G327" t="inlineStr">
        <is>
          <t>ROBERTSFORS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46230</v>
      </c>
      <c r="F328" t="inlineStr">
        <is>
          <t>VÄSTERBOTTENS LÄN</t>
        </is>
      </c>
      <c r="G328" t="inlineStr">
        <is>
          <t>ROBERTSFORS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46230</v>
      </c>
      <c r="F329" t="inlineStr">
        <is>
          <t>VÄSTERBOTTENS LÄN</t>
        </is>
      </c>
      <c r="G329" t="inlineStr">
        <is>
          <t>ROBERTSFORS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45133</v>
      </c>
      <c r="E330" s="1" t="n">
        <v>46230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46160</v>
      </c>
      <c r="E331" s="1" t="n">
        <v>46230</v>
      </c>
      <c r="F331" t="inlineStr">
        <is>
          <t>VÄSTERBOTTENS LÄN</t>
        </is>
      </c>
      <c r="G331" t="inlineStr">
        <is>
          <t>ROBERTSFORS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46230</v>
      </c>
      <c r="F332" t="inlineStr">
        <is>
          <t>VÄSTERBOTTENS LÄN</t>
        </is>
      </c>
      <c r="G332" t="inlineStr">
        <is>
          <t>ROBERTSFORS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46230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45756</v>
      </c>
      <c r="E334" s="1" t="n">
        <v>46230</v>
      </c>
      <c r="F334" t="inlineStr">
        <is>
          <t>VÄSTERBOTTENS LÄN</t>
        </is>
      </c>
      <c r="G334" t="inlineStr">
        <is>
          <t>ROBERTSFORS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46230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9.4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46230</v>
      </c>
      <c r="F336" t="inlineStr">
        <is>
          <t>VÄSTERBOTTENS LÄN</t>
        </is>
      </c>
      <c r="G336" t="inlineStr">
        <is>
          <t>ROBERTSFORS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45551</v>
      </c>
      <c r="E337" s="1" t="n">
        <v>46230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46230</v>
      </c>
      <c r="F338" t="inlineStr">
        <is>
          <t>VÄSTERBOTTENS LÄN</t>
        </is>
      </c>
      <c r="G338" t="inlineStr">
        <is>
          <t>ROBERTSFORS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46230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46230</v>
      </c>
      <c r="F340" t="inlineStr">
        <is>
          <t>VÄSTERBOTTENS LÄN</t>
        </is>
      </c>
      <c r="G340" t="inlineStr">
        <is>
          <t>ROBERTSFORS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46230</v>
      </c>
      <c r="F341" t="inlineStr">
        <is>
          <t>VÄSTERBOTTENS LÄN</t>
        </is>
      </c>
      <c r="G341" t="inlineStr">
        <is>
          <t>ROBERTSFORS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45307</v>
      </c>
      <c r="E342" s="1" t="n">
        <v>46230</v>
      </c>
      <c r="F342" t="inlineStr">
        <is>
          <t>VÄSTERBOTTENS LÄN</t>
        </is>
      </c>
      <c r="G342" t="inlineStr">
        <is>
          <t>ROBERTSFORS</t>
        </is>
      </c>
      <c r="I342" t="n">
        <v>12.1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46230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46230</v>
      </c>
      <c r="F344" t="inlineStr">
        <is>
          <t>VÄSTERBOTTENS LÄN</t>
        </is>
      </c>
      <c r="G344" t="inlineStr">
        <is>
          <t>ROBERTSFORS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46230</v>
      </c>
      <c r="F345" t="inlineStr">
        <is>
          <t>VÄSTERBOTTENS LÄN</t>
        </is>
      </c>
      <c r="G345" t="inlineStr">
        <is>
          <t>ROBERTSFORS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45470</v>
      </c>
      <c r="E346" s="1" t="n">
        <v>46230</v>
      </c>
      <c r="F346" t="inlineStr">
        <is>
          <t>VÄSTERBOTTENS LÄN</t>
        </is>
      </c>
      <c r="G346" t="inlineStr">
        <is>
          <t>ROBERTSFORS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46230</v>
      </c>
      <c r="F347" t="inlineStr">
        <is>
          <t>VÄSTERBOTTENS LÄN</t>
        </is>
      </c>
      <c r="G347" t="inlineStr">
        <is>
          <t>ROBERTSFORS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46230</v>
      </c>
      <c r="F348" t="inlineStr">
        <is>
          <t>VÄSTERBOTTENS LÄN</t>
        </is>
      </c>
      <c r="G348" t="inlineStr">
        <is>
          <t>ROBERTSFORS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46230</v>
      </c>
      <c r="F349" t="inlineStr">
        <is>
          <t>VÄSTERBOTTENS LÄN</t>
        </is>
      </c>
      <c r="G349" t="inlineStr">
        <is>
          <t>ROBERTSFORS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46230</v>
      </c>
      <c r="F350" t="inlineStr">
        <is>
          <t>VÄSTERBOTTENS LÄN</t>
        </is>
      </c>
      <c r="G350" t="inlineStr">
        <is>
          <t>ROBERTSFORS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46230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46230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SCA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46230</v>
      </c>
      <c r="F353" t="inlineStr">
        <is>
          <t>VÄSTERBOTTENS LÄN</t>
        </is>
      </c>
      <c r="G353" t="inlineStr">
        <is>
          <t>ROBERTSFORS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46230</v>
      </c>
      <c r="F354" t="inlineStr">
        <is>
          <t>VÄSTERBOTTENS LÄN</t>
        </is>
      </c>
      <c r="G354" t="inlineStr">
        <is>
          <t>ROBERTSFORS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46230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45160</v>
      </c>
      <c r="E356" s="1" t="n">
        <v>46230</v>
      </c>
      <c r="F356" t="inlineStr">
        <is>
          <t>VÄSTERBOTTENS LÄN</t>
        </is>
      </c>
      <c r="G356" t="inlineStr">
        <is>
          <t>ROBERTSFORS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46230</v>
      </c>
      <c r="F357" t="inlineStr">
        <is>
          <t>VÄSTERBOTTENS LÄN</t>
        </is>
      </c>
      <c r="G357" t="inlineStr">
        <is>
          <t>ROBERTSFORS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46230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46230</v>
      </c>
      <c r="F359" t="inlineStr">
        <is>
          <t>VÄSTERBOTTENS LÄN</t>
        </is>
      </c>
      <c r="G359" t="inlineStr">
        <is>
          <t>ROBERTSFORS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46230</v>
      </c>
      <c r="F360" t="inlineStr">
        <is>
          <t>VÄSTERBOTTENS LÄN</t>
        </is>
      </c>
      <c r="G360" t="inlineStr">
        <is>
          <t>ROBERTSFORS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46230</v>
      </c>
      <c r="F361" t="inlineStr">
        <is>
          <t>VÄSTERBOTTENS LÄN</t>
        </is>
      </c>
      <c r="G361" t="inlineStr">
        <is>
          <t>ROBERTSFORS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46230</v>
      </c>
      <c r="F362" t="inlineStr">
        <is>
          <t>VÄSTERBOTTENS LÄN</t>
        </is>
      </c>
      <c r="G362" t="inlineStr">
        <is>
          <t>ROBERTSFORS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46230</v>
      </c>
      <c r="F363" t="inlineStr">
        <is>
          <t>VÄSTERBOTTENS LÄN</t>
        </is>
      </c>
      <c r="G363" t="inlineStr">
        <is>
          <t>ROBERTSFORS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45365</v>
      </c>
      <c r="E364" s="1" t="n">
        <v>46230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46230</v>
      </c>
      <c r="F365" t="inlineStr">
        <is>
          <t>VÄSTERBOTTENS LÄN</t>
        </is>
      </c>
      <c r="G365" t="inlineStr">
        <is>
          <t>ROBERTSFORS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38949-2024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45548</v>
      </c>
      <c r="E366" s="1" t="n">
        <v>46230</v>
      </c>
      <c r="F366" t="inlineStr">
        <is>
          <t>VÄSTERBOTTENS LÄN</t>
        </is>
      </c>
      <c r="G366" t="inlineStr">
        <is>
          <t>ROBERTSFORS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46065</v>
      </c>
      <c r="E367" s="1" t="n">
        <v>46230</v>
      </c>
      <c r="F367" t="inlineStr">
        <is>
          <t>VÄSTERBOTTENS LÄN</t>
        </is>
      </c>
      <c r="G367" t="inlineStr">
        <is>
          <t>ROBERTSFORS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45568</v>
      </c>
      <c r="E368" s="1" t="n">
        <v>46230</v>
      </c>
      <c r="F368" t="inlineStr">
        <is>
          <t>VÄSTERBOTTENS LÄN</t>
        </is>
      </c>
      <c r="G368" t="inlineStr">
        <is>
          <t>ROBERTSFORS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45667</v>
      </c>
      <c r="E369" s="1" t="n">
        <v>46230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46230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44580</v>
      </c>
      <c r="E371" s="1" t="n">
        <v>46230</v>
      </c>
      <c r="F371" t="inlineStr">
        <is>
          <t>VÄSTERBOTTENS LÄN</t>
        </is>
      </c>
      <c r="G371" t="inlineStr">
        <is>
          <t>ROBERTSFORS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45526</v>
      </c>
      <c r="E372" s="1" t="n">
        <v>46230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46230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45432</v>
      </c>
      <c r="E374" s="1" t="n">
        <v>46230</v>
      </c>
      <c r="F374" t="inlineStr">
        <is>
          <t>VÄSTERBOTTENS LÄN</t>
        </is>
      </c>
      <c r="G374" t="inlineStr">
        <is>
          <t>ROBERTSFORS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46230</v>
      </c>
      <c r="F375" t="inlineStr">
        <is>
          <t>VÄSTERBOTTENS LÄN</t>
        </is>
      </c>
      <c r="G375" t="inlineStr">
        <is>
          <t>ROBERTSFORS</t>
        </is>
      </c>
      <c r="I375" t="n">
        <v>10.8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45636</v>
      </c>
      <c r="E376" s="1" t="n">
        <v>46230</v>
      </c>
      <c r="F376" t="inlineStr">
        <is>
          <t>VÄSTERBOTTENS LÄN</t>
        </is>
      </c>
      <c r="G376" t="inlineStr">
        <is>
          <t>ROBERTSFORS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45644</v>
      </c>
      <c r="E377" s="1" t="n">
        <v>46230</v>
      </c>
      <c r="F377" t="inlineStr">
        <is>
          <t>VÄSTERBOTTENS LÄN</t>
        </is>
      </c>
      <c r="G377" t="inlineStr">
        <is>
          <t>ROBERTSFORS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46230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15.9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46230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46230</v>
      </c>
      <c r="F380" t="inlineStr">
        <is>
          <t>VÄSTERBOTTENS LÄN</t>
        </is>
      </c>
      <c r="G380" t="inlineStr">
        <is>
          <t>ROBERTSFORS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44919</v>
      </c>
      <c r="E381" s="1" t="n">
        <v>46230</v>
      </c>
      <c r="F381" t="inlineStr">
        <is>
          <t>VÄSTERBOTTENS LÄN</t>
        </is>
      </c>
      <c r="G381" t="inlineStr">
        <is>
          <t>ROBERTSFORS</t>
        </is>
      </c>
      <c r="I381" t="n">
        <v>64.7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46230</v>
      </c>
      <c r="F382" t="inlineStr">
        <is>
          <t>VÄSTERBOTTENS LÄN</t>
        </is>
      </c>
      <c r="G382" t="inlineStr">
        <is>
          <t>ROBERTSFORS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24647-2026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46171</v>
      </c>
      <c r="E383" s="1" t="n">
        <v>46230</v>
      </c>
      <c r="F383" t="inlineStr">
        <is>
          <t>VÄSTERBOTTENS LÄN</t>
        </is>
      </c>
      <c r="G383" t="inlineStr">
        <is>
          <t>ROBERTSFORS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46230</v>
      </c>
      <c r="F384" t="inlineStr">
        <is>
          <t>VÄSTERBOTTENS LÄN</t>
        </is>
      </c>
      <c r="G384" t="inlineStr">
        <is>
          <t>ROBERTSFORS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45463</v>
      </c>
      <c r="E385" s="1" t="n">
        <v>46230</v>
      </c>
      <c r="F385" t="inlineStr">
        <is>
          <t>VÄSTERBOTTENS LÄN</t>
        </is>
      </c>
      <c r="G385" t="inlineStr">
        <is>
          <t>ROBERTSFORS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45029</v>
      </c>
      <c r="E386" s="1" t="n">
        <v>46230</v>
      </c>
      <c r="F386" t="inlineStr">
        <is>
          <t>VÄSTERBOTTENS LÄN</t>
        </is>
      </c>
      <c r="G386" t="inlineStr">
        <is>
          <t>ROBERTSFORS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46230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45386</v>
      </c>
      <c r="E388" s="1" t="n">
        <v>46230</v>
      </c>
      <c r="F388" t="inlineStr">
        <is>
          <t>VÄSTERBOTTENS LÄN</t>
        </is>
      </c>
      <c r="G388" t="inlineStr">
        <is>
          <t>ROBERTSFORS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46230</v>
      </c>
      <c r="F389" t="inlineStr">
        <is>
          <t>VÄSTERBOTTENS LÄN</t>
        </is>
      </c>
      <c r="G389" t="inlineStr">
        <is>
          <t>ROBERTSFORS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46230</v>
      </c>
      <c r="F390" t="inlineStr">
        <is>
          <t>VÄSTERBOTTENS LÄN</t>
        </is>
      </c>
      <c r="G390" t="inlineStr">
        <is>
          <t>ROBERTSFORS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46171</v>
      </c>
      <c r="E391" s="1" t="n">
        <v>46230</v>
      </c>
      <c r="F391" t="inlineStr">
        <is>
          <t>VÄSTERBOTTENS LÄN</t>
        </is>
      </c>
      <c r="G391" t="inlineStr">
        <is>
          <t>ROBERTSFORS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45565</v>
      </c>
      <c r="E392" s="1" t="n">
        <v>46230</v>
      </c>
      <c r="F392" t="inlineStr">
        <is>
          <t>VÄSTERBOTTENS LÄN</t>
        </is>
      </c>
      <c r="G392" t="inlineStr">
        <is>
          <t>ROBERTSFORS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45627</v>
      </c>
      <c r="E393" s="1" t="n">
        <v>46230</v>
      </c>
      <c r="F393" t="inlineStr">
        <is>
          <t>VÄSTERBOTTENS LÄN</t>
        </is>
      </c>
      <c r="G393" t="inlineStr">
        <is>
          <t>ROBERTSFORS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46230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46230</v>
      </c>
      <c r="F395" t="inlineStr">
        <is>
          <t>VÄSTERBOTTENS LÄN</t>
        </is>
      </c>
      <c r="G395" t="inlineStr">
        <is>
          <t>ROBERTSFORS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46230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19378-2023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45049</v>
      </c>
      <c r="E397" s="1" t="n">
        <v>46230</v>
      </c>
      <c r="F397" t="inlineStr">
        <is>
          <t>VÄSTERBOTTENS LÄN</t>
        </is>
      </c>
      <c r="G397" t="inlineStr">
        <is>
          <t>ROBERTSFORS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58426-2022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44901</v>
      </c>
      <c r="E398" s="1" t="n">
        <v>46230</v>
      </c>
      <c r="F398" t="inlineStr">
        <is>
          <t>VÄSTERBOTTENS LÄN</t>
        </is>
      </c>
      <c r="G398" t="inlineStr">
        <is>
          <t>ROBERTSFORS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45140</v>
      </c>
      <c r="E399" s="1" t="n">
        <v>46230</v>
      </c>
      <c r="F399" t="inlineStr">
        <is>
          <t>VÄSTERBOTTENS LÄN</t>
        </is>
      </c>
      <c r="G399" t="inlineStr">
        <is>
          <t>ROBERTSFORS</t>
        </is>
      </c>
      <c r="I399" t="n">
        <v>15.3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45600</v>
      </c>
      <c r="E400" s="1" t="n">
        <v>46230</v>
      </c>
      <c r="F400" t="inlineStr">
        <is>
          <t>VÄSTERBOTTENS LÄN</t>
        </is>
      </c>
      <c r="G400" t="inlineStr">
        <is>
          <t>ROBERTSFORS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46230</v>
      </c>
      <c r="F401" t="inlineStr">
        <is>
          <t>VÄSTERBOTTENS LÄN</t>
        </is>
      </c>
      <c r="G401" t="inlineStr">
        <is>
          <t>ROBERTSFORS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46230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46230</v>
      </c>
      <c r="F403" t="inlineStr">
        <is>
          <t>VÄSTERBOTTENS LÄN</t>
        </is>
      </c>
      <c r="G403" t="inlineStr">
        <is>
          <t>ROBERTSFORS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46230</v>
      </c>
      <c r="F404" t="inlineStr">
        <is>
          <t>VÄSTERBOTTENS LÄN</t>
        </is>
      </c>
      <c r="G404" t="inlineStr">
        <is>
          <t>ROBERTSFORS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46230</v>
      </c>
      <c r="F405" t="inlineStr">
        <is>
          <t>VÄSTERBOTTENS LÄN</t>
        </is>
      </c>
      <c r="G405" t="inlineStr">
        <is>
          <t>ROBERTSFORS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46230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SCA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45454</v>
      </c>
      <c r="E407" s="1" t="n">
        <v>46230</v>
      </c>
      <c r="F407" t="inlineStr">
        <is>
          <t>VÄSTERBOTTENS LÄN</t>
        </is>
      </c>
      <c r="G407" t="inlineStr">
        <is>
          <t>ROBERTSFORS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46230</v>
      </c>
      <c r="F408" t="inlineStr">
        <is>
          <t>VÄSTERBOTTENS LÄN</t>
        </is>
      </c>
      <c r="G408" t="inlineStr">
        <is>
          <t>ROBERTSFORS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46663-2024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46230</v>
      </c>
      <c r="F409" t="inlineStr">
        <is>
          <t>VÄSTERBOTTENS LÄN</t>
        </is>
      </c>
      <c r="G409" t="inlineStr">
        <is>
          <t>ROBERTSFORS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46230</v>
      </c>
      <c r="F410" t="inlineStr">
        <is>
          <t>VÄSTERBOTTENS LÄN</t>
        </is>
      </c>
      <c r="G410" t="inlineStr">
        <is>
          <t>ROBERTSFORS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46230</v>
      </c>
      <c r="F411" t="inlineStr">
        <is>
          <t>VÄSTERBOTTENS LÄN</t>
        </is>
      </c>
      <c r="G411" t="inlineStr">
        <is>
          <t>ROBERTSFORS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46230</v>
      </c>
      <c r="F412" t="inlineStr">
        <is>
          <t>VÄSTERBOTTENS LÄN</t>
        </is>
      </c>
      <c r="G412" t="inlineStr">
        <is>
          <t>ROBERTSFORS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44571</v>
      </c>
      <c r="E413" s="1" t="n">
        <v>46230</v>
      </c>
      <c r="F413" t="inlineStr">
        <is>
          <t>VÄSTERBOTTENS LÄN</t>
        </is>
      </c>
      <c r="G413" t="inlineStr">
        <is>
          <t>ROBERTSFORS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58790-2022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44895</v>
      </c>
      <c r="E414" s="1" t="n">
        <v>46230</v>
      </c>
      <c r="F414" t="inlineStr">
        <is>
          <t>VÄSTERBOTTENS LÄN</t>
        </is>
      </c>
      <c r="G414" t="inlineStr">
        <is>
          <t>ROBERTSFORS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46230</v>
      </c>
      <c r="F415" t="inlineStr">
        <is>
          <t>VÄSTERBOTTENS LÄN</t>
        </is>
      </c>
      <c r="G415" t="inlineStr">
        <is>
          <t>ROBERTSFORS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46230</v>
      </c>
      <c r="F416" t="inlineStr">
        <is>
          <t>VÄSTERBOTTENS LÄN</t>
        </is>
      </c>
      <c r="G416" t="inlineStr">
        <is>
          <t>ROBERTSFORS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46126</v>
      </c>
      <c r="E417" s="1" t="n">
        <v>46230</v>
      </c>
      <c r="F417" t="inlineStr">
        <is>
          <t>VÄSTERBOTTENS LÄN</t>
        </is>
      </c>
      <c r="G417" t="inlineStr">
        <is>
          <t>ROBERTSFORS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46230</v>
      </c>
      <c r="F418" t="inlineStr">
        <is>
          <t>VÄSTERBOTTENS LÄN</t>
        </is>
      </c>
      <c r="G418" t="inlineStr">
        <is>
          <t>ROBERTSFORS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45468</v>
      </c>
      <c r="E419" s="1" t="n">
        <v>46230</v>
      </c>
      <c r="F419" t="inlineStr">
        <is>
          <t>VÄSTERBOTTENS LÄN</t>
        </is>
      </c>
      <c r="G419" t="inlineStr">
        <is>
          <t>ROBERTSFORS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38120-2024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45545</v>
      </c>
      <c r="E420" s="1" t="n">
        <v>46230</v>
      </c>
      <c r="F420" t="inlineStr">
        <is>
          <t>VÄSTERBOTTENS LÄN</t>
        </is>
      </c>
      <c r="G420" t="inlineStr">
        <is>
          <t>ROBERTSFORS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45664</v>
      </c>
      <c r="E421" s="1" t="n">
        <v>46230</v>
      </c>
      <c r="F421" t="inlineStr">
        <is>
          <t>VÄSTERBOTTENS LÄN</t>
        </is>
      </c>
      <c r="G421" t="inlineStr">
        <is>
          <t>ROBERTSFORS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46230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46230</v>
      </c>
      <c r="F423" t="inlineStr">
        <is>
          <t>VÄSTERBOTTENS LÄN</t>
        </is>
      </c>
      <c r="G423" t="inlineStr">
        <is>
          <t>ROBERTSFORS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46230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46230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46230</v>
      </c>
      <c r="F426" t="inlineStr">
        <is>
          <t>VÄSTERBOTTENS LÄN</t>
        </is>
      </c>
      <c r="G426" t="inlineStr">
        <is>
          <t>ROBERTSFORS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46230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46230</v>
      </c>
      <c r="F428" t="inlineStr">
        <is>
          <t>VÄSTERBOTTENS LÄN</t>
        </is>
      </c>
      <c r="G428" t="inlineStr">
        <is>
          <t>ROBERTSFORS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30733-2024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45496</v>
      </c>
      <c r="E429" s="1" t="n">
        <v>46230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46230</v>
      </c>
      <c r="F430" t="inlineStr">
        <is>
          <t>VÄSTERBOTTENS LÄN</t>
        </is>
      </c>
      <c r="G430" t="inlineStr">
        <is>
          <t>ROBERTSFORS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10173-2022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44622</v>
      </c>
      <c r="E431" s="1" t="n">
        <v>46230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25572-2023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45082</v>
      </c>
      <c r="E432" s="1" t="n">
        <v>46230</v>
      </c>
      <c r="F432" t="inlineStr">
        <is>
          <t>VÄSTERBOTTENS LÄN</t>
        </is>
      </c>
      <c r="G432" t="inlineStr">
        <is>
          <t>ROBERTSFORS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45644</v>
      </c>
      <c r="E433" s="1" t="n">
        <v>46230</v>
      </c>
      <c r="F433" t="inlineStr">
        <is>
          <t>VÄSTERBOTTENS LÄN</t>
        </is>
      </c>
      <c r="G433" t="inlineStr">
        <is>
          <t>ROBERTSFORS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46225</v>
      </c>
      <c r="E434" s="1" t="n">
        <v>46230</v>
      </c>
      <c r="F434" t="inlineStr">
        <is>
          <t>VÄSTERBOTTENS LÄN</t>
        </is>
      </c>
      <c r="G434" t="inlineStr">
        <is>
          <t>ROBERTSFORS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46230</v>
      </c>
      <c r="F435" t="inlineStr">
        <is>
          <t>VÄSTERBOTTENS LÄN</t>
        </is>
      </c>
      <c r="G435" t="inlineStr">
        <is>
          <t>ROBERTSFORS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46230</v>
      </c>
      <c r="F436" t="inlineStr">
        <is>
          <t>VÄSTERBOTTENS LÄN</t>
        </is>
      </c>
      <c r="G436" t="inlineStr">
        <is>
          <t>ROBERTSFORS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46230</v>
      </c>
      <c r="F437" t="inlineStr">
        <is>
          <t>VÄSTERBOTTENS LÄN</t>
        </is>
      </c>
      <c r="G437" t="inlineStr">
        <is>
          <t>ROBERTSFORS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46230</v>
      </c>
      <c r="F438" t="inlineStr">
        <is>
          <t>VÄSTERBOTTENS LÄN</t>
        </is>
      </c>
      <c r="G438" t="inlineStr">
        <is>
          <t>ROBERTSFORS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46230</v>
      </c>
      <c r="F439" t="inlineStr">
        <is>
          <t>VÄSTERBOTTENS LÄN</t>
        </is>
      </c>
      <c r="G439" t="inlineStr">
        <is>
          <t>ROBERTSFORS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26538-2026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46183</v>
      </c>
      <c r="E440" s="1" t="n">
        <v>46230</v>
      </c>
      <c r="F440" t="inlineStr">
        <is>
          <t>VÄSTERBOTTENS LÄN</t>
        </is>
      </c>
      <c r="G440" t="inlineStr">
        <is>
          <t>ROBERTSFORS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46225</v>
      </c>
      <c r="E441" s="1" t="n">
        <v>46230</v>
      </c>
      <c r="F441" t="inlineStr">
        <is>
          <t>VÄSTERBOTTENS LÄN</t>
        </is>
      </c>
      <c r="G441" t="inlineStr">
        <is>
          <t>ROBERTSFORS</t>
        </is>
      </c>
      <c r="I441" t="n">
        <v>10.4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46230</v>
      </c>
      <c r="F442" t="inlineStr">
        <is>
          <t>VÄSTERBOTTENS LÄN</t>
        </is>
      </c>
      <c r="G442" t="inlineStr">
        <is>
          <t>ROBERTSFORS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46230</v>
      </c>
      <c r="F443" t="inlineStr">
        <is>
          <t>VÄSTERBOTTENS LÄN</t>
        </is>
      </c>
      <c r="G443" t="inlineStr">
        <is>
          <t>ROBERTSFORS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46185</v>
      </c>
      <c r="E444" s="1" t="n">
        <v>46230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45184</v>
      </c>
      <c r="E445" s="1" t="n">
        <v>46230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44952</v>
      </c>
      <c r="E446" s="1" t="n">
        <v>46230</v>
      </c>
      <c r="F446" t="inlineStr">
        <is>
          <t>VÄSTERBOTTENS LÄN</t>
        </is>
      </c>
      <c r="G446" t="inlineStr">
        <is>
          <t>ROBERTSFORS</t>
        </is>
      </c>
      <c r="I446" t="n">
        <v>16.1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45607</v>
      </c>
      <c r="E447" s="1" t="n">
        <v>46230</v>
      </c>
      <c r="F447" t="inlineStr">
        <is>
          <t>VÄSTERBOTTENS LÄN</t>
        </is>
      </c>
      <c r="G447" t="inlineStr">
        <is>
          <t>ROBERTSFORS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45659</v>
      </c>
      <c r="E448" s="1" t="n">
        <v>46230</v>
      </c>
      <c r="F448" t="inlineStr">
        <is>
          <t>VÄSTERBOTTENS LÄN</t>
        </is>
      </c>
      <c r="G448" t="inlineStr">
        <is>
          <t>ROBERTSFORS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44980</v>
      </c>
      <c r="E449" s="1" t="n">
        <v>46230</v>
      </c>
      <c r="F449" t="inlineStr">
        <is>
          <t>VÄSTERBOTTENS LÄN</t>
        </is>
      </c>
      <c r="G449" t="inlineStr">
        <is>
          <t>ROBERTSFORS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46230</v>
      </c>
      <c r="F450" t="inlineStr">
        <is>
          <t>VÄSTERBOTTENS LÄN</t>
        </is>
      </c>
      <c r="G450" t="inlineStr">
        <is>
          <t>ROBERTSFORS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46230</v>
      </c>
      <c r="F451" t="inlineStr">
        <is>
          <t>VÄSTERBOTTENS LÄN</t>
        </is>
      </c>
      <c r="G451" t="inlineStr">
        <is>
          <t>ROBERTSFORS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45135</v>
      </c>
      <c r="E452" s="1" t="n">
        <v>46230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46230</v>
      </c>
      <c r="F453" t="inlineStr">
        <is>
          <t>VÄSTERBOTTENS LÄN</t>
        </is>
      </c>
      <c r="G453" t="inlineStr">
        <is>
          <t>ROBERTSFORS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45040</v>
      </c>
      <c r="E454" s="1" t="n">
        <v>46230</v>
      </c>
      <c r="F454" t="inlineStr">
        <is>
          <t>VÄSTERBOTTENS LÄN</t>
        </is>
      </c>
      <c r="G454" t="inlineStr">
        <is>
          <t>ROBERTSFORS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44683</v>
      </c>
      <c r="E455" s="1" t="n">
        <v>46230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45530</v>
      </c>
      <c r="E456" s="1" t="n">
        <v>46230</v>
      </c>
      <c r="F456" t="inlineStr">
        <is>
          <t>VÄSTERBOTTENS LÄN</t>
        </is>
      </c>
      <c r="G456" t="inlineStr">
        <is>
          <t>ROBERTSFORS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5689-2023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44960</v>
      </c>
      <c r="E457" s="1" t="n">
        <v>46230</v>
      </c>
      <c r="F457" t="inlineStr">
        <is>
          <t>VÄSTERBOTTENS LÄN</t>
        </is>
      </c>
      <c r="G457" t="inlineStr">
        <is>
          <t>ROBERTSFORS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44588</v>
      </c>
      <c r="E458" s="1" t="n">
        <v>46230</v>
      </c>
      <c r="F458" t="inlineStr">
        <is>
          <t>VÄSTERBOTTENS LÄN</t>
        </is>
      </c>
      <c r="G458" t="inlineStr">
        <is>
          <t>ROBERTSFORS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45659</v>
      </c>
      <c r="E459" s="1" t="n">
        <v>46230</v>
      </c>
      <c r="F459" t="inlineStr">
        <is>
          <t>VÄSTERBOTTENS LÄN</t>
        </is>
      </c>
      <c r="G459" t="inlineStr">
        <is>
          <t>ROBERTSFORS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45525</v>
      </c>
      <c r="E460" s="1" t="n">
        <v>46230</v>
      </c>
      <c r="F460" t="inlineStr">
        <is>
          <t>VÄSTERBOTTENS LÄN</t>
        </is>
      </c>
      <c r="G460" t="inlineStr">
        <is>
          <t>ROBERTSFORS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46230</v>
      </c>
      <c r="F461" t="inlineStr">
        <is>
          <t>VÄSTERBOTTENS LÄN</t>
        </is>
      </c>
      <c r="G461" t="inlineStr">
        <is>
          <t>ROBERTSFORS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45671</v>
      </c>
      <c r="E462" s="1" t="n">
        <v>46230</v>
      </c>
      <c r="F462" t="inlineStr">
        <is>
          <t>VÄSTERBOTTENS LÄN</t>
        </is>
      </c>
      <c r="G462" t="inlineStr">
        <is>
          <t>ROBERTSFORS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73557-2021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44551</v>
      </c>
      <c r="E463" s="1" t="n">
        <v>46230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46230</v>
      </c>
      <c r="F464" t="inlineStr">
        <is>
          <t>VÄSTERBOTTENS LÄN</t>
        </is>
      </c>
      <c r="G464" t="inlineStr">
        <is>
          <t>ROBERTSFORS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38092-2022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46230</v>
      </c>
      <c r="F465" t="inlineStr">
        <is>
          <t>VÄSTERBOTTENS LÄN</t>
        </is>
      </c>
      <c r="G465" t="inlineStr">
        <is>
          <t>ROBERTSFORS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20519-2022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44699</v>
      </c>
      <c r="E466" s="1" t="n">
        <v>46230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59833-2022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46230</v>
      </c>
      <c r="F467" t="inlineStr">
        <is>
          <t>VÄSTERBOTTENS LÄN</t>
        </is>
      </c>
      <c r="G467" t="inlineStr">
        <is>
          <t>ROBERTSFORS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45005</v>
      </c>
      <c r="E468" s="1" t="n">
        <v>46230</v>
      </c>
      <c r="F468" t="inlineStr">
        <is>
          <t>VÄSTERBOTTENS LÄN</t>
        </is>
      </c>
      <c r="G468" t="inlineStr">
        <is>
          <t>ROBERTSFORS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46230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45670</v>
      </c>
      <c r="E470" s="1" t="n">
        <v>46230</v>
      </c>
      <c r="F470" t="inlineStr">
        <is>
          <t>VÄSTERBOTTENS LÄN</t>
        </is>
      </c>
      <c r="G470" t="inlineStr">
        <is>
          <t>ROBERTSFORS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45687</v>
      </c>
      <c r="E471" s="1" t="n">
        <v>46230</v>
      </c>
      <c r="F471" t="inlineStr">
        <is>
          <t>VÄSTERBOTTENS LÄN</t>
        </is>
      </c>
      <c r="G471" t="inlineStr">
        <is>
          <t>ROBERTSFORS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45701</v>
      </c>
      <c r="E472" s="1" t="n">
        <v>46230</v>
      </c>
      <c r="F472" t="inlineStr">
        <is>
          <t>VÄSTERBOTTENS LÄN</t>
        </is>
      </c>
      <c r="G472" t="inlineStr">
        <is>
          <t>ROBERTSFORS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45161</v>
      </c>
      <c r="E473" s="1" t="n">
        <v>46230</v>
      </c>
      <c r="F473" t="inlineStr">
        <is>
          <t>VÄSTERBOTTENS LÄN</t>
        </is>
      </c>
      <c r="G473" t="inlineStr">
        <is>
          <t>ROBERTSFORS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45246</v>
      </c>
      <c r="E474" s="1" t="n">
        <v>46230</v>
      </c>
      <c r="F474" t="inlineStr">
        <is>
          <t>VÄSTERBOTTENS LÄN</t>
        </is>
      </c>
      <c r="G474" t="inlineStr">
        <is>
          <t>ROBERTSFORS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46230</v>
      </c>
      <c r="F475" t="inlineStr">
        <is>
          <t>VÄSTERBOTTENS LÄN</t>
        </is>
      </c>
      <c r="G475" t="inlineStr">
        <is>
          <t>ROBERTSFORS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45160</v>
      </c>
      <c r="E476" s="1" t="n">
        <v>46230</v>
      </c>
      <c r="F476" t="inlineStr">
        <is>
          <t>VÄSTERBOTTENS LÄN</t>
        </is>
      </c>
      <c r="G476" t="inlineStr">
        <is>
          <t>ROBERTSFORS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46230</v>
      </c>
      <c r="F477" t="inlineStr">
        <is>
          <t>VÄSTERBOTTENS LÄN</t>
        </is>
      </c>
      <c r="G477" t="inlineStr">
        <is>
          <t>ROBERTSFORS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57008-2024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45628</v>
      </c>
      <c r="E478" s="1" t="n">
        <v>46230</v>
      </c>
      <c r="F478" t="inlineStr">
        <is>
          <t>VÄSTERBOTTENS LÄN</t>
        </is>
      </c>
      <c r="G478" t="inlineStr">
        <is>
          <t>ROBERTSFORS</t>
        </is>
      </c>
      <c r="I478" t="n">
        <v>12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45495</v>
      </c>
      <c r="E479" s="1" t="n">
        <v>46230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46230</v>
      </c>
      <c r="F480" t="inlineStr">
        <is>
          <t>VÄSTERBOTTENS LÄN</t>
        </is>
      </c>
      <c r="G480" t="inlineStr">
        <is>
          <t>ROBERTSFORS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44372-2023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45188</v>
      </c>
      <c r="E481" s="1" t="n">
        <v>46230</v>
      </c>
      <c r="F481" t="inlineStr">
        <is>
          <t>VÄSTERBOTTENS LÄN</t>
        </is>
      </c>
      <c r="G481" t="inlineStr">
        <is>
          <t>ROBERTSFORS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46230</v>
      </c>
      <c r="F482" t="inlineStr">
        <is>
          <t>VÄSTERBOTTENS LÄN</t>
        </is>
      </c>
      <c r="G482" t="inlineStr">
        <is>
          <t>ROBERTSFORS</t>
        </is>
      </c>
      <c r="I482" t="n">
        <v>11.3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45792</v>
      </c>
      <c r="E483" s="1" t="n">
        <v>46230</v>
      </c>
      <c r="F483" t="inlineStr">
        <is>
          <t>VÄSTERBOTTENS LÄN</t>
        </is>
      </c>
      <c r="G483" t="inlineStr">
        <is>
          <t>ROBERTSFORS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45792</v>
      </c>
      <c r="E484" s="1" t="n">
        <v>46230</v>
      </c>
      <c r="F484" t="inlineStr">
        <is>
          <t>VÄSTERBOTTENS LÄN</t>
        </is>
      </c>
      <c r="G484" t="inlineStr">
        <is>
          <t>ROBERTSFORS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45794</v>
      </c>
      <c r="E485" s="1" t="n">
        <v>46230</v>
      </c>
      <c r="F485" t="inlineStr">
        <is>
          <t>VÄSTERBOTTENS LÄN</t>
        </is>
      </c>
      <c r="G485" t="inlineStr">
        <is>
          <t>ROBERTSFORS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45761</v>
      </c>
      <c r="E486" s="1" t="n">
        <v>46230</v>
      </c>
      <c r="F486" t="inlineStr">
        <is>
          <t>VÄSTERBOTTENS LÄN</t>
        </is>
      </c>
      <c r="G486" t="inlineStr">
        <is>
          <t>ROBERTSFORS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46230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45800</v>
      </c>
      <c r="E488" s="1" t="n">
        <v>46230</v>
      </c>
      <c r="F488" t="inlineStr">
        <is>
          <t>VÄSTERBOTTENS LÄN</t>
        </is>
      </c>
      <c r="G488" t="inlineStr">
        <is>
          <t>ROBERTSFORS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45803</v>
      </c>
      <c r="E489" s="1" t="n">
        <v>46230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45800</v>
      </c>
      <c r="E490" s="1" t="n">
        <v>46230</v>
      </c>
      <c r="F490" t="inlineStr">
        <is>
          <t>VÄSTERBOTTENS LÄN</t>
        </is>
      </c>
      <c r="G490" t="inlineStr">
        <is>
          <t>ROBERTSFORS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25577-2025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45803</v>
      </c>
      <c r="E491" s="1" t="n">
        <v>46230</v>
      </c>
      <c r="F491" t="inlineStr">
        <is>
          <t>VÄSTERBOTTENS LÄN</t>
        </is>
      </c>
      <c r="G491" t="inlineStr">
        <is>
          <t>ROBERTSFORS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45687</v>
      </c>
      <c r="E492" s="1" t="n">
        <v>46230</v>
      </c>
      <c r="F492" t="inlineStr">
        <is>
          <t>VÄSTERBOTTENS LÄN</t>
        </is>
      </c>
      <c r="G492" t="inlineStr">
        <is>
          <t>ROBERTSFORS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26984-2025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46230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59028-2024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45636</v>
      </c>
      <c r="E494" s="1" t="n">
        <v>46230</v>
      </c>
      <c r="F494" t="inlineStr">
        <is>
          <t>VÄSTERBOTTENS LÄN</t>
        </is>
      </c>
      <c r="G494" t="inlineStr">
        <is>
          <t>ROBERTSFORS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45813</v>
      </c>
      <c r="E495" s="1" t="n">
        <v>46230</v>
      </c>
      <c r="F495" t="inlineStr">
        <is>
          <t>VÄSTERBOTTENS LÄN</t>
        </is>
      </c>
      <c r="G495" t="inlineStr">
        <is>
          <t>ROBERTSFORS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28330-2025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45818</v>
      </c>
      <c r="E496" s="1" t="n">
        <v>46230</v>
      </c>
      <c r="F496" t="inlineStr">
        <is>
          <t>VÄSTERBOTTENS LÄN</t>
        </is>
      </c>
      <c r="G496" t="inlineStr">
        <is>
          <t>ROBERTSFORS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46230</v>
      </c>
      <c r="F497" t="inlineStr">
        <is>
          <t>VÄSTERBOTTENS LÄN</t>
        </is>
      </c>
      <c r="G497" t="inlineStr">
        <is>
          <t>ROBERTSFORS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46230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46230</v>
      </c>
      <c r="F499" t="inlineStr">
        <is>
          <t>VÄSTERBOTTENS LÄN</t>
        </is>
      </c>
      <c r="G499" t="inlineStr">
        <is>
          <t>ROBERTSFORS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46230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46230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46230</v>
      </c>
      <c r="F502" t="inlineStr">
        <is>
          <t>VÄSTERBOTTENS LÄN</t>
        </is>
      </c>
      <c r="G502" t="inlineStr">
        <is>
          <t>ROBERTSFORS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46230</v>
      </c>
      <c r="F503" t="inlineStr">
        <is>
          <t>VÄSTERBOTTENS LÄN</t>
        </is>
      </c>
      <c r="G503" t="inlineStr">
        <is>
          <t>ROBERTSFORS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46230</v>
      </c>
      <c r="F504" t="inlineStr">
        <is>
          <t>VÄSTERBOTTENS LÄN</t>
        </is>
      </c>
      <c r="G504" t="inlineStr">
        <is>
          <t>ROBERTSFORS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45839</v>
      </c>
      <c r="E505" s="1" t="n">
        <v>46230</v>
      </c>
      <c r="F505" t="inlineStr">
        <is>
          <t>VÄSTERBOTTENS LÄN</t>
        </is>
      </c>
      <c r="G505" t="inlineStr">
        <is>
          <t>ROBERTSFORS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45838</v>
      </c>
      <c r="E506" s="1" t="n">
        <v>46230</v>
      </c>
      <c r="F506" t="inlineStr">
        <is>
          <t>VÄSTERBOTTENS LÄN</t>
        </is>
      </c>
      <c r="G506" t="inlineStr">
        <is>
          <t>ROBERTSFORS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33368-2025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45841</v>
      </c>
      <c r="E507" s="1" t="n">
        <v>46230</v>
      </c>
      <c r="F507" t="inlineStr">
        <is>
          <t>VÄSTERBOTTENS LÄN</t>
        </is>
      </c>
      <c r="G507" t="inlineStr">
        <is>
          <t>ROBERTSFORS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33375-2025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45841</v>
      </c>
      <c r="E508" s="1" t="n">
        <v>46230</v>
      </c>
      <c r="F508" t="inlineStr">
        <is>
          <t>VÄSTERBOTTENS LÄN</t>
        </is>
      </c>
      <c r="G508" t="inlineStr">
        <is>
          <t>ROBERTSFORS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45856</v>
      </c>
      <c r="E509" s="1" t="n">
        <v>46230</v>
      </c>
      <c r="F509" t="inlineStr">
        <is>
          <t>VÄSTERBOTTENS LÄN</t>
        </is>
      </c>
      <c r="G509" t="inlineStr">
        <is>
          <t>ROBERTSFORS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45856</v>
      </c>
      <c r="E510" s="1" t="n">
        <v>46230</v>
      </c>
      <c r="F510" t="inlineStr">
        <is>
          <t>VÄSTERBOTTENS LÄN</t>
        </is>
      </c>
      <c r="G510" t="inlineStr">
        <is>
          <t>ROBERTSFORS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35562-2025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45856</v>
      </c>
      <c r="E511" s="1" t="n">
        <v>46230</v>
      </c>
      <c r="F511" t="inlineStr">
        <is>
          <t>VÄSTERBOTTENS LÄN</t>
        </is>
      </c>
      <c r="G511" t="inlineStr">
        <is>
          <t>ROBERTSFORS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22782-2025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45789</v>
      </c>
      <c r="E512" s="1" t="n">
        <v>46230</v>
      </c>
      <c r="F512" t="inlineStr">
        <is>
          <t>VÄSTERBOTTENS LÄN</t>
        </is>
      </c>
      <c r="G512" t="inlineStr">
        <is>
          <t>ROBERTSFORS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46230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46230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46230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46230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46230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46230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46230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46230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2026-07-27T01:47:07Z</dcterms:created>
  <dcterms:modified xmlns:dcterms="http://purl.org/dc/terms/" xmlns:xsi="http://www.w3.org/2001/XMLSchema-instance" xsi:type="dcterms:W3CDTF">2026-07-27T01:47:07Z</dcterms:modified>
</cp:coreProperties>
</file>