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46316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46316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46316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46316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46316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46316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46316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46316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46316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46316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46316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46316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46316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46316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2777-2026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46038</v>
      </c>
      <c r="E26" s="1" t="n">
        <v>46316</v>
      </c>
      <c r="F26" t="inlineStr">
        <is>
          <t>VÄSTERBOTTENS LÄN</t>
        </is>
      </c>
      <c r="G26" t="inlineStr">
        <is>
          <t>ROBERTSFORS</t>
        </is>
      </c>
      <c r="I26" t="n">
        <v>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Harticka
Vedticka</t>
        </is>
      </c>
      <c r="W26">
        <f>HYPERLINK("https://klasma.github.io/Logging_2409/artfynd/A 2777-2026 artfynd.xlsx", "A 2777-2026")</f>
        <v/>
      </c>
      <c r="X26">
        <f>HYPERLINK("https://klasma.github.io/Logging_2409/kartor/A 2777-2026 karta.png", "A 2777-2026")</f>
        <v/>
      </c>
      <c r="Y26">
        <f>HYPERLINK("https://klasma.github.io/Logging_2409/kartor_geotiff/A 2777-2026 georefererad karta.tif", "A 2777-2026")</f>
        <v/>
      </c>
      <c r="AA26">
        <f>HYPERLINK("https://klasma.github.io/Logging_2409/klagomål/A 2777-2026 FSC-klagomål.docx", "A 2777-2026")</f>
        <v/>
      </c>
      <c r="AB26">
        <f>HYPERLINK("https://klasma.github.io/Logging_2409/klagomålsmail/A 2777-2026 FSC-klagomål mail.docx", "A 2777-2026")</f>
        <v/>
      </c>
      <c r="AC26">
        <f>HYPERLINK("https://klasma.github.io/Logging_2409/tillsyn/A 2777-2026 tillsynsbegäran.docx", "A 2777-2026")</f>
        <v/>
      </c>
      <c r="AD26">
        <f>HYPERLINK("https://klasma.github.io/Logging_2409/tillsynsmail/A 2777-2026 tillsynsbegäran mail.docx", "A 2777-2026")</f>
        <v/>
      </c>
    </row>
    <row r="27" ht="15" customHeight="1">
      <c r="A27" t="inlineStr">
        <is>
          <t>A 5283-2026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46316</v>
      </c>
      <c r="F27" t="inlineStr">
        <is>
          <t>VÄSTERBOTTENS LÄN</t>
        </is>
      </c>
      <c r="G27" t="inlineStr">
        <is>
          <t>ROBERTSFORS</t>
        </is>
      </c>
      <c r="I27" t="n">
        <v>1.2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Talltita
Utter</t>
        </is>
      </c>
      <c r="W27">
        <f>HYPERLINK("https://klasma.github.io/Logging_2409/artfynd/A 5283-2026 artfynd.xlsx", "A 5283-2026")</f>
        <v/>
      </c>
      <c r="X27">
        <f>HYPERLINK("https://klasma.github.io/Logging_2409/kartor/A 5283-2026 karta.png", "A 5283-2026")</f>
        <v/>
      </c>
      <c r="Y27">
        <f>HYPERLINK("https://klasma.github.io/Logging_2409/kartor_geotiff/A 5283-2026 georefererad karta.tif", "A 5283-2026")</f>
        <v/>
      </c>
      <c r="AA27">
        <f>HYPERLINK("https://klasma.github.io/Logging_2409/klagomål/A 5283-2026 FSC-klagomål.docx", "A 5283-2026")</f>
        <v/>
      </c>
      <c r="AB27">
        <f>HYPERLINK("https://klasma.github.io/Logging_2409/klagomålsmail/A 5283-2026 FSC-klagomål mail.docx", "A 5283-2026")</f>
        <v/>
      </c>
      <c r="AC27">
        <f>HYPERLINK("https://klasma.github.io/Logging_2409/tillsyn/A 5283-2026 tillsynsbegäran.docx", "A 5283-2026")</f>
        <v/>
      </c>
      <c r="AD27">
        <f>HYPERLINK("https://klasma.github.io/Logging_2409/tillsynsmail/A 5283-2026 tillsynsbegäran mail.docx", "A 5283-2026")</f>
        <v/>
      </c>
      <c r="AE27">
        <f>HYPERLINK("https://klasma.github.io/Logging_2409/fåglar/A 5283-2026 prioriterade fågelarter.docx", "A 5283-2026")</f>
        <v/>
      </c>
    </row>
    <row r="28" ht="15" customHeight="1">
      <c r="A28" t="inlineStr">
        <is>
          <t>A 5287-2026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46316</v>
      </c>
      <c r="F28" t="inlineStr">
        <is>
          <t>VÄSTERBOTTENS LÄN</t>
        </is>
      </c>
      <c r="G28" t="inlineStr">
        <is>
          <t>ROBERTSFORS</t>
        </is>
      </c>
      <c r="I28" t="n">
        <v>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Spillkråka</t>
        </is>
      </c>
      <c r="W28">
        <f>HYPERLINK("https://klasma.github.io/Logging_2409/artfynd/A 5287-2026 artfynd.xlsx", "A 5287-2026")</f>
        <v/>
      </c>
      <c r="X28">
        <f>HYPERLINK("https://klasma.github.io/Logging_2409/kartor/A 5287-2026 karta.png", "A 5287-2026")</f>
        <v/>
      </c>
      <c r="Y28">
        <f>HYPERLINK("https://klasma.github.io/Logging_2409/kartor_geotiff/A 5287-2026 georefererad karta.tif", "A 5287-2026")</f>
        <v/>
      </c>
      <c r="AA28">
        <f>HYPERLINK("https://klasma.github.io/Logging_2409/klagomål/A 5287-2026 FSC-klagomål.docx", "A 5287-2026")</f>
        <v/>
      </c>
      <c r="AB28">
        <f>HYPERLINK("https://klasma.github.io/Logging_2409/klagomålsmail/A 5287-2026 FSC-klagomål mail.docx", "A 5287-2026")</f>
        <v/>
      </c>
      <c r="AC28">
        <f>HYPERLINK("https://klasma.github.io/Logging_2409/tillsyn/A 5287-2026 tillsynsbegäran.docx", "A 5287-2026")</f>
        <v/>
      </c>
      <c r="AD28">
        <f>HYPERLINK("https://klasma.github.io/Logging_2409/tillsynsmail/A 5287-2026 tillsynsbegäran mail.docx", "A 5287-2026")</f>
        <v/>
      </c>
      <c r="AE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46316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5290-2026 artfynd.xlsx", "A 5290-2026")</f>
        <v/>
      </c>
      <c r="X29">
        <f>HYPERLINK("https://klasma.github.io/Logging_2409/kartor/A 5290-2026 karta.png", "A 5290-2026")</f>
        <v/>
      </c>
      <c r="Y29">
        <f>HYPERLINK("https://klasma.github.io/Logging_2409/kartor_geotiff/A 5290-2026 georefererad karta.tif", "A 5290-2026")</f>
        <v/>
      </c>
      <c r="AA29">
        <f>HYPERLINK("https://klasma.github.io/Logging_2409/klagomål/A 5290-2026 FSC-klagomål.docx", "A 5290-2026")</f>
        <v/>
      </c>
      <c r="AB29">
        <f>HYPERLINK("https://klasma.github.io/Logging_2409/klagomålsmail/A 5290-2026 FSC-klagomål mail.docx", "A 5290-2026")</f>
        <v/>
      </c>
      <c r="AC29">
        <f>HYPERLINK("https://klasma.github.io/Logging_2409/tillsyn/A 5290-2026 tillsynsbegäran.docx", "A 5290-2026")</f>
        <v/>
      </c>
      <c r="AD29">
        <f>HYPERLINK("https://klasma.github.io/Logging_2409/tillsynsmail/A 5290-2026 tillsynsbegäran mail.docx", "A 5290-2026")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46316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46316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46316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46316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46316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46316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46316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46316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46316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46316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46316</v>
      </c>
      <c r="F43" t="inlineStr">
        <is>
          <t>VÄSTERBOTTENS LÄN</t>
        </is>
      </c>
      <c r="G43" t="inlineStr">
        <is>
          <t>ROBERTSFORS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Björktrast</t>
        </is>
      </c>
      <c r="W43">
        <f>HYPERLINK("https://klasma.github.io/Logging_2409/artfynd/A 5289-2026 artfynd.xlsx", "A 5289-2026")</f>
        <v/>
      </c>
      <c r="X43">
        <f>HYPERLINK("https://klasma.github.io/Logging_2409/kartor/A 5289-2026 karta.png", "A 5289-2026")</f>
        <v/>
      </c>
      <c r="Y43">
        <f>HYPERLINK("https://klasma.github.io/Logging_2409/kartor_geotiff/A 5289-2026 georefererad karta.tif", "A 5289-2026")</f>
        <v/>
      </c>
      <c r="AA43">
        <f>HYPERLINK("https://klasma.github.io/Logging_2409/klagomål/A 5289-2026 FSC-klagomål.docx", "A 5289-2026")</f>
        <v/>
      </c>
      <c r="AB43">
        <f>HYPERLINK("https://klasma.github.io/Logging_2409/klagomålsmail/A 5289-2026 FSC-klagomål mail.docx", "A 5289-2026")</f>
        <v/>
      </c>
      <c r="AC43">
        <f>HYPERLINK("https://klasma.github.io/Logging_2409/tillsyn/A 5289-2026 tillsynsbegäran.docx", "A 5289-2026")</f>
        <v/>
      </c>
      <c r="AD43">
        <f>HYPERLINK("https://klasma.github.io/Logging_2409/tillsynsmail/A 5289-2026 tillsynsbegäran mail.docx", "A 5289-2026")</f>
        <v/>
      </c>
      <c r="AE43">
        <f>HYPERLINK("https://klasma.github.io/Logging_2409/fåglar/A 5289-2026 prioriterade fågelarter.docx", "A 5289-2026")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46316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30344-2025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45827</v>
      </c>
      <c r="E45" s="1" t="n">
        <v>46316</v>
      </c>
      <c r="F45" t="inlineStr">
        <is>
          <t>VÄSTERBOTTENS LÄN</t>
        </is>
      </c>
      <c r="G45" t="inlineStr">
        <is>
          <t>ROBERTSFORS</t>
        </is>
      </c>
      <c r="I45" t="n">
        <v>22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HYPERLINK("https://klasma.github.io/Logging_2409/artfynd/A 30344-2025 artfynd.xlsx", "A 30344-2025")</f>
        <v/>
      </c>
      <c r="X45">
        <f>HYPERLINK("https://klasma.github.io/Logging_2409/kartor/A 30344-2025 karta.png", "A 30344-2025")</f>
        <v/>
      </c>
      <c r="Y45">
        <f>HYPERLINK("https://klasma.github.io/Logging_2409/kartor_geotiff/A 30344-2025 georefererad karta.tif", "A 30344-2025")</f>
        <v/>
      </c>
      <c r="AA45">
        <f>HYPERLINK("https://klasma.github.io/Logging_2409/klagomål/A 30344-2025 FSC-klagomål.docx", "A 30344-2025")</f>
        <v/>
      </c>
      <c r="AB45">
        <f>HYPERLINK("https://klasma.github.io/Logging_2409/klagomålsmail/A 30344-2025 FSC-klagomål mail.docx", "A 30344-2025")</f>
        <v/>
      </c>
      <c r="AC45">
        <f>HYPERLINK("https://klasma.github.io/Logging_2409/tillsyn/A 30344-2025 tillsynsbegäran.docx", "A 30344-2025")</f>
        <v/>
      </c>
      <c r="AD45">
        <f>HYPERLINK("https://klasma.github.io/Logging_2409/tillsynsmail/A 30344-2025 tillsynsbegäran mail.docx", "A 30344-2025")</f>
        <v/>
      </c>
      <c r="AE45">
        <f>HYPERLINK("https://klasma.github.io/Logging_2409/fåglar/A 30344-2025 prioriterade fågelarter.docx", "A 30344-2025")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46316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32263-2025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46316</v>
      </c>
      <c r="F47" t="inlineStr">
        <is>
          <t>VÄSTERBOTTENS LÄN</t>
        </is>
      </c>
      <c r="G47" t="inlineStr">
        <is>
          <t>ROBERTSFORS</t>
        </is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HYPERLINK("https://klasma.github.io/Logging_2409/artfynd/A 32263-2025 artfynd.xlsx", "A 32263-2025")</f>
        <v/>
      </c>
      <c r="X47">
        <f>HYPERLINK("https://klasma.github.io/Logging_2409/kartor/A 32263-2025 karta.png", "A 32263-2025")</f>
        <v/>
      </c>
      <c r="Y47">
        <f>HYPERLINK("https://klasma.github.io/Logging_2409/kartor_geotiff/A 32263-2025 georefererad karta.tif", "A 32263-2025")</f>
        <v/>
      </c>
      <c r="AA47">
        <f>HYPERLINK("https://klasma.github.io/Logging_2409/klagomål/A 32263-2025 FSC-klagomål.docx", "A 32263-2025")</f>
        <v/>
      </c>
      <c r="AB47">
        <f>HYPERLINK("https://klasma.github.io/Logging_2409/klagomålsmail/A 32263-2025 FSC-klagomål mail.docx", "A 32263-2025")</f>
        <v/>
      </c>
      <c r="AC47">
        <f>HYPERLINK("https://klasma.github.io/Logging_2409/tillsyn/A 32263-2025 tillsynsbegäran.docx", "A 32263-2025")</f>
        <v/>
      </c>
      <c r="AD47">
        <f>HYPERLINK("https://klasma.github.io/Logging_2409/tillsynsmail/A 32263-2025 tillsynsbegäran mail.docx", "A 32263-2025")</f>
        <v/>
      </c>
    </row>
    <row r="48" ht="15" customHeight="1">
      <c r="A48" t="inlineStr">
        <is>
          <t>A 54484-2023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46316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1</v>
      </c>
      <c r="V48" s="2" t="inlineStr">
        <is>
          <t>Dropptaggsvamp</t>
        </is>
      </c>
      <c r="W48">
        <f>HYPERLINK("https://klasma.github.io/Logging_2409/artfynd/A 54484-2023 artfynd.xlsx", "A 54484-2023")</f>
        <v/>
      </c>
      <c r="X48">
        <f>HYPERLINK("https://klasma.github.io/Logging_2409/kartor/A 54484-2023 karta.png", "A 54484-2023")</f>
        <v/>
      </c>
      <c r="Y48">
        <f>HYPERLINK("https://klasma.github.io/Logging_2409/kartor_geotiff/A 54484-2023 georefererad karta.tif", "A 54484-2023")</f>
        <v/>
      </c>
      <c r="AA48">
        <f>HYPERLINK("https://klasma.github.io/Logging_2409/klagomål/A 54484-2023 FSC-klagomål.docx", "A 54484-2023")</f>
        <v/>
      </c>
      <c r="AB48">
        <f>HYPERLINK("https://klasma.github.io/Logging_2409/klagomålsmail/A 54484-2023 FSC-klagomål mail.docx", "A 54484-2023")</f>
        <v/>
      </c>
      <c r="AC48">
        <f>HYPERLINK("https://klasma.github.io/Logging_2409/tillsyn/A 54484-2023 tillsynsbegäran.docx", "A 54484-2023")</f>
        <v/>
      </c>
      <c r="AD48">
        <f>HYPERLINK("https://klasma.github.io/Logging_2409/tillsynsmail/A 54484-2023 tillsynsbegäran mail.docx", "A 54484-2023")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46316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Harticka</t>
        </is>
      </c>
      <c r="W49">
        <f>HYPERLINK("https://klasma.github.io/Logging_2409/artfynd/A 34007-2025 artfynd.xlsx", "A 34007-2025")</f>
        <v/>
      </c>
      <c r="X49">
        <f>HYPERLINK("https://klasma.github.io/Logging_2409/kartor/A 34007-2025 karta.png", "A 34007-2025")</f>
        <v/>
      </c>
      <c r="Y49">
        <f>HYPERLINK("https://klasma.github.io/Logging_2409/kartor_geotiff/A 34007-2025 georefererad karta.tif", "A 34007-2025")</f>
        <v/>
      </c>
      <c r="AA49">
        <f>HYPERLINK("https://klasma.github.io/Logging_2409/klagomål/A 34007-2025 FSC-klagomål.docx", "A 34007-2025")</f>
        <v/>
      </c>
      <c r="AB49">
        <f>HYPERLINK("https://klasma.github.io/Logging_2409/klagomålsmail/A 34007-2025 FSC-klagomål mail.docx", "A 34007-2025")</f>
        <v/>
      </c>
      <c r="AC49">
        <f>HYPERLINK("https://klasma.github.io/Logging_2409/tillsyn/A 34007-2025 tillsynsbegäran.docx", "A 34007-2025")</f>
        <v/>
      </c>
      <c r="AD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46316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57284-2023 artfynd.xlsx", "A 57284-2023")</f>
        <v/>
      </c>
      <c r="X50">
        <f>HYPERLINK("https://klasma.github.io/Logging_2409/kartor/A 57284-2023 karta.png", "A 57284-2023")</f>
        <v/>
      </c>
      <c r="Y50">
        <f>HYPERLINK("https://klasma.github.io/Logging_2409/kartor_geotiff/A 57284-2023 georefererad karta.tif", "A 57284-2023")</f>
        <v/>
      </c>
      <c r="AA50">
        <f>HYPERLINK("https://klasma.github.io/Logging_2409/klagomål/A 57284-2023 FSC-klagomål.docx", "A 57284-2023")</f>
        <v/>
      </c>
      <c r="AB50">
        <f>HYPERLINK("https://klasma.github.io/Logging_2409/klagomålsmail/A 57284-2023 FSC-klagomål mail.docx", "A 57284-2023")</f>
        <v/>
      </c>
      <c r="AC50">
        <f>HYPERLINK("https://klasma.github.io/Logging_2409/tillsyn/A 57284-2023 tillsynsbegäran.docx", "A 57284-2023")</f>
        <v/>
      </c>
      <c r="AD50">
        <f>HYPERLINK("https://klasma.github.io/Logging_2409/tillsynsmail/A 57284-2023 tillsynsbegäran mail.docx", "A 57284-2023")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46316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46316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46316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42891-2023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46316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3.8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42891-2023 artfynd.xlsx", "A 42891-2023")</f>
        <v/>
      </c>
      <c r="X54">
        <f>HYPERLINK("https://klasma.github.io/Logging_2409/kartor/A 42891-2023 karta.png", "A 42891-2023")</f>
        <v/>
      </c>
      <c r="Y54">
        <f>HYPERLINK("https://klasma.github.io/Logging_2409/kartor_geotiff/A 42891-2023 georefererad karta.tif", "A 42891-2023")</f>
        <v/>
      </c>
      <c r="AA54">
        <f>HYPERLINK("https://klasma.github.io/Logging_2409/klagomål/A 42891-2023 FSC-klagomål.docx", "A 42891-2023")</f>
        <v/>
      </c>
      <c r="AB54">
        <f>HYPERLINK("https://klasma.github.io/Logging_2409/klagomålsmail/A 42891-2023 FSC-klagomål mail.docx", "A 42891-2023")</f>
        <v/>
      </c>
      <c r="AC54">
        <f>HYPERLINK("https://klasma.github.io/Logging_2409/tillsyn/A 42891-2023 tillsynsbegäran.docx", "A 42891-2023")</f>
        <v/>
      </c>
      <c r="AD54">
        <f>HYPERLINK("https://klasma.github.io/Logging_2409/tillsynsmail/A 42891-2023 tillsynsbegäran mail.docx", "A 42891-2023")</f>
        <v/>
      </c>
    </row>
    <row r="55" ht="15" customHeight="1">
      <c r="A55" t="inlineStr">
        <is>
          <t>A 10145-2025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46316</v>
      </c>
      <c r="F55" t="inlineStr">
        <is>
          <t>VÄSTERBOTTENS LÄN</t>
        </is>
      </c>
      <c r="G55" t="inlineStr">
        <is>
          <t>ROBERTSFORS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HYPERLINK("https://klasma.github.io/Logging_2409/artfynd/A 10145-2025 artfynd.xlsx", "A 10145-2025")</f>
        <v/>
      </c>
      <c r="X55">
        <f>HYPERLINK("https://klasma.github.io/Logging_2409/kartor/A 10145-2025 karta.png", "A 10145-2025")</f>
        <v/>
      </c>
      <c r="Y55">
        <f>HYPERLINK("https://klasma.github.io/Logging_2409/kartor_geotiff/A 10145-2025 georefererad karta.tif", "A 10145-2025")</f>
        <v/>
      </c>
      <c r="AA55">
        <f>HYPERLINK("https://klasma.github.io/Logging_2409/klagomål/A 10145-2025 FSC-klagomål.docx", "A 10145-2025")</f>
        <v/>
      </c>
      <c r="AB55">
        <f>HYPERLINK("https://klasma.github.io/Logging_2409/klagomålsmail/A 10145-2025 FSC-klagomål mail.docx", "A 10145-2025")</f>
        <v/>
      </c>
      <c r="AC55">
        <f>HYPERLINK("https://klasma.github.io/Logging_2409/tillsyn/A 10145-2025 tillsynsbegäran.docx", "A 10145-2025")</f>
        <v/>
      </c>
      <c r="AD55">
        <f>HYPERLINK("https://klasma.github.io/Logging_2409/tillsynsmail/A 10145-2025 tillsynsbegäran mail.docx", "A 10145-2025")</f>
        <v/>
      </c>
    </row>
    <row r="56" ht="15" customHeight="1">
      <c r="A56" t="inlineStr">
        <is>
          <t>A 35497-2023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46316</v>
      </c>
      <c r="F56" t="inlineStr">
        <is>
          <t>VÄSTERBOTTENS LÄN</t>
        </is>
      </c>
      <c r="G56" t="inlineStr">
        <is>
          <t>ROBERTSFORS</t>
        </is>
      </c>
      <c r="I56" t="n">
        <v>0.2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HYPERLINK("https://klasma.github.io/Logging_2409/artfynd/A 35497-2023 artfynd.xlsx", "A 35497-2023")</f>
        <v/>
      </c>
      <c r="X56">
        <f>HYPERLINK("https://klasma.github.io/Logging_2409/kartor/A 35497-2023 karta.png", "A 35497-2023")</f>
        <v/>
      </c>
      <c r="Y56">
        <f>HYPERLINK("https://klasma.github.io/Logging_2409/kartor_geotiff/A 35497-2023 georefererad karta.tif", "A 35497-2023")</f>
        <v/>
      </c>
      <c r="AA56">
        <f>HYPERLINK("https://klasma.github.io/Logging_2409/klagomål/A 35497-2023 FSC-klagomål.docx", "A 35497-2023")</f>
        <v/>
      </c>
      <c r="AB56">
        <f>HYPERLINK("https://klasma.github.io/Logging_2409/klagomålsmail/A 35497-2023 FSC-klagomål mail.docx", "A 35497-2023")</f>
        <v/>
      </c>
      <c r="AC56">
        <f>HYPERLINK("https://klasma.github.io/Logging_2409/tillsyn/A 35497-2023 tillsynsbegäran.docx", "A 35497-2023")</f>
        <v/>
      </c>
      <c r="AD56">
        <f>HYPERLINK("https://klasma.github.io/Logging_2409/tillsynsmail/A 35497-2023 tillsynsbegäran mail.docx", "A 35497-2023")</f>
        <v/>
      </c>
    </row>
    <row r="57" ht="15" customHeight="1">
      <c r="A57" t="inlineStr">
        <is>
          <t>A 32876-2023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45124</v>
      </c>
      <c r="E57" s="1" t="n">
        <v>46316</v>
      </c>
      <c r="F57" t="inlineStr">
        <is>
          <t>VÄSTERBOTTENS LÄN</t>
        </is>
      </c>
      <c r="G57" t="inlineStr">
        <is>
          <t>ROBERTSFORS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HYPERLINK("https://klasma.github.io/Logging_2409/artfynd/A 32876-2023 artfynd.xlsx", "A 32876-2023")</f>
        <v/>
      </c>
      <c r="X57">
        <f>HYPERLINK("https://klasma.github.io/Logging_2409/kartor/A 32876-2023 karta.png", "A 32876-2023")</f>
        <v/>
      </c>
      <c r="Y57">
        <f>HYPERLINK("https://klasma.github.io/Logging_2409/kartor_geotiff/A 32876-2023 georefererad karta.tif", "A 32876-2023")</f>
        <v/>
      </c>
      <c r="AA57">
        <f>HYPERLINK("https://klasma.github.io/Logging_2409/klagomål/A 32876-2023 FSC-klagomål.docx", "A 32876-2023")</f>
        <v/>
      </c>
      <c r="AB57">
        <f>HYPERLINK("https://klasma.github.io/Logging_2409/klagomålsmail/A 32876-2023 FSC-klagomål mail.docx", "A 32876-2023")</f>
        <v/>
      </c>
      <c r="AC57">
        <f>HYPERLINK("https://klasma.github.io/Logging_2409/tillsyn/A 32876-2023 tillsynsbegäran.docx", "A 32876-2023")</f>
        <v/>
      </c>
      <c r="AD57">
        <f>HYPERLINK("https://klasma.github.io/Logging_2409/tillsynsmail/A 32876-2023 tillsynsbegäran mail.docx", "A 32876-2023")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46316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46316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46316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46316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46316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46316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46316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8753-2025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45712</v>
      </c>
      <c r="E65" s="1" t="n">
        <v>46316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Kommuner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Nattviol</t>
        </is>
      </c>
      <c r="W65">
        <f>HYPERLINK("https://klasma.github.io/Logging_2409/artfynd/A 8753-2025 artfynd.xlsx", "A 8753-2025")</f>
        <v/>
      </c>
      <c r="X65">
        <f>HYPERLINK("https://klasma.github.io/Logging_2409/kartor/A 8753-2025 karta.png", "A 8753-2025")</f>
        <v/>
      </c>
      <c r="Y65">
        <f>HYPERLINK("https://klasma.github.io/Logging_2409/kartor_geotiff/A 8753-2025 georefererad karta.tif", "A 8753-2025")</f>
        <v/>
      </c>
      <c r="AA65">
        <f>HYPERLINK("https://klasma.github.io/Logging_2409/klagomål/A 8753-2025 FSC-klagomål.docx", "A 8753-2025")</f>
        <v/>
      </c>
      <c r="AB65">
        <f>HYPERLINK("https://klasma.github.io/Logging_2409/klagomålsmail/A 8753-2025 FSC-klagomål mail.docx", "A 8753-2025")</f>
        <v/>
      </c>
      <c r="AC65">
        <f>HYPERLINK("https://klasma.github.io/Logging_2409/tillsyn/A 8753-2025 tillsynsbegäran.docx", "A 8753-2025")</f>
        <v/>
      </c>
      <c r="AD65">
        <f>HYPERLINK("https://klasma.github.io/Logging_2409/tillsynsmail/A 8753-2025 tillsynsbegäran mail.docx", "A 8753-2025")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46316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46316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46316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46316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46316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46316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46316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46316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46316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46316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46316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46316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46316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46316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46316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46316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46316</v>
      </c>
      <c r="F82" t="inlineStr">
        <is>
          <t>VÄSTERBOTTENS LÄN</t>
        </is>
      </c>
      <c r="G82" t="inlineStr">
        <is>
          <t>ROBERTSFORS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46316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46316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46316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46316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46316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46316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46316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46316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46316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46316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46316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46316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46316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46316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46316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46316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46316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46316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46316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46316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46316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46316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46316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46316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46316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46316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46316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46316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46316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46316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46316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46316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46316</v>
      </c>
      <c r="F116" t="inlineStr">
        <is>
          <t>VÄSTERBOTTENS LÄN</t>
        </is>
      </c>
      <c r="G116" t="inlineStr">
        <is>
          <t>ROBERTSFORS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46316</v>
      </c>
      <c r="F117" t="inlineStr">
        <is>
          <t>VÄSTERBOTTENS LÄN</t>
        </is>
      </c>
      <c r="G117" t="inlineStr">
        <is>
          <t>ROBERTSFORS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45033</v>
      </c>
      <c r="E118" s="1" t="n">
        <v>46316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46316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46316</v>
      </c>
      <c r="F120" t="inlineStr">
        <is>
          <t>VÄSTERBOTTENS LÄN</t>
        </is>
      </c>
      <c r="G120" t="inlineStr">
        <is>
          <t>ROBERTSFORS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46316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46316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46316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46316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46316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45622</v>
      </c>
      <c r="E126" s="1" t="n">
        <v>46316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46316</v>
      </c>
      <c r="F127" t="inlineStr">
        <is>
          <t>VÄSTERBOTTENS LÄN</t>
        </is>
      </c>
      <c r="G127" t="inlineStr">
        <is>
          <t>ROBERTSFORS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46316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46316</v>
      </c>
      <c r="F129" t="inlineStr">
        <is>
          <t>VÄSTERBOTTENS LÄN</t>
        </is>
      </c>
      <c r="G129" t="inlineStr">
        <is>
          <t>ROBERTSFORS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46316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15294-2023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45019</v>
      </c>
      <c r="E131" s="1" t="n">
        <v>46316</v>
      </c>
      <c r="F131" t="inlineStr">
        <is>
          <t>VÄSTERBOTTENS LÄN</t>
        </is>
      </c>
      <c r="G131" t="inlineStr">
        <is>
          <t>ROBERTSFORS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46316</v>
      </c>
      <c r="F132" t="inlineStr">
        <is>
          <t>VÄSTERBOTTENS LÄN</t>
        </is>
      </c>
      <c r="G132" t="inlineStr">
        <is>
          <t>ROBERTSFORS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54366-2024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45617</v>
      </c>
      <c r="E133" s="1" t="n">
        <v>46316</v>
      </c>
      <c r="F133" t="inlineStr">
        <is>
          <t>VÄSTERBOTTENS LÄN</t>
        </is>
      </c>
      <c r="G133" t="inlineStr">
        <is>
          <t>ROBERTSFORS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46316</v>
      </c>
      <c r="F134" t="inlineStr">
        <is>
          <t>VÄSTERBOTTENS LÄN</t>
        </is>
      </c>
      <c r="G134" t="inlineStr">
        <is>
          <t>ROBERTSFORS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45496</v>
      </c>
      <c r="E135" s="1" t="n">
        <v>46316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44372-2023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45188</v>
      </c>
      <c r="E136" s="1" t="n">
        <v>46316</v>
      </c>
      <c r="F136" t="inlineStr">
        <is>
          <t>VÄSTERBOTTENS LÄN</t>
        </is>
      </c>
      <c r="G136" t="inlineStr">
        <is>
          <t>ROBERTSFORS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46316</v>
      </c>
      <c r="F137" t="inlineStr">
        <is>
          <t>VÄSTERBOTTENS LÄN</t>
        </is>
      </c>
      <c r="G137" t="inlineStr">
        <is>
          <t>ROBERTSFORS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45484</v>
      </c>
      <c r="E138" s="1" t="n">
        <v>46316</v>
      </c>
      <c r="F138" t="inlineStr">
        <is>
          <t>VÄSTERBOTTENS LÄN</t>
        </is>
      </c>
      <c r="G138" t="inlineStr">
        <is>
          <t>ROBERTSFORS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45794</v>
      </c>
      <c r="E139" s="1" t="n">
        <v>46316</v>
      </c>
      <c r="F139" t="inlineStr">
        <is>
          <t>VÄSTERBOTTENS LÄN</t>
        </is>
      </c>
      <c r="G139" t="inlineStr">
        <is>
          <t>ROBERTSFORS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46316</v>
      </c>
      <c r="F140" t="inlineStr">
        <is>
          <t>VÄSTERBOTTENS LÄN</t>
        </is>
      </c>
      <c r="G140" t="inlineStr">
        <is>
          <t>ROBERTSFORS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46316</v>
      </c>
      <c r="F141" t="inlineStr">
        <is>
          <t>VÄSTERBOTTENS LÄN</t>
        </is>
      </c>
      <c r="G141" t="inlineStr">
        <is>
          <t>ROBERTSFORS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46316</v>
      </c>
      <c r="F142" t="inlineStr">
        <is>
          <t>VÄSTERBOTTENS LÄN</t>
        </is>
      </c>
      <c r="G142" t="inlineStr">
        <is>
          <t>ROBERTSFORS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46316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46316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46316</v>
      </c>
      <c r="F145" t="inlineStr">
        <is>
          <t>VÄSTERBOTTENS LÄN</t>
        </is>
      </c>
      <c r="G145" t="inlineStr">
        <is>
          <t>ROBERTSFORS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46316</v>
      </c>
      <c r="F146" t="inlineStr">
        <is>
          <t>VÄSTERBOTTENS LÄN</t>
        </is>
      </c>
      <c r="G146" t="inlineStr">
        <is>
          <t>ROBERTSFORS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46316</v>
      </c>
      <c r="F147" t="inlineStr">
        <is>
          <t>VÄSTERBOTTENS LÄN</t>
        </is>
      </c>
      <c r="G147" t="inlineStr">
        <is>
          <t>ROBERTSFORS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46316</v>
      </c>
      <c r="F148" t="inlineStr">
        <is>
          <t>VÄSTERBOTTENS LÄN</t>
        </is>
      </c>
      <c r="G148" t="inlineStr">
        <is>
          <t>ROBERTSFORS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46316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46316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46316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46316</v>
      </c>
      <c r="F152" t="inlineStr">
        <is>
          <t>VÄSTERBOTTENS LÄN</t>
        </is>
      </c>
      <c r="G152" t="inlineStr">
        <is>
          <t>ROBERTSFORS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46316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46316</v>
      </c>
      <c r="F154" t="inlineStr">
        <is>
          <t>VÄSTERBOTTENS LÄN</t>
        </is>
      </c>
      <c r="G154" t="inlineStr">
        <is>
          <t>ROBERTSFORS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46316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46316</v>
      </c>
      <c r="F156" t="inlineStr">
        <is>
          <t>VÄSTERBOTTENS LÄN</t>
        </is>
      </c>
      <c r="G156" t="inlineStr">
        <is>
          <t>ROBERTSFORS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46316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46316</v>
      </c>
      <c r="F158" t="inlineStr">
        <is>
          <t>VÄSTERBOTTENS LÄN</t>
        </is>
      </c>
      <c r="G158" t="inlineStr">
        <is>
          <t>ROBERTSFORS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45461</v>
      </c>
      <c r="E159" s="1" t="n">
        <v>46316</v>
      </c>
      <c r="F159" t="inlineStr">
        <is>
          <t>VÄSTERBOTTENS LÄN</t>
        </is>
      </c>
      <c r="G159" t="inlineStr">
        <is>
          <t>ROBERTSFORS</t>
        </is>
      </c>
      <c r="I159" t="n">
        <v>14.3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45818</v>
      </c>
      <c r="E160" s="1" t="n">
        <v>46316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46316</v>
      </c>
      <c r="F161" t="inlineStr">
        <is>
          <t>VÄSTERBOTTENS LÄN</t>
        </is>
      </c>
      <c r="G161" t="inlineStr">
        <is>
          <t>ROBERTSFORS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46316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46316</v>
      </c>
      <c r="F163" t="inlineStr">
        <is>
          <t>VÄSTERBOTTENS LÄN</t>
        </is>
      </c>
      <c r="G163" t="inlineStr">
        <is>
          <t>ROBERTSFORS</t>
        </is>
      </c>
      <c r="I163" t="n">
        <v>12.7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46316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45468</v>
      </c>
      <c r="E165" s="1" t="n">
        <v>46316</v>
      </c>
      <c r="F165" t="inlineStr">
        <is>
          <t>VÄSTERBOTTENS LÄN</t>
        </is>
      </c>
      <c r="G165" t="inlineStr">
        <is>
          <t>ROBERTSFORS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46316</v>
      </c>
      <c r="F166" t="inlineStr">
        <is>
          <t>VÄSTERBOTTENS LÄN</t>
        </is>
      </c>
      <c r="G166" t="inlineStr">
        <is>
          <t>ROBERTSFORS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46316</v>
      </c>
      <c r="F167" t="inlineStr">
        <is>
          <t>VÄSTERBOTTENS LÄN</t>
        </is>
      </c>
      <c r="G167" t="inlineStr">
        <is>
          <t>ROBERTSFORS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44130-2025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45915</v>
      </c>
      <c r="E168" s="1" t="n">
        <v>46316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46316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46316</v>
      </c>
      <c r="F170" t="inlineStr">
        <is>
          <t>VÄSTERBOTTENS LÄN</t>
        </is>
      </c>
      <c r="G170" t="inlineStr">
        <is>
          <t>ROBERTSFORS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46316</v>
      </c>
      <c r="F171" t="inlineStr">
        <is>
          <t>VÄSTERBOTTENS LÄN</t>
        </is>
      </c>
      <c r="G171" t="inlineStr">
        <is>
          <t>ROBERTSFORS</t>
        </is>
      </c>
      <c r="I171" t="n">
        <v>9.9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46316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46316</v>
      </c>
      <c r="F173" t="inlineStr">
        <is>
          <t>VÄSTERBOTTENS LÄN</t>
        </is>
      </c>
      <c r="G173" t="inlineStr">
        <is>
          <t>ROBERTSFORS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46316</v>
      </c>
      <c r="F174" t="inlineStr">
        <is>
          <t>VÄSTERBOTTENS LÄN</t>
        </is>
      </c>
      <c r="G174" t="inlineStr">
        <is>
          <t>ROBERTSFORS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46316</v>
      </c>
      <c r="F175" t="inlineStr">
        <is>
          <t>VÄSTERBOTTENS LÄN</t>
        </is>
      </c>
      <c r="G175" t="inlineStr">
        <is>
          <t>ROBERTSFORS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44960</v>
      </c>
      <c r="E176" s="1" t="n">
        <v>46316</v>
      </c>
      <c r="F176" t="inlineStr">
        <is>
          <t>VÄSTERBOTTENS LÄN</t>
        </is>
      </c>
      <c r="G176" t="inlineStr">
        <is>
          <t>ROBERTSFORS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46316</v>
      </c>
      <c r="F177" t="inlineStr">
        <is>
          <t>VÄSTERBOTTENS LÄN</t>
        </is>
      </c>
      <c r="G177" t="inlineStr">
        <is>
          <t>ROBERTSFORS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46316</v>
      </c>
      <c r="F178" t="inlineStr">
        <is>
          <t>VÄSTERBOTTENS LÄN</t>
        </is>
      </c>
      <c r="G178" t="inlineStr">
        <is>
          <t>ROBERTSFORS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46168-2025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45924</v>
      </c>
      <c r="E179" s="1" t="n">
        <v>46316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44913</v>
      </c>
      <c r="E180" s="1" t="n">
        <v>46316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46316</v>
      </c>
      <c r="F181" t="inlineStr">
        <is>
          <t>VÄSTERBOTTENS LÄN</t>
        </is>
      </c>
      <c r="G181" t="inlineStr">
        <is>
          <t>ROBERTSFORS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46316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46316</v>
      </c>
      <c r="F183" t="inlineStr">
        <is>
          <t>VÄSTERBOTTENS LÄN</t>
        </is>
      </c>
      <c r="G183" t="inlineStr">
        <is>
          <t>ROBERTSFORS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46316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46316</v>
      </c>
      <c r="F185" t="inlineStr">
        <is>
          <t>VÄSTERBOTTENS LÄN</t>
        </is>
      </c>
      <c r="G185" t="inlineStr">
        <is>
          <t>ROBERTSFORS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46316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46316</v>
      </c>
      <c r="F187" t="inlineStr">
        <is>
          <t>VÄSTERBOTTENS LÄN</t>
        </is>
      </c>
      <c r="G187" t="inlineStr">
        <is>
          <t>ROBERTSFORS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46065</v>
      </c>
      <c r="E188" s="1" t="n">
        <v>46316</v>
      </c>
      <c r="F188" t="inlineStr">
        <is>
          <t>VÄSTERBOTTENS LÄN</t>
        </is>
      </c>
      <c r="G188" t="inlineStr">
        <is>
          <t>ROBERTSFORS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46316</v>
      </c>
      <c r="F189" t="inlineStr">
        <is>
          <t>VÄSTERBOTTENS LÄN</t>
        </is>
      </c>
      <c r="G189" t="inlineStr">
        <is>
          <t>ROBERTSFORS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46316</v>
      </c>
      <c r="F190" t="inlineStr">
        <is>
          <t>VÄSTERBOTTENS LÄN</t>
        </is>
      </c>
      <c r="G190" t="inlineStr">
        <is>
          <t>ROBERTSFORS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44902</v>
      </c>
      <c r="E191" s="1" t="n">
        <v>46316</v>
      </c>
      <c r="F191" t="inlineStr">
        <is>
          <t>VÄSTERBOTTENS LÄN</t>
        </is>
      </c>
      <c r="G191" t="inlineStr">
        <is>
          <t>ROBERTSFORS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46331-2023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45197</v>
      </c>
      <c r="E192" s="1" t="n">
        <v>46316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46316</v>
      </c>
      <c r="F193" t="inlineStr">
        <is>
          <t>VÄSTERBOTTENS LÄN</t>
        </is>
      </c>
      <c r="G193" t="inlineStr">
        <is>
          <t>ROBERTSFORS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46316</v>
      </c>
      <c r="F194" t="inlineStr">
        <is>
          <t>VÄSTERBOTTENS LÄN</t>
        </is>
      </c>
      <c r="G194" t="inlineStr">
        <is>
          <t>ROBERTSFORS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46316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46316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46316</v>
      </c>
      <c r="F197" t="inlineStr">
        <is>
          <t>VÄSTERBOTTENS LÄN</t>
        </is>
      </c>
      <c r="G197" t="inlineStr">
        <is>
          <t>ROBERTSFORS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46316</v>
      </c>
      <c r="F198" t="inlineStr">
        <is>
          <t>VÄSTERBOTTENS LÄN</t>
        </is>
      </c>
      <c r="G198" t="inlineStr">
        <is>
          <t>ROBERTSFORS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46316</v>
      </c>
      <c r="F199" t="inlineStr">
        <is>
          <t>VÄSTERBOTTENS LÄN</t>
        </is>
      </c>
      <c r="G199" t="inlineStr">
        <is>
          <t>ROBERTSFORS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46316</v>
      </c>
      <c r="F200" t="inlineStr">
        <is>
          <t>VÄSTERBOTTENS LÄN</t>
        </is>
      </c>
      <c r="G200" t="inlineStr">
        <is>
          <t>ROBERTSFORS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44805</v>
      </c>
      <c r="E201" s="1" t="n">
        <v>46316</v>
      </c>
      <c r="F201" t="inlineStr">
        <is>
          <t>VÄSTERBOTTENS LÄN</t>
        </is>
      </c>
      <c r="G201" t="inlineStr">
        <is>
          <t>ROBERTSFORS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46316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46083</v>
      </c>
      <c r="E203" s="1" t="n">
        <v>46316</v>
      </c>
      <c r="F203" t="inlineStr">
        <is>
          <t>VÄSTERBOTTENS LÄN</t>
        </is>
      </c>
      <c r="G203" t="inlineStr">
        <is>
          <t>ROBERTSFORS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45687</v>
      </c>
      <c r="E204" s="1" t="n">
        <v>46316</v>
      </c>
      <c r="F204" t="inlineStr">
        <is>
          <t>VÄSTERBOTTENS LÄN</t>
        </is>
      </c>
      <c r="G204" t="inlineStr">
        <is>
          <t>ROBERTSFORS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45782</v>
      </c>
      <c r="E205" s="1" t="n">
        <v>46316</v>
      </c>
      <c r="F205" t="inlineStr">
        <is>
          <t>VÄSTERBOTTENS LÄN</t>
        </is>
      </c>
      <c r="G205" t="inlineStr">
        <is>
          <t>ROBERTSFORS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46316</v>
      </c>
      <c r="F206" t="inlineStr">
        <is>
          <t>VÄSTERBOTTENS LÄN</t>
        </is>
      </c>
      <c r="G206" t="inlineStr">
        <is>
          <t>ROBERTSFORS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46316</v>
      </c>
      <c r="F207" t="inlineStr">
        <is>
          <t>VÄSTERBOTTENS LÄN</t>
        </is>
      </c>
      <c r="G207" t="inlineStr">
        <is>
          <t>ROBERTSFORS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46316</v>
      </c>
      <c r="F208" t="inlineStr">
        <is>
          <t>VÄSTERBOTTENS LÄN</t>
        </is>
      </c>
      <c r="G208" t="inlineStr">
        <is>
          <t>ROBERTSFORS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46316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46316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45458</v>
      </c>
      <c r="E211" s="1" t="n">
        <v>46316</v>
      </c>
      <c r="F211" t="inlineStr">
        <is>
          <t>VÄSTERBOTTENS LÄN</t>
        </is>
      </c>
      <c r="G211" t="inlineStr">
        <is>
          <t>ROBERTSFORS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45957</v>
      </c>
      <c r="E212" s="1" t="n">
        <v>46316</v>
      </c>
      <c r="F212" t="inlineStr">
        <is>
          <t>VÄSTERBOTTENS LÄN</t>
        </is>
      </c>
      <c r="G212" t="inlineStr">
        <is>
          <t>ROBERTSFORS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46316</v>
      </c>
      <c r="F213" t="inlineStr">
        <is>
          <t>VÄSTERBOTTENS LÄN</t>
        </is>
      </c>
      <c r="G213" t="inlineStr">
        <is>
          <t>ROBERTSFORS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46316</v>
      </c>
      <c r="F214" t="inlineStr">
        <is>
          <t>VÄSTERBOTTENS LÄN</t>
        </is>
      </c>
      <c r="G214" t="inlineStr">
        <is>
          <t>ROBERTSFORS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46316</v>
      </c>
      <c r="F215" t="inlineStr">
        <is>
          <t>VÄSTERBOTTENS LÄN</t>
        </is>
      </c>
      <c r="G215" t="inlineStr">
        <is>
          <t>ROBERTSFORS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46316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53320-2025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45959</v>
      </c>
      <c r="E217" s="1" t="n">
        <v>46316</v>
      </c>
      <c r="F217" t="inlineStr">
        <is>
          <t>VÄSTERBOTTENS LÄN</t>
        </is>
      </c>
      <c r="G217" t="inlineStr">
        <is>
          <t>ROBERTSFORS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45205</v>
      </c>
      <c r="E218" s="1" t="n">
        <v>46316</v>
      </c>
      <c r="F218" t="inlineStr">
        <is>
          <t>VÄSTERBOTTENS LÄN</t>
        </is>
      </c>
      <c r="G218" t="inlineStr">
        <is>
          <t>ROBERTSFORS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46316</v>
      </c>
      <c r="F219" t="inlineStr">
        <is>
          <t>VÄSTERBOTTENS LÄN</t>
        </is>
      </c>
      <c r="G219" t="inlineStr">
        <is>
          <t>ROBERTSFORS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46316</v>
      </c>
      <c r="F220" t="inlineStr">
        <is>
          <t>VÄSTERBOTTENS LÄN</t>
        </is>
      </c>
      <c r="G220" t="inlineStr">
        <is>
          <t>ROBERTSFORS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46316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46316</v>
      </c>
      <c r="F222" t="inlineStr">
        <is>
          <t>VÄSTERBOTTENS LÄN</t>
        </is>
      </c>
      <c r="G222" t="inlineStr">
        <is>
          <t>ROBERTSFORS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46316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46316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46316</v>
      </c>
      <c r="F225" t="inlineStr">
        <is>
          <t>VÄSTERBOTTENS LÄN</t>
        </is>
      </c>
      <c r="G225" t="inlineStr">
        <is>
          <t>ROBERTSFORS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46316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46316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46316</v>
      </c>
      <c r="F228" t="inlineStr">
        <is>
          <t>VÄSTERBOTTENS LÄN</t>
        </is>
      </c>
      <c r="G228" t="inlineStr">
        <is>
          <t>ROBERTSFORS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46316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46316</v>
      </c>
      <c r="F230" t="inlineStr">
        <is>
          <t>VÄSTERBOTTENS LÄN</t>
        </is>
      </c>
      <c r="G230" t="inlineStr">
        <is>
          <t>ROBERTSFORS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46316</v>
      </c>
      <c r="F231" t="inlineStr">
        <is>
          <t>VÄSTERBOTTENS LÄN</t>
        </is>
      </c>
      <c r="G231" t="inlineStr">
        <is>
          <t>ROBERTSFORS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45458</v>
      </c>
      <c r="E232" s="1" t="n">
        <v>46316</v>
      </c>
      <c r="F232" t="inlineStr">
        <is>
          <t>VÄSTERBOTTENS LÄN</t>
        </is>
      </c>
      <c r="G232" t="inlineStr">
        <is>
          <t>ROBERTSFORS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46316</v>
      </c>
      <c r="F234" t="inlineStr">
        <is>
          <t>VÄSTERBOTTENS LÄN</t>
        </is>
      </c>
      <c r="G234" t="inlineStr">
        <is>
          <t>ROBERTSFORS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46316</v>
      </c>
      <c r="F235" t="inlineStr">
        <is>
          <t>VÄSTERBOTTENS LÄN</t>
        </is>
      </c>
      <c r="G235" t="inlineStr">
        <is>
          <t>ROBERTSFORS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46316</v>
      </c>
      <c r="F236" t="inlineStr">
        <is>
          <t>VÄSTERBOTTENS LÄN</t>
        </is>
      </c>
      <c r="G236" t="inlineStr">
        <is>
          <t>ROBERTSFORS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45029</v>
      </c>
      <c r="E237" s="1" t="n">
        <v>46316</v>
      </c>
      <c r="F237" t="inlineStr">
        <is>
          <t>VÄSTERBOTTENS LÄN</t>
        </is>
      </c>
      <c r="G237" t="inlineStr">
        <is>
          <t>ROBERTSFORS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45839</v>
      </c>
      <c r="E238" s="1" t="n">
        <v>46316</v>
      </c>
      <c r="F238" t="inlineStr">
        <is>
          <t>VÄSTERBOTTENS LÄN</t>
        </is>
      </c>
      <c r="G238" t="inlineStr">
        <is>
          <t>ROBERTSFORS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27557-2024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46316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46316</v>
      </c>
      <c r="F240" t="inlineStr">
        <is>
          <t>VÄSTERBOTTENS LÄN</t>
        </is>
      </c>
      <c r="G240" t="inlineStr">
        <is>
          <t>ROBERTSFORS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46316</v>
      </c>
      <c r="F241" t="inlineStr">
        <is>
          <t>VÄSTERBOTTENS LÄN</t>
        </is>
      </c>
      <c r="G241" t="inlineStr">
        <is>
          <t>ROBERTSFORS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46316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46316</v>
      </c>
      <c r="F243" t="inlineStr">
        <is>
          <t>VÄSTERBOTTENS LÄN</t>
        </is>
      </c>
      <c r="G243" t="inlineStr">
        <is>
          <t>ROBERTSFORS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46316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45839</v>
      </c>
      <c r="E245" s="1" t="n">
        <v>46316</v>
      </c>
      <c r="F245" t="inlineStr">
        <is>
          <t>VÄSTERBOTTENS LÄN</t>
        </is>
      </c>
      <c r="G245" t="inlineStr">
        <is>
          <t>ROBERTSFORS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46316</v>
      </c>
      <c r="F246" t="inlineStr">
        <is>
          <t>VÄSTERBOTTENS LÄN</t>
        </is>
      </c>
      <c r="G246" t="inlineStr">
        <is>
          <t>ROBERTSFORS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46316</v>
      </c>
      <c r="F247" t="inlineStr">
        <is>
          <t>VÄSTERBOTTENS LÄN</t>
        </is>
      </c>
      <c r="G247" t="inlineStr">
        <is>
          <t>ROBERTSFORS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46316</v>
      </c>
      <c r="F248" t="inlineStr">
        <is>
          <t>VÄSTERBOTTENS LÄN</t>
        </is>
      </c>
      <c r="G248" t="inlineStr">
        <is>
          <t>ROBERTSFORS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65771-2021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46316</v>
      </c>
      <c r="F249" t="inlineStr">
        <is>
          <t>VÄSTERBOTTENS LÄN</t>
        </is>
      </c>
      <c r="G249" t="inlineStr">
        <is>
          <t>ROBERTSFORS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45480</v>
      </c>
      <c r="E250" s="1" t="n">
        <v>46316</v>
      </c>
      <c r="F250" t="inlineStr">
        <is>
          <t>VÄSTERBOTTENS LÄN</t>
        </is>
      </c>
      <c r="G250" t="inlineStr">
        <is>
          <t>ROBERTSFORS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46316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45661</v>
      </c>
      <c r="E252" s="1" t="n">
        <v>46316</v>
      </c>
      <c r="F252" t="inlineStr">
        <is>
          <t>VÄSTERBOTTENS LÄN</t>
        </is>
      </c>
      <c r="G252" t="inlineStr">
        <is>
          <t>ROBERTSFORS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45664</v>
      </c>
      <c r="E253" s="1" t="n">
        <v>46316</v>
      </c>
      <c r="F253" t="inlineStr">
        <is>
          <t>VÄSTERBOTTENS LÄN</t>
        </is>
      </c>
      <c r="G253" t="inlineStr">
        <is>
          <t>ROBERTSFORS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65772-2021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46316</v>
      </c>
      <c r="F254" t="inlineStr">
        <is>
          <t>VÄSTERBOTTENS LÄN</t>
        </is>
      </c>
      <c r="G254" t="inlineStr">
        <is>
          <t>ROBERTSFORS</t>
        </is>
      </c>
      <c r="I254" t="n">
        <v>18.2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46316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46316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46316</v>
      </c>
      <c r="F257" t="inlineStr">
        <is>
          <t>VÄSTERBOTTENS LÄN</t>
        </is>
      </c>
      <c r="G257" t="inlineStr">
        <is>
          <t>ROBERTSFORS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46316</v>
      </c>
      <c r="F258" t="inlineStr">
        <is>
          <t>VÄSTERBOTTENS LÄN</t>
        </is>
      </c>
      <c r="G258" t="inlineStr">
        <is>
          <t>ROBERTSFORS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46316</v>
      </c>
      <c r="F259" t="inlineStr">
        <is>
          <t>VÄSTERBOTTENS LÄN</t>
        </is>
      </c>
      <c r="G259" t="inlineStr">
        <is>
          <t>ROBERTSFORS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46316</v>
      </c>
      <c r="F260" t="inlineStr">
        <is>
          <t>VÄSTERBOTTENS LÄN</t>
        </is>
      </c>
      <c r="G260" t="inlineStr">
        <is>
          <t>ROBERTSFORS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46316</v>
      </c>
      <c r="F261" t="inlineStr">
        <is>
          <t>VÄSTERBOTTENS LÄN</t>
        </is>
      </c>
      <c r="G261" t="inlineStr">
        <is>
          <t>ROBERTSFORS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46316</v>
      </c>
      <c r="F262" t="inlineStr">
        <is>
          <t>VÄSTERBOTTENS LÄN</t>
        </is>
      </c>
      <c r="G262" t="inlineStr">
        <is>
          <t>ROBERTSFORS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32581-2022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44783</v>
      </c>
      <c r="E263" s="1" t="n">
        <v>46316</v>
      </c>
      <c r="F263" t="inlineStr">
        <is>
          <t>VÄSTERBOTTENS LÄN</t>
        </is>
      </c>
      <c r="G263" t="inlineStr">
        <is>
          <t>ROBERTSFORS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44838</v>
      </c>
      <c r="E264" s="1" t="n">
        <v>46316</v>
      </c>
      <c r="F264" t="inlineStr">
        <is>
          <t>VÄSTERBOTTENS LÄN</t>
        </is>
      </c>
      <c r="G264" t="inlineStr">
        <is>
          <t>ROBERTSFORS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33368-2025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45841</v>
      </c>
      <c r="E265" s="1" t="n">
        <v>46316</v>
      </c>
      <c r="F265" t="inlineStr">
        <is>
          <t>VÄSTERBOTTENS LÄN</t>
        </is>
      </c>
      <c r="G265" t="inlineStr">
        <is>
          <t>ROBERTSFORS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33375-2025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45841</v>
      </c>
      <c r="E266" s="1" t="n">
        <v>46316</v>
      </c>
      <c r="F266" t="inlineStr">
        <is>
          <t>VÄSTERBOTTENS LÄN</t>
        </is>
      </c>
      <c r="G266" t="inlineStr">
        <is>
          <t>ROBERTSFORS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46316</v>
      </c>
      <c r="F267" t="inlineStr">
        <is>
          <t>VÄSTERBOTTENS LÄN</t>
        </is>
      </c>
      <c r="G267" t="inlineStr">
        <is>
          <t>ROBERTSFORS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46316</v>
      </c>
      <c r="F268" t="inlineStr">
        <is>
          <t>VÄSTERBOTTENS LÄN</t>
        </is>
      </c>
      <c r="G268" t="inlineStr">
        <is>
          <t>ROBERTSFORS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46316</v>
      </c>
      <c r="F269" t="inlineStr">
        <is>
          <t>VÄSTERBOTTENS LÄN</t>
        </is>
      </c>
      <c r="G269" t="inlineStr">
        <is>
          <t>ROBERTSFORS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46316</v>
      </c>
      <c r="F270" t="inlineStr">
        <is>
          <t>VÄSTERBOTTENS LÄN</t>
        </is>
      </c>
      <c r="G270" t="inlineStr">
        <is>
          <t>ROBERTSFORS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45653</v>
      </c>
      <c r="E271" s="1" t="n">
        <v>46316</v>
      </c>
      <c r="F271" t="inlineStr">
        <is>
          <t>VÄSTERBOTTENS LÄN</t>
        </is>
      </c>
      <c r="G271" t="inlineStr">
        <is>
          <t>ROBERTSFORS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46316</v>
      </c>
      <c r="F272" t="inlineStr">
        <is>
          <t>VÄSTERBOTTENS LÄN</t>
        </is>
      </c>
      <c r="G272" t="inlineStr">
        <is>
          <t>ROBERTSFORS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46316</v>
      </c>
      <c r="F273" t="inlineStr">
        <is>
          <t>VÄSTERBOTTENS LÄN</t>
        </is>
      </c>
      <c r="G273" t="inlineStr">
        <is>
          <t>ROBERTSFORS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46316</v>
      </c>
      <c r="F274" t="inlineStr">
        <is>
          <t>VÄSTERBOTTENS LÄN</t>
        </is>
      </c>
      <c r="G274" t="inlineStr">
        <is>
          <t>ROBERTSFORS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46316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45544</v>
      </c>
      <c r="E276" s="1" t="n">
        <v>46316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SCA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46316</v>
      </c>
      <c r="F277" t="inlineStr">
        <is>
          <t>VÄSTERBOTTENS LÄN</t>
        </is>
      </c>
      <c r="G277" t="inlineStr">
        <is>
          <t>ROBERTSFORS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46316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59877-2022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46316</v>
      </c>
      <c r="F279" t="inlineStr">
        <is>
          <t>VÄSTERBOTTENS LÄN</t>
        </is>
      </c>
      <c r="G279" t="inlineStr">
        <is>
          <t>ROBERTSFORS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46316</v>
      </c>
      <c r="F280" t="inlineStr">
        <is>
          <t>VÄSTERBOTTENS LÄN</t>
        </is>
      </c>
      <c r="G280" t="inlineStr">
        <is>
          <t>ROBERTSFORS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46316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Sveaskog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46316</v>
      </c>
      <c r="F282" t="inlineStr">
        <is>
          <t>VÄSTERBOTTENS LÄN</t>
        </is>
      </c>
      <c r="G282" t="inlineStr">
        <is>
          <t>ROBERTSFORS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46316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45856</v>
      </c>
      <c r="E284" s="1" t="n">
        <v>46316</v>
      </c>
      <c r="F284" t="inlineStr">
        <is>
          <t>VÄSTERBOTTENS LÄN</t>
        </is>
      </c>
      <c r="G284" t="inlineStr">
        <is>
          <t>ROBERTSFORS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45789</v>
      </c>
      <c r="E285" s="1" t="n">
        <v>46316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46316</v>
      </c>
      <c r="F286" t="inlineStr">
        <is>
          <t>VÄSTERBOTTENS LÄN</t>
        </is>
      </c>
      <c r="G286" t="inlineStr">
        <is>
          <t>ROBERTSFORS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5902-2024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45335</v>
      </c>
      <c r="E287" s="1" t="n">
        <v>46316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45671</v>
      </c>
      <c r="E288" s="1" t="n">
        <v>46316</v>
      </c>
      <c r="F288" t="inlineStr">
        <is>
          <t>VÄSTERBOTTENS LÄN</t>
        </is>
      </c>
      <c r="G288" t="inlineStr">
        <is>
          <t>ROBERTSFORS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46316</v>
      </c>
      <c r="F289" t="inlineStr">
        <is>
          <t>VÄSTERBOTTENS LÄN</t>
        </is>
      </c>
      <c r="G289" t="inlineStr">
        <is>
          <t>ROBERTSFORS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46316</v>
      </c>
      <c r="F290" t="inlineStr">
        <is>
          <t>VÄSTERBOTTENS LÄN</t>
        </is>
      </c>
      <c r="G290" t="inlineStr">
        <is>
          <t>ROBERTSFORS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46316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46316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46316</v>
      </c>
      <c r="F293" t="inlineStr">
        <is>
          <t>VÄSTERBOTTENS LÄN</t>
        </is>
      </c>
      <c r="G293" t="inlineStr">
        <is>
          <t>ROBERTSFORS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46316</v>
      </c>
      <c r="F294" t="inlineStr">
        <is>
          <t>VÄSTERBOTTENS LÄN</t>
        </is>
      </c>
      <c r="G294" t="inlineStr">
        <is>
          <t>ROBERTSFORS</t>
        </is>
      </c>
      <c r="I294" t="n">
        <v>24.4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45870</v>
      </c>
      <c r="E295" s="1" t="n">
        <v>46316</v>
      </c>
      <c r="F295" t="inlineStr">
        <is>
          <t>VÄSTERBOTTENS LÄN</t>
        </is>
      </c>
      <c r="G295" t="inlineStr">
        <is>
          <t>ROBERTSFORS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46316</v>
      </c>
      <c r="F296" t="inlineStr">
        <is>
          <t>VÄSTERBOTTENS LÄN</t>
        </is>
      </c>
      <c r="G296" t="inlineStr">
        <is>
          <t>ROBERTSFORS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46316</v>
      </c>
      <c r="F297" t="inlineStr">
        <is>
          <t>VÄSTERBOTTENS LÄN</t>
        </is>
      </c>
      <c r="G297" t="inlineStr">
        <is>
          <t>ROBERTSFORS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45005</v>
      </c>
      <c r="E298" s="1" t="n">
        <v>46316</v>
      </c>
      <c r="F298" t="inlineStr">
        <is>
          <t>VÄSTERBOTTENS LÄN</t>
        </is>
      </c>
      <c r="G298" t="inlineStr">
        <is>
          <t>ROBERTSFORS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46316</v>
      </c>
      <c r="F299" t="inlineStr">
        <is>
          <t>VÄSTERBOTTENS LÄN</t>
        </is>
      </c>
      <c r="G299" t="inlineStr">
        <is>
          <t>ROBERTSFORS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44580</v>
      </c>
      <c r="E300" s="1" t="n">
        <v>46316</v>
      </c>
      <c r="F300" t="inlineStr">
        <is>
          <t>VÄSTERBOTTENS LÄN</t>
        </is>
      </c>
      <c r="G300" t="inlineStr">
        <is>
          <t>ROBERTSFORS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46316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45020</v>
      </c>
      <c r="E302" s="1" t="n">
        <v>46316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45873</v>
      </c>
      <c r="E303" s="1" t="n">
        <v>46316</v>
      </c>
      <c r="F303" t="inlineStr">
        <is>
          <t>VÄSTERBOTTENS LÄN</t>
        </is>
      </c>
      <c r="G303" t="inlineStr">
        <is>
          <t>ROBERTSFORS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62187-2021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44502</v>
      </c>
      <c r="E304" s="1" t="n">
        <v>46316</v>
      </c>
      <c r="F304" t="inlineStr">
        <is>
          <t>VÄSTERBOTTENS LÄN</t>
        </is>
      </c>
      <c r="G304" t="inlineStr">
        <is>
          <t>ROBERTSFORS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46316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45146</v>
      </c>
      <c r="E306" s="1" t="n">
        <v>46316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46316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46316</v>
      </c>
      <c r="F308" t="inlineStr">
        <is>
          <t>VÄSTERBOTTENS LÄN</t>
        </is>
      </c>
      <c r="G308" t="inlineStr">
        <is>
          <t>ROBERTSFORS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45251</v>
      </c>
      <c r="E309" s="1" t="n">
        <v>46316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46316</v>
      </c>
      <c r="F310" t="inlineStr">
        <is>
          <t>VÄSTERBOTTENS LÄN</t>
        </is>
      </c>
      <c r="G310" t="inlineStr">
        <is>
          <t>ROBERTSFORS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45510</v>
      </c>
      <c r="E311" s="1" t="n">
        <v>46316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46316</v>
      </c>
      <c r="F312" t="inlineStr">
        <is>
          <t>VÄSTERBOTTENS LÄN</t>
        </is>
      </c>
      <c r="G312" t="inlineStr">
        <is>
          <t>ROBERTSFORS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46316</v>
      </c>
      <c r="F313" t="inlineStr">
        <is>
          <t>VÄSTERBOTTENS LÄN</t>
        </is>
      </c>
      <c r="G313" t="inlineStr">
        <is>
          <t>ROBERTSFORS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46316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46316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46316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46316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46316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46316</v>
      </c>
      <c r="F319" t="inlineStr">
        <is>
          <t>VÄSTERBOTTENS LÄN</t>
        </is>
      </c>
      <c r="G319" t="inlineStr">
        <is>
          <t>ROBERTSFORS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9135-2024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45357</v>
      </c>
      <c r="E320" s="1" t="n">
        <v>46316</v>
      </c>
      <c r="F320" t="inlineStr">
        <is>
          <t>VÄSTERBOTTENS LÄN</t>
        </is>
      </c>
      <c r="G320" t="inlineStr">
        <is>
          <t>ROBERTSFORS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45712</v>
      </c>
      <c r="E321" s="1" t="n">
        <v>46316</v>
      </c>
      <c r="F321" t="inlineStr">
        <is>
          <t>VÄSTERBOTTENS LÄN</t>
        </is>
      </c>
      <c r="G321" t="inlineStr">
        <is>
          <t>ROBERTSFORS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46316</v>
      </c>
      <c r="F322" t="inlineStr">
        <is>
          <t>VÄSTERBOTTENS LÄN</t>
        </is>
      </c>
      <c r="G322" t="inlineStr">
        <is>
          <t>ROBERTSFORS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45587</v>
      </c>
      <c r="E323" s="1" t="n">
        <v>46316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46316</v>
      </c>
      <c r="F324" t="inlineStr">
        <is>
          <t>VÄSTERBOTTENS LÄN</t>
        </is>
      </c>
      <c r="G324" t="inlineStr">
        <is>
          <t>ROBERTSFORS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45013</v>
      </c>
      <c r="E325" s="1" t="n">
        <v>46316</v>
      </c>
      <c r="F325" t="inlineStr">
        <is>
          <t>VÄSTERBOTTENS LÄN</t>
        </is>
      </c>
      <c r="G325" t="inlineStr">
        <is>
          <t>ROBERTSFORS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46316</v>
      </c>
      <c r="F326" t="inlineStr">
        <is>
          <t>VÄSTERBOTTENS LÄN</t>
        </is>
      </c>
      <c r="G326" t="inlineStr">
        <is>
          <t>ROBERTSFORS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45502</v>
      </c>
      <c r="E327" s="1" t="n">
        <v>46316</v>
      </c>
      <c r="F327" t="inlineStr">
        <is>
          <t>VÄSTERBOTTENS LÄN</t>
        </is>
      </c>
      <c r="G327" t="inlineStr">
        <is>
          <t>ROBERTSFORS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46316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46316</v>
      </c>
      <c r="F329" t="inlineStr">
        <is>
          <t>VÄSTERBOTTENS LÄN</t>
        </is>
      </c>
      <c r="G329" t="inlineStr">
        <is>
          <t>ROBERTSFORS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46160</v>
      </c>
      <c r="E330" s="1" t="n">
        <v>46316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45042</v>
      </c>
      <c r="E331" s="1" t="n">
        <v>46316</v>
      </c>
      <c r="F331" t="inlineStr">
        <is>
          <t>VÄSTERBOTTENS LÄN</t>
        </is>
      </c>
      <c r="G331" t="inlineStr">
        <is>
          <t>ROBERTSFORS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45679</v>
      </c>
      <c r="E332" s="1" t="n">
        <v>46316</v>
      </c>
      <c r="F332" t="inlineStr">
        <is>
          <t>VÄSTERBOTTENS LÄN</t>
        </is>
      </c>
      <c r="G332" t="inlineStr">
        <is>
          <t>ROBERTSFORS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46316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46316</v>
      </c>
      <c r="F334" t="inlineStr">
        <is>
          <t>VÄSTERBOTTENS LÄN</t>
        </is>
      </c>
      <c r="G334" t="inlineStr">
        <is>
          <t>ROBERTSFORS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46316</v>
      </c>
      <c r="F335" t="inlineStr">
        <is>
          <t>VÄSTERBOTTENS LÄN</t>
        </is>
      </c>
      <c r="G335" t="inlineStr">
        <is>
          <t>ROBERTSFORS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46316</v>
      </c>
      <c r="F336" t="inlineStr">
        <is>
          <t>VÄSTERBOTTENS LÄN</t>
        </is>
      </c>
      <c r="G336" t="inlineStr">
        <is>
          <t>ROBERTSFORS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44734</v>
      </c>
      <c r="E337" s="1" t="n">
        <v>46316</v>
      </c>
      <c r="F337" t="inlineStr">
        <is>
          <t>VÄSTERBOTTENS LÄN</t>
        </is>
      </c>
      <c r="G337" t="inlineStr">
        <is>
          <t>ROBERTSFORS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24647-2026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46171</v>
      </c>
      <c r="E338" s="1" t="n">
        <v>46316</v>
      </c>
      <c r="F338" t="inlineStr">
        <is>
          <t>VÄSTERBOTTENS LÄN</t>
        </is>
      </c>
      <c r="G338" t="inlineStr">
        <is>
          <t>ROBERTSFORS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46316</v>
      </c>
      <c r="F339" t="inlineStr">
        <is>
          <t>VÄSTERBOTTENS LÄN</t>
        </is>
      </c>
      <c r="G339" t="inlineStr">
        <is>
          <t>ROBERTSFORS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45205</v>
      </c>
      <c r="E340" s="1" t="n">
        <v>46316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45386</v>
      </c>
      <c r="E341" s="1" t="n">
        <v>46316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46316</v>
      </c>
      <c r="F342" t="inlineStr">
        <is>
          <t>VÄSTERBOTTENS LÄN</t>
        </is>
      </c>
      <c r="G342" t="inlineStr">
        <is>
          <t>ROBERTSFORS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46316</v>
      </c>
      <c r="F343" t="inlineStr">
        <is>
          <t>VÄSTERBOTTENS LÄN</t>
        </is>
      </c>
      <c r="G343" t="inlineStr">
        <is>
          <t>ROBERTSFORS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45020</v>
      </c>
      <c r="E344" s="1" t="n">
        <v>46316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Sveaskog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46316</v>
      </c>
      <c r="F345" t="inlineStr">
        <is>
          <t>VÄSTERBOTTENS LÄN</t>
        </is>
      </c>
      <c r="G345" t="inlineStr">
        <is>
          <t>ROBERTSFORS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25847-2026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46176</v>
      </c>
      <c r="E346" s="1" t="n">
        <v>46316</v>
      </c>
      <c r="F346" t="inlineStr">
        <is>
          <t>VÄSTERBOTTENS LÄN</t>
        </is>
      </c>
      <c r="G346" t="inlineStr">
        <is>
          <t>ROBERTSFORS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46316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46316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46316</v>
      </c>
      <c r="F349" t="inlineStr">
        <is>
          <t>VÄSTERBOTTENS LÄN</t>
        </is>
      </c>
      <c r="G349" t="inlineStr">
        <is>
          <t>ROBERTSFORS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46316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46316</v>
      </c>
      <c r="F351" t="inlineStr">
        <is>
          <t>VÄSTERBOTTENS LÄN</t>
        </is>
      </c>
      <c r="G351" t="inlineStr">
        <is>
          <t>ROBERTSFORS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46316</v>
      </c>
      <c r="F352" t="inlineStr">
        <is>
          <t>VÄSTERBOTTENS LÄN</t>
        </is>
      </c>
      <c r="G352" t="inlineStr">
        <is>
          <t>ROBERTSFORS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45129</v>
      </c>
      <c r="E353" s="1" t="n">
        <v>46316</v>
      </c>
      <c r="F353" t="inlineStr">
        <is>
          <t>VÄSTERBOTTENS LÄN</t>
        </is>
      </c>
      <c r="G353" t="inlineStr">
        <is>
          <t>ROBERTSFORS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43027-2023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45182</v>
      </c>
      <c r="E354" s="1" t="n">
        <v>46316</v>
      </c>
      <c r="F354" t="inlineStr">
        <is>
          <t>VÄSTERBOTTENS LÄN</t>
        </is>
      </c>
      <c r="G354" t="inlineStr">
        <is>
          <t>ROBERTSFORS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46316</v>
      </c>
      <c r="F355" t="inlineStr">
        <is>
          <t>VÄSTERBOTTENS LÄN</t>
        </is>
      </c>
      <c r="G355" t="inlineStr">
        <is>
          <t>ROBERTSFORS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46316</v>
      </c>
      <c r="F356" t="inlineStr">
        <is>
          <t>VÄSTERBOTTENS LÄN</t>
        </is>
      </c>
      <c r="G356" t="inlineStr">
        <is>
          <t>ROBERTSFORS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46316</v>
      </c>
      <c r="F357" t="inlineStr">
        <is>
          <t>VÄSTERBOTTENS LÄN</t>
        </is>
      </c>
      <c r="G357" t="inlineStr">
        <is>
          <t>ROBERTSFORS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46185</v>
      </c>
      <c r="E358" s="1" t="n">
        <v>46316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46316</v>
      </c>
      <c r="F359" t="inlineStr">
        <is>
          <t>VÄSTERBOTTENS LÄN</t>
        </is>
      </c>
      <c r="G359" t="inlineStr">
        <is>
          <t>ROBERTSFORS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46316</v>
      </c>
      <c r="F360" t="inlineStr">
        <is>
          <t>VÄSTERBOTTENS LÄN</t>
        </is>
      </c>
      <c r="G360" t="inlineStr">
        <is>
          <t>ROBERTSFORS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46316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46316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45404</v>
      </c>
      <c r="E363" s="1" t="n">
        <v>46316</v>
      </c>
      <c r="F363" t="inlineStr">
        <is>
          <t>VÄSTERBOTTENS LÄN</t>
        </is>
      </c>
      <c r="G363" t="inlineStr">
        <is>
          <t>ROBERTSFORS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46316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SCA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46316</v>
      </c>
      <c r="F365" t="inlineStr">
        <is>
          <t>VÄSTERBOTTENS LÄN</t>
        </is>
      </c>
      <c r="G365" t="inlineStr">
        <is>
          <t>ROBERTSFORS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46316</v>
      </c>
      <c r="F366" t="inlineStr">
        <is>
          <t>VÄSTERBOTTENS LÄN</t>
        </is>
      </c>
      <c r="G366" t="inlineStr">
        <is>
          <t>ROBERTSFORS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54968-2024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45620</v>
      </c>
      <c r="E367" s="1" t="n">
        <v>46316</v>
      </c>
      <c r="F367" t="inlineStr">
        <is>
          <t>VÄSTERBOTTENS LÄN</t>
        </is>
      </c>
      <c r="G367" t="inlineStr">
        <is>
          <t>ROBERTSFORS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46316</v>
      </c>
      <c r="F368" t="inlineStr">
        <is>
          <t>VÄSTERBOTTENS LÄN</t>
        </is>
      </c>
      <c r="G368" t="inlineStr">
        <is>
          <t>ROBERTSFORS</t>
        </is>
      </c>
      <c r="I368" t="n">
        <v>10.5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45160</v>
      </c>
      <c r="E369" s="1" t="n">
        <v>46316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45635</v>
      </c>
      <c r="E370" s="1" t="n">
        <v>46316</v>
      </c>
      <c r="F370" t="inlineStr">
        <is>
          <t>VÄSTERBOTTENS LÄN</t>
        </is>
      </c>
      <c r="G370" t="inlineStr">
        <is>
          <t>ROBERTSFORS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46316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45458</v>
      </c>
      <c r="E372" s="1" t="n">
        <v>46316</v>
      </c>
      <c r="F372" t="inlineStr">
        <is>
          <t>VÄSTERBOTTENS LÄN</t>
        </is>
      </c>
      <c r="G372" t="inlineStr">
        <is>
          <t>ROBERTSFORS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46316</v>
      </c>
      <c r="F373" t="inlineStr">
        <is>
          <t>VÄSTERBOTTENS LÄN</t>
        </is>
      </c>
      <c r="G373" t="inlineStr">
        <is>
          <t>ROBERTSFORS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45133</v>
      </c>
      <c r="E374" s="1" t="n">
        <v>46316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46316</v>
      </c>
      <c r="F375" t="inlineStr">
        <is>
          <t>VÄSTERBOTTENS LÄN</t>
        </is>
      </c>
      <c r="G375" t="inlineStr">
        <is>
          <t>ROBERTSFORS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29600-2026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46316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SCA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46316</v>
      </c>
      <c r="F377" t="inlineStr">
        <is>
          <t>VÄSTERBOTTENS LÄN</t>
        </is>
      </c>
      <c r="G377" t="inlineStr">
        <is>
          <t>ROBERTSFORS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46316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46203</v>
      </c>
      <c r="E379" s="1" t="n">
        <v>46316</v>
      </c>
      <c r="F379" t="inlineStr">
        <is>
          <t>VÄSTERBOTTENS LÄN</t>
        </is>
      </c>
      <c r="G379" t="inlineStr">
        <is>
          <t>ROBERTSFORS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45551</v>
      </c>
      <c r="E380" s="1" t="n">
        <v>46316</v>
      </c>
      <c r="F380" t="inlineStr">
        <is>
          <t>VÄSTERBOTTENS LÄN</t>
        </is>
      </c>
      <c r="G380" t="inlineStr">
        <is>
          <t>ROBERTSFORS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46316</v>
      </c>
      <c r="F381" t="inlineStr">
        <is>
          <t>VÄSTERBOTTENS LÄN</t>
        </is>
      </c>
      <c r="G381" t="inlineStr">
        <is>
          <t>ROBERTSFORS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45268</v>
      </c>
      <c r="E382" s="1" t="n">
        <v>46316</v>
      </c>
      <c r="F382" t="inlineStr">
        <is>
          <t>VÄSTERBOTTENS LÄN</t>
        </is>
      </c>
      <c r="G382" t="inlineStr">
        <is>
          <t>ROBERTSFORS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46205</v>
      </c>
      <c r="E383" s="1" t="n">
        <v>46316</v>
      </c>
      <c r="F383" t="inlineStr">
        <is>
          <t>VÄSTERBOTTENS LÄN</t>
        </is>
      </c>
      <c r="G383" t="inlineStr">
        <is>
          <t>ROBERTSFORS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46316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45307</v>
      </c>
      <c r="E385" s="1" t="n">
        <v>46316</v>
      </c>
      <c r="F385" t="inlineStr">
        <is>
          <t>VÄSTERBOTTENS LÄN</t>
        </is>
      </c>
      <c r="G385" t="inlineStr">
        <is>
          <t>ROBERTSFORS</t>
        </is>
      </c>
      <c r="I385" t="n">
        <v>12.1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46316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46316</v>
      </c>
      <c r="F387" t="inlineStr">
        <is>
          <t>VÄSTERBOTTENS LÄN</t>
        </is>
      </c>
      <c r="G387" t="inlineStr">
        <is>
          <t>ROBERTSFORS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45301</v>
      </c>
      <c r="E388" s="1" t="n">
        <v>46316</v>
      </c>
      <c r="F388" t="inlineStr">
        <is>
          <t>VÄSTERBOTTENS LÄN</t>
        </is>
      </c>
      <c r="G388" t="inlineStr">
        <is>
          <t>ROBERTSFORS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45712</v>
      </c>
      <c r="E389" s="1" t="n">
        <v>46316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45261</v>
      </c>
      <c r="E390" s="1" t="n">
        <v>46316</v>
      </c>
      <c r="F390" t="inlineStr">
        <is>
          <t>VÄSTERBOTTENS LÄN</t>
        </is>
      </c>
      <c r="G390" t="inlineStr">
        <is>
          <t>ROBERTSFORS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46316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46316</v>
      </c>
      <c r="F392" t="inlineStr">
        <is>
          <t>VÄSTERBOTTENS LÄN</t>
        </is>
      </c>
      <c r="G392" t="inlineStr">
        <is>
          <t>ROBERTSFORS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46316</v>
      </c>
      <c r="F393" t="inlineStr">
        <is>
          <t>VÄSTERBOTTENS LÄN</t>
        </is>
      </c>
      <c r="G393" t="inlineStr">
        <is>
          <t>ROBERTSFORS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46225</v>
      </c>
      <c r="E394" s="1" t="n">
        <v>46316</v>
      </c>
      <c r="F394" t="inlineStr">
        <is>
          <t>VÄSTERBOTTENS LÄN</t>
        </is>
      </c>
      <c r="G394" t="inlineStr">
        <is>
          <t>ROBERTSFORS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46225</v>
      </c>
      <c r="E395" s="1" t="n">
        <v>46316</v>
      </c>
      <c r="F395" t="inlineStr">
        <is>
          <t>VÄSTERBOTTENS LÄN</t>
        </is>
      </c>
      <c r="G395" t="inlineStr">
        <is>
          <t>ROBERTSFORS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46225</v>
      </c>
      <c r="E396" s="1" t="n">
        <v>46316</v>
      </c>
      <c r="F396" t="inlineStr">
        <is>
          <t>VÄSTERBOTTENS LÄN</t>
        </is>
      </c>
      <c r="G396" t="inlineStr">
        <is>
          <t>ROBERTSFORS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45176</v>
      </c>
      <c r="E397" s="1" t="n">
        <v>46316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10330-2024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45365</v>
      </c>
      <c r="E398" s="1" t="n">
        <v>46316</v>
      </c>
      <c r="F398" t="inlineStr">
        <is>
          <t>VÄSTERBOTTENS LÄN</t>
        </is>
      </c>
      <c r="G398" t="inlineStr">
        <is>
          <t>ROBERTSFORS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31806-2026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46230</v>
      </c>
      <c r="E399" s="1" t="n">
        <v>46316</v>
      </c>
      <c r="F399" t="inlineStr">
        <is>
          <t>VÄSTERBOTTENS LÄN</t>
        </is>
      </c>
      <c r="G399" t="inlineStr">
        <is>
          <t>ROBERTSFORS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46316</v>
      </c>
      <c r="F400" t="inlineStr">
        <is>
          <t>VÄSTERBOTTENS LÄN</t>
        </is>
      </c>
      <c r="G400" t="inlineStr">
        <is>
          <t>ROBERTSFORS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45568</v>
      </c>
      <c r="E401" s="1" t="n">
        <v>46316</v>
      </c>
      <c r="F401" t="inlineStr">
        <is>
          <t>VÄSTERBOTTENS LÄN</t>
        </is>
      </c>
      <c r="G401" t="inlineStr">
        <is>
          <t>ROBERTSFORS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45667</v>
      </c>
      <c r="E402" s="1" t="n">
        <v>46316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52832-2024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45610</v>
      </c>
      <c r="E403" s="1" t="n">
        <v>46316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SCA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46279</v>
      </c>
      <c r="E404" s="1" t="n">
        <v>46316</v>
      </c>
      <c r="F404" t="inlineStr">
        <is>
          <t>VÄSTERBOTTENS LÄN</t>
        </is>
      </c>
      <c r="G404" t="inlineStr">
        <is>
          <t>ROBERTSFORS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46279</v>
      </c>
      <c r="E405" s="1" t="n">
        <v>46316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37613-2026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46276</v>
      </c>
      <c r="E406" s="1" t="n">
        <v>46316</v>
      </c>
      <c r="F406" t="inlineStr">
        <is>
          <t>VÄSTERBOTTENS LÄN</t>
        </is>
      </c>
      <c r="G406" t="inlineStr">
        <is>
          <t>ROBERTSFORS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46316</v>
      </c>
      <c r="F407" t="inlineStr">
        <is>
          <t>VÄSTERBOTTENS LÄN</t>
        </is>
      </c>
      <c r="G407" t="inlineStr">
        <is>
          <t>ROBERTSFORS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34771-2024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45526</v>
      </c>
      <c r="E408" s="1" t="n">
        <v>46316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46279</v>
      </c>
      <c r="E409" s="1" t="n">
        <v>46316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46316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46276</v>
      </c>
      <c r="E411" s="1" t="n">
        <v>46316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19776-2024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46316</v>
      </c>
      <c r="F412" t="inlineStr">
        <is>
          <t>VÄSTERBOTTENS LÄN</t>
        </is>
      </c>
      <c r="G412" t="inlineStr">
        <is>
          <t>ROBERTSFORS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46316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46280</v>
      </c>
      <c r="E414" s="1" t="n">
        <v>46316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46316</v>
      </c>
      <c r="F415" t="inlineStr">
        <is>
          <t>VÄSTERBOTTENS LÄN</t>
        </is>
      </c>
      <c r="G415" t="inlineStr">
        <is>
          <t>ROBERTSFORS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60882-2024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45644</v>
      </c>
      <c r="E416" s="1" t="n">
        <v>46316</v>
      </c>
      <c r="F416" t="inlineStr">
        <is>
          <t>VÄSTERBOTTENS LÄN</t>
        </is>
      </c>
      <c r="G416" t="inlineStr">
        <is>
          <t>ROBERTSFORS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46239</v>
      </c>
      <c r="E417" s="1" t="n">
        <v>46316</v>
      </c>
      <c r="F417" t="inlineStr">
        <is>
          <t>VÄSTERBOTTENS LÄN</t>
        </is>
      </c>
      <c r="G417" t="inlineStr">
        <is>
          <t>ROBERTSFORS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46240</v>
      </c>
      <c r="E418" s="1" t="n">
        <v>46316</v>
      </c>
      <c r="F418" t="inlineStr">
        <is>
          <t>VÄSTERBOTTENS LÄN</t>
        </is>
      </c>
      <c r="G418" t="inlineStr">
        <is>
          <t>ROBERTSFORS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46240</v>
      </c>
      <c r="E419" s="1" t="n">
        <v>46316</v>
      </c>
      <c r="F419" t="inlineStr">
        <is>
          <t>VÄSTERBOTTENS LÄN</t>
        </is>
      </c>
      <c r="G419" t="inlineStr">
        <is>
          <t>ROBERTSFORS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46316</v>
      </c>
      <c r="F420" t="inlineStr">
        <is>
          <t>VÄSTERBOTTENS LÄN</t>
        </is>
      </c>
      <c r="G420" t="inlineStr">
        <is>
          <t>ROBERTSFORS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46316</v>
      </c>
      <c r="F421" t="inlineStr">
        <is>
          <t>VÄSTERBOTTENS LÄN</t>
        </is>
      </c>
      <c r="G421" t="inlineStr">
        <is>
          <t>ROBERTSFORS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46282</v>
      </c>
      <c r="E422" s="1" t="n">
        <v>46316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32512-2026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46239</v>
      </c>
      <c r="E423" s="1" t="n">
        <v>46316</v>
      </c>
      <c r="F423" t="inlineStr">
        <is>
          <t>VÄSTERBOTTENS LÄN</t>
        </is>
      </c>
      <c r="G423" t="inlineStr">
        <is>
          <t>ROBERTSFORS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46316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50448-2024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45601</v>
      </c>
      <c r="E425" s="1" t="n">
        <v>46316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46316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46240</v>
      </c>
      <c r="E427" s="1" t="n">
        <v>46316</v>
      </c>
      <c r="F427" t="inlineStr">
        <is>
          <t>VÄSTERBOTTENS LÄN</t>
        </is>
      </c>
      <c r="G427" t="inlineStr">
        <is>
          <t>ROBERTSFORS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46316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46240</v>
      </c>
      <c r="E429" s="1" t="n">
        <v>46316</v>
      </c>
      <c r="F429" t="inlineStr">
        <is>
          <t>VÄSTERBOTTENS LÄN</t>
        </is>
      </c>
      <c r="G429" t="inlineStr">
        <is>
          <t>ROBERTSFORS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53984-2022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44876</v>
      </c>
      <c r="E430" s="1" t="n">
        <v>46316</v>
      </c>
      <c r="F430" t="inlineStr">
        <is>
          <t>VÄSTERBOTTENS LÄN</t>
        </is>
      </c>
      <c r="G430" t="inlineStr">
        <is>
          <t>ROBERTSFORS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46316</v>
      </c>
      <c r="F431" t="inlineStr">
        <is>
          <t>VÄSTERBOTTENS LÄN</t>
        </is>
      </c>
      <c r="G431" t="inlineStr">
        <is>
          <t>ROBERTSFORS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46286</v>
      </c>
      <c r="E432" s="1" t="n">
        <v>46316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46316</v>
      </c>
      <c r="F433" t="inlineStr">
        <is>
          <t>VÄSTERBOTTENS LÄN</t>
        </is>
      </c>
      <c r="G433" t="inlineStr">
        <is>
          <t>ROBERTSFORS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38916-2026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46286</v>
      </c>
      <c r="E434" s="1" t="n">
        <v>46316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46316</v>
      </c>
      <c r="F435" t="inlineStr">
        <is>
          <t>VÄSTERBOTTENS LÄN</t>
        </is>
      </c>
      <c r="G435" t="inlineStr">
        <is>
          <t>ROBERTSFORS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45463</v>
      </c>
      <c r="E436" s="1" t="n">
        <v>46316</v>
      </c>
      <c r="F436" t="inlineStr">
        <is>
          <t>VÄSTERBOTTENS LÄN</t>
        </is>
      </c>
      <c r="G436" t="inlineStr">
        <is>
          <t>ROBERTSFORS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45029</v>
      </c>
      <c r="E437" s="1" t="n">
        <v>46316</v>
      </c>
      <c r="F437" t="inlineStr">
        <is>
          <t>VÄSTERBOTTENS LÄN</t>
        </is>
      </c>
      <c r="G437" t="inlineStr">
        <is>
          <t>ROBERTSFORS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46288</v>
      </c>
      <c r="E438" s="1" t="n">
        <v>46316</v>
      </c>
      <c r="F438" t="inlineStr">
        <is>
          <t>VÄSTERBOTTENS LÄN</t>
        </is>
      </c>
      <c r="G438" t="inlineStr">
        <is>
          <t>ROBERTSFORS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39696-2026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46289</v>
      </c>
      <c r="E439" s="1" t="n">
        <v>46316</v>
      </c>
      <c r="F439" t="inlineStr">
        <is>
          <t>VÄSTERBOTTENS LÄN</t>
        </is>
      </c>
      <c r="G439" t="inlineStr">
        <is>
          <t>ROBERTSFORS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46289</v>
      </c>
      <c r="E440" s="1" t="n">
        <v>46316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11.5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39256-2026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46288</v>
      </c>
      <c r="E441" s="1" t="n">
        <v>46316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46316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14.1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45565</v>
      </c>
      <c r="E443" s="1" t="n">
        <v>46316</v>
      </c>
      <c r="F443" t="inlineStr">
        <is>
          <t>VÄSTERBOTTENS LÄN</t>
        </is>
      </c>
      <c r="G443" t="inlineStr">
        <is>
          <t>ROBERTSFORS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46240</v>
      </c>
      <c r="E444" s="1" t="n">
        <v>46316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45627</v>
      </c>
      <c r="E445" s="1" t="n">
        <v>46316</v>
      </c>
      <c r="F445" t="inlineStr">
        <is>
          <t>VÄSTERBOTTENS LÄN</t>
        </is>
      </c>
      <c r="G445" t="inlineStr">
        <is>
          <t>ROBERTSFORS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46316</v>
      </c>
      <c r="F446" t="inlineStr">
        <is>
          <t>VÄSTERBOTTENS LÄN</t>
        </is>
      </c>
      <c r="G446" t="inlineStr">
        <is>
          <t>ROBERTSFORS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39959-2026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46291</v>
      </c>
      <c r="E447" s="1" t="n">
        <v>46316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46316</v>
      </c>
      <c r="F448" t="inlineStr">
        <is>
          <t>VÄSTERBOTTENS LÄN</t>
        </is>
      </c>
      <c r="G448" t="inlineStr">
        <is>
          <t>ROBERTSFORS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46316</v>
      </c>
      <c r="F449" t="inlineStr">
        <is>
          <t>VÄSTERBOTTENS LÄN</t>
        </is>
      </c>
      <c r="G449" t="inlineStr">
        <is>
          <t>ROBERTSFORS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39960-2026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46291</v>
      </c>
      <c r="E450" s="1" t="n">
        <v>46316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19126-2026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46316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46316</v>
      </c>
      <c r="F452" t="inlineStr">
        <is>
          <t>VÄSTERBOTTENS LÄN</t>
        </is>
      </c>
      <c r="G452" t="inlineStr">
        <is>
          <t>ROBERTSFORS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58426-2022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44901</v>
      </c>
      <c r="E453" s="1" t="n">
        <v>46316</v>
      </c>
      <c r="F453" t="inlineStr">
        <is>
          <t>VÄSTERBOTTENS LÄN</t>
        </is>
      </c>
      <c r="G453" t="inlineStr">
        <is>
          <t>ROBERTSFORS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50046-2024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45600</v>
      </c>
      <c r="E454" s="1" t="n">
        <v>46316</v>
      </c>
      <c r="F454" t="inlineStr">
        <is>
          <t>VÄSTERBOTTENS LÄN</t>
        </is>
      </c>
      <c r="G454" t="inlineStr">
        <is>
          <t>ROBERTSFORS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27894-2026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46316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58240-2023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45250</v>
      </c>
      <c r="E456" s="1" t="n">
        <v>46316</v>
      </c>
      <c r="F456" t="inlineStr">
        <is>
          <t>VÄSTERBOTTENS LÄN</t>
        </is>
      </c>
      <c r="G456" t="inlineStr">
        <is>
          <t>ROBERTSFORS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52833-2024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45610</v>
      </c>
      <c r="E457" s="1" t="n">
        <v>46316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46663-2024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45583</v>
      </c>
      <c r="E458" s="1" t="n">
        <v>46316</v>
      </c>
      <c r="F458" t="inlineStr">
        <is>
          <t>VÄSTERBOTTENS LÄN</t>
        </is>
      </c>
      <c r="G458" t="inlineStr">
        <is>
          <t>ROBERTSFORS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44571</v>
      </c>
      <c r="E459" s="1" t="n">
        <v>46316</v>
      </c>
      <c r="F459" t="inlineStr">
        <is>
          <t>VÄSTERBOTTENS LÄN</t>
        </is>
      </c>
      <c r="G459" t="inlineStr">
        <is>
          <t>ROBERTSFORS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58790-2022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44895</v>
      </c>
      <c r="E460" s="1" t="n">
        <v>46316</v>
      </c>
      <c r="F460" t="inlineStr">
        <is>
          <t>VÄSTERBOTTENS LÄN</t>
        </is>
      </c>
      <c r="G460" t="inlineStr">
        <is>
          <t>ROBERTSFORS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26368-2024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45468</v>
      </c>
      <c r="E461" s="1" t="n">
        <v>46316</v>
      </c>
      <c r="F461" t="inlineStr">
        <is>
          <t>VÄSTERBOTTENS LÄN</t>
        </is>
      </c>
      <c r="G461" t="inlineStr">
        <is>
          <t>ROBERTSFORS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45545</v>
      </c>
      <c r="E462" s="1" t="n">
        <v>46316</v>
      </c>
      <c r="F462" t="inlineStr">
        <is>
          <t>VÄSTERBOTTENS LÄN</t>
        </is>
      </c>
      <c r="G462" t="inlineStr">
        <is>
          <t>ROBERTSFORS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46316</v>
      </c>
      <c r="F463" t="inlineStr">
        <is>
          <t>VÄSTERBOTTENS LÄN</t>
        </is>
      </c>
      <c r="G463" t="inlineStr">
        <is>
          <t>ROBERTSFORS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46297</v>
      </c>
      <c r="E464" s="1" t="n">
        <v>46316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41025-2026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46297</v>
      </c>
      <c r="E465" s="1" t="n">
        <v>46316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8238-2025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45708</v>
      </c>
      <c r="E466" s="1" t="n">
        <v>46316</v>
      </c>
      <c r="F466" t="inlineStr">
        <is>
          <t>VÄSTERBOTTENS LÄN</t>
        </is>
      </c>
      <c r="G466" t="inlineStr">
        <is>
          <t>ROBERTSFORS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46297</v>
      </c>
      <c r="E467" s="1" t="n">
        <v>46316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46297</v>
      </c>
      <c r="E468" s="1" t="n">
        <v>46316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46316</v>
      </c>
      <c r="F469" t="inlineStr">
        <is>
          <t>VÄSTERBOTTENS LÄN</t>
        </is>
      </c>
      <c r="G469" t="inlineStr">
        <is>
          <t>ROBERTSFORS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45496</v>
      </c>
      <c r="E470" s="1" t="n">
        <v>46316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10173-2022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44622</v>
      </c>
      <c r="E471" s="1" t="n">
        <v>46316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25572-2023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45082</v>
      </c>
      <c r="E472" s="1" t="n">
        <v>46316</v>
      </c>
      <c r="F472" t="inlineStr">
        <is>
          <t>VÄSTERBOTTENS LÄN</t>
        </is>
      </c>
      <c r="G472" t="inlineStr">
        <is>
          <t>ROBERTSFORS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46316</v>
      </c>
      <c r="F473" t="inlineStr">
        <is>
          <t>VÄSTERBOTTENS LÄN</t>
        </is>
      </c>
      <c r="G473" t="inlineStr">
        <is>
          <t>ROBERTSFORS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44952</v>
      </c>
      <c r="E474" s="1" t="n">
        <v>46316</v>
      </c>
      <c r="F474" t="inlineStr">
        <is>
          <t>VÄSTERBOTTENS LÄN</t>
        </is>
      </c>
      <c r="G474" t="inlineStr">
        <is>
          <t>ROBERTSFORS</t>
        </is>
      </c>
      <c r="I474" t="n">
        <v>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46255</v>
      </c>
      <c r="E475" s="1" t="n">
        <v>46316</v>
      </c>
      <c r="F475" t="inlineStr">
        <is>
          <t>VÄSTERBOTTENS LÄN</t>
        </is>
      </c>
      <c r="G475" t="inlineStr">
        <is>
          <t>ROBERTSFORS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46316</v>
      </c>
      <c r="F476" t="inlineStr">
        <is>
          <t>VÄSTERBOTTENS LÄN</t>
        </is>
      </c>
      <c r="G476" t="inlineStr">
        <is>
          <t>ROBERTSFORS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46316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46316</v>
      </c>
      <c r="F478" t="inlineStr">
        <is>
          <t>VÄSTERBOTTENS LÄN</t>
        </is>
      </c>
      <c r="G478" t="inlineStr">
        <is>
          <t>ROBERTSFORS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46316</v>
      </c>
      <c r="F479" t="inlineStr">
        <is>
          <t>VÄSTERBOTTENS LÄN</t>
        </is>
      </c>
      <c r="G479" t="inlineStr">
        <is>
          <t>ROBERTSFORS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8256-2025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45708</v>
      </c>
      <c r="E480" s="1" t="n">
        <v>46316</v>
      </c>
      <c r="F480" t="inlineStr">
        <is>
          <t>VÄSTERBOTTENS LÄN</t>
        </is>
      </c>
      <c r="G480" t="inlineStr">
        <is>
          <t>ROBERTSFORS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46316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46259</v>
      </c>
      <c r="E482" s="1" t="n">
        <v>46316</v>
      </c>
      <c r="F482" t="inlineStr">
        <is>
          <t>VÄSTERBOTTENS LÄN</t>
        </is>
      </c>
      <c r="G482" t="inlineStr">
        <is>
          <t>ROBERTSFORS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46302</v>
      </c>
      <c r="E483" s="1" t="n">
        <v>46316</v>
      </c>
      <c r="F483" t="inlineStr">
        <is>
          <t>VÄSTERBOTTENS LÄN</t>
        </is>
      </c>
      <c r="G483" t="inlineStr">
        <is>
          <t>ROBERTSFORS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46316</v>
      </c>
      <c r="F484" t="inlineStr">
        <is>
          <t>VÄSTERBOTTENS LÄN</t>
        </is>
      </c>
      <c r="G484" t="inlineStr">
        <is>
          <t>ROBERTSFORS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46316</v>
      </c>
      <c r="F485" t="inlineStr">
        <is>
          <t>VÄSTERBOTTENS LÄN</t>
        </is>
      </c>
      <c r="G485" t="inlineStr">
        <is>
          <t>ROBERTSFORS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46316</v>
      </c>
      <c r="F486" t="inlineStr">
        <is>
          <t>VÄSTERBOTTENS LÄN</t>
        </is>
      </c>
      <c r="G486" t="inlineStr">
        <is>
          <t>ROBERTSFORS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43095-2023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46316</v>
      </c>
      <c r="F487" t="inlineStr">
        <is>
          <t>VÄSTERBOTTENS LÄN</t>
        </is>
      </c>
      <c r="G487" t="inlineStr">
        <is>
          <t>ROBERTSFORS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41844-2026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46303</v>
      </c>
      <c r="E488" s="1" t="n">
        <v>46316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46303</v>
      </c>
      <c r="E489" s="1" t="n">
        <v>46316</v>
      </c>
      <c r="F489" t="inlineStr">
        <is>
          <t>VÄSTERBOTTENS LÄN</t>
        </is>
      </c>
      <c r="G489" t="inlineStr">
        <is>
          <t>ROBERTSFORS</t>
        </is>
      </c>
      <c r="I489" t="n">
        <v>10.5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46316</v>
      </c>
      <c r="F490" t="inlineStr">
        <is>
          <t>VÄSTERBOTTENS LÄN</t>
        </is>
      </c>
      <c r="G490" t="inlineStr">
        <is>
          <t>ROBERTSFORS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46262</v>
      </c>
      <c r="E491" s="1" t="n">
        <v>46316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58030-2024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45631</v>
      </c>
      <c r="E492" s="1" t="n">
        <v>46316</v>
      </c>
      <c r="F492" t="inlineStr">
        <is>
          <t>VÄSTERBOTTENS LÄN</t>
        </is>
      </c>
      <c r="G492" t="inlineStr">
        <is>
          <t>ROBERTSFORS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46316</v>
      </c>
      <c r="F493" t="inlineStr">
        <is>
          <t>VÄSTERBOTTENS LÄN</t>
        </is>
      </c>
      <c r="G493" t="inlineStr">
        <is>
          <t>ROBERTSFORS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46261</v>
      </c>
      <c r="E494" s="1" t="n">
        <v>46316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46261</v>
      </c>
      <c r="E495" s="1" t="n">
        <v>46316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34029-2023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45135</v>
      </c>
      <c r="E496" s="1" t="n">
        <v>46316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42658-2026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46308</v>
      </c>
      <c r="E497" s="1" t="n">
        <v>46316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46266</v>
      </c>
      <c r="E498" s="1" t="n">
        <v>46316</v>
      </c>
      <c r="F498" t="inlineStr">
        <is>
          <t>VÄSTERBOTTENS LÄN</t>
        </is>
      </c>
      <c r="G498" t="inlineStr">
        <is>
          <t>ROBERTSFORS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45636</v>
      </c>
      <c r="E499" s="1" t="n">
        <v>46316</v>
      </c>
      <c r="F499" t="inlineStr">
        <is>
          <t>VÄSTERBOTTENS LÄN</t>
        </is>
      </c>
      <c r="G499" t="inlineStr">
        <is>
          <t>ROBERTSFORS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46316</v>
      </c>
      <c r="F500" t="inlineStr">
        <is>
          <t>VÄSTERBOTTENS LÄN</t>
        </is>
      </c>
      <c r="G500" t="inlineStr">
        <is>
          <t>ROBERTSFORS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42584-2026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46308</v>
      </c>
      <c r="E501" s="1" t="n">
        <v>46316</v>
      </c>
      <c r="F501" t="inlineStr">
        <is>
          <t>VÄSTERBOTTENS LÄN</t>
        </is>
      </c>
      <c r="G501" t="inlineStr">
        <is>
          <t>ROBERTSFORS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45040</v>
      </c>
      <c r="E502" s="1" t="n">
        <v>46316</v>
      </c>
      <c r="F502" t="inlineStr">
        <is>
          <t>VÄSTERBOTTENS LÄN</t>
        </is>
      </c>
      <c r="G502" t="inlineStr">
        <is>
          <t>ROBERTSFORS</t>
        </is>
      </c>
      <c r="I502" t="n">
        <v>11.5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36369-2026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46316</v>
      </c>
      <c r="F503" t="inlineStr">
        <is>
          <t>VÄSTERBOTTENS LÄN</t>
        </is>
      </c>
      <c r="G503" t="inlineStr">
        <is>
          <t>ROBERTSFORS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17848-2022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44683</v>
      </c>
      <c r="E504" s="1" t="n">
        <v>46316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46268</v>
      </c>
      <c r="E505" s="1" t="n">
        <v>46316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Sveaskog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45530</v>
      </c>
      <c r="E506" s="1" t="n">
        <v>46316</v>
      </c>
      <c r="F506" t="inlineStr">
        <is>
          <t>VÄSTERBOTTENS LÄN</t>
        </is>
      </c>
      <c r="G506" t="inlineStr">
        <is>
          <t>ROBERTSFORS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44960</v>
      </c>
      <c r="E507" s="1" t="n">
        <v>46316</v>
      </c>
      <c r="F507" t="inlineStr">
        <is>
          <t>VÄSTERBOTTENS LÄN</t>
        </is>
      </c>
      <c r="G507" t="inlineStr">
        <is>
          <t>ROBERTSFORS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44588</v>
      </c>
      <c r="E508" s="1" t="n">
        <v>46316</v>
      </c>
      <c r="F508" t="inlineStr">
        <is>
          <t>VÄSTERBOTTENS LÄN</t>
        </is>
      </c>
      <c r="G508" t="inlineStr">
        <is>
          <t>ROBERTSFORS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46269</v>
      </c>
      <c r="E509" s="1" t="n">
        <v>46316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46316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Sveaskog</t>
        </is>
      </c>
      <c r="I510" t="n">
        <v>13.5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43243-2026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46314</v>
      </c>
      <c r="E511" s="1" t="n">
        <v>46316</v>
      </c>
      <c r="F511" t="inlineStr">
        <is>
          <t>VÄSTERBOTTENS LÄN</t>
        </is>
      </c>
      <c r="G511" t="inlineStr">
        <is>
          <t>ROBERTSFORS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43257-2026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46314</v>
      </c>
      <c r="E512" s="1" t="n">
        <v>46316</v>
      </c>
      <c r="F512" t="inlineStr">
        <is>
          <t>VÄSTERBOTTENS LÄN</t>
        </is>
      </c>
      <c r="G512" t="inlineStr">
        <is>
          <t>ROBERTSFORS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46314</v>
      </c>
      <c r="E513" s="1" t="n">
        <v>46316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46316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Sveaskog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46269</v>
      </c>
      <c r="E515" s="1" t="n">
        <v>46316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46316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8.6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46273</v>
      </c>
      <c r="E517" s="1" t="n">
        <v>46316</v>
      </c>
      <c r="F517" t="inlineStr">
        <is>
          <t>VÄSTERBOTTENS LÄN</t>
        </is>
      </c>
      <c r="G517" t="inlineStr">
        <is>
          <t>ROBERTSFORS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43340-2026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46314</v>
      </c>
      <c r="E518" s="1" t="n">
        <v>46316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43345-2026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46314</v>
      </c>
      <c r="E519" s="1" t="n">
        <v>46316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43598-2026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46315</v>
      </c>
      <c r="E520" s="1" t="n">
        <v>46316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46316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46315</v>
      </c>
      <c r="E522" s="1" t="n">
        <v>46316</v>
      </c>
      <c r="F522" t="inlineStr">
        <is>
          <t>VÄSTERBOTTENS LÄN</t>
        </is>
      </c>
      <c r="G522" t="inlineStr">
        <is>
          <t>ROBERTSFORS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46273</v>
      </c>
      <c r="E523" s="1" t="n">
        <v>46316</v>
      </c>
      <c r="F523" t="inlineStr">
        <is>
          <t>VÄSTERBOTTENS LÄN</t>
        </is>
      </c>
      <c r="G523" t="inlineStr">
        <is>
          <t>ROBERTSFORS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46314</v>
      </c>
      <c r="E524" s="1" t="n">
        <v>46316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45659</v>
      </c>
      <c r="E525" s="1" t="n">
        <v>46316</v>
      </c>
      <c r="F525" t="inlineStr">
        <is>
          <t>VÄSTERBOTTENS LÄN</t>
        </is>
      </c>
      <c r="G525" t="inlineStr">
        <is>
          <t>ROBERTSFORS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45525</v>
      </c>
      <c r="E526" s="1" t="n">
        <v>46316</v>
      </c>
      <c r="F526" t="inlineStr">
        <is>
          <t>VÄSTERBOTTENS LÄN</t>
        </is>
      </c>
      <c r="G526" t="inlineStr">
        <is>
          <t>ROBERTSFORS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45692</v>
      </c>
      <c r="E527" s="1" t="n">
        <v>46316</v>
      </c>
      <c r="F527" t="inlineStr">
        <is>
          <t>VÄSTERBOTTENS LÄN</t>
        </is>
      </c>
      <c r="G527" t="inlineStr">
        <is>
          <t>ROBERTSFORS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45671</v>
      </c>
      <c r="E528" s="1" t="n">
        <v>46316</v>
      </c>
      <c r="F528" t="inlineStr">
        <is>
          <t>VÄSTERBOTTENS LÄN</t>
        </is>
      </c>
      <c r="G528" t="inlineStr">
        <is>
          <t>ROBERTSFORS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73557-2021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44551</v>
      </c>
      <c r="E529" s="1" t="n">
        <v>46316</v>
      </c>
      <c r="F529" t="inlineStr">
        <is>
          <t>VÄSTERBOTTENS LÄN</t>
        </is>
      </c>
      <c r="G529" t="inlineStr">
        <is>
          <t>ROBERTSFORS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44732</v>
      </c>
      <c r="E530" s="1" t="n">
        <v>46316</v>
      </c>
      <c r="F530" t="inlineStr">
        <is>
          <t>VÄSTERBOTTENS LÄN</t>
        </is>
      </c>
      <c r="G530" t="inlineStr">
        <is>
          <t>ROBERTSFORS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38092-2022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44811</v>
      </c>
      <c r="E531" s="1" t="n">
        <v>46316</v>
      </c>
      <c r="F531" t="inlineStr">
        <is>
          <t>VÄSTERBOTTENS LÄN</t>
        </is>
      </c>
      <c r="G531" t="inlineStr">
        <is>
          <t>ROBERTSFORS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44699</v>
      </c>
      <c r="E532" s="1" t="n">
        <v>46316</v>
      </c>
      <c r="F532" t="inlineStr">
        <is>
          <t>VÄSTERBOTTENS LÄN</t>
        </is>
      </c>
      <c r="G532" t="inlineStr">
        <is>
          <t>ROBERTSFORS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44901</v>
      </c>
      <c r="E533" s="1" t="n">
        <v>46316</v>
      </c>
      <c r="F533" t="inlineStr">
        <is>
          <t>VÄSTERBOTTENS LÄN</t>
        </is>
      </c>
      <c r="G533" t="inlineStr">
        <is>
          <t>ROBERTSFORS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13533-2023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45005</v>
      </c>
      <c r="E534" s="1" t="n">
        <v>46316</v>
      </c>
      <c r="F534" t="inlineStr">
        <is>
          <t>VÄSTERBOTTENS LÄN</t>
        </is>
      </c>
      <c r="G534" t="inlineStr">
        <is>
          <t>ROBERTSFORS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45148</v>
      </c>
      <c r="E535" s="1" t="n">
        <v>46316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46316</v>
      </c>
      <c r="F536" t="inlineStr">
        <is>
          <t>VÄSTERBOTTENS LÄN</t>
        </is>
      </c>
      <c r="G536" t="inlineStr">
        <is>
          <t>ROBERTSFORS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45687</v>
      </c>
      <c r="E537" s="1" t="n">
        <v>46316</v>
      </c>
      <c r="F537" t="inlineStr">
        <is>
          <t>VÄSTERBOTTENS LÄN</t>
        </is>
      </c>
      <c r="G537" t="inlineStr">
        <is>
          <t>ROBERTSFORS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45701</v>
      </c>
      <c r="E538" s="1" t="n">
        <v>46316</v>
      </c>
      <c r="F538" t="inlineStr">
        <is>
          <t>VÄSTERBOTTENS LÄN</t>
        </is>
      </c>
      <c r="G538" t="inlineStr">
        <is>
          <t>ROBERTSFORS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45161</v>
      </c>
      <c r="E539" s="1" t="n">
        <v>46316</v>
      </c>
      <c r="F539" t="inlineStr">
        <is>
          <t>VÄSTERBOTTENS LÄN</t>
        </is>
      </c>
      <c r="G539" t="inlineStr">
        <is>
          <t>ROBERTSFORS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45246</v>
      </c>
      <c r="E540" s="1" t="n">
        <v>46316</v>
      </c>
      <c r="F540" t="inlineStr">
        <is>
          <t>VÄSTERBOTTENS LÄN</t>
        </is>
      </c>
      <c r="G540" t="inlineStr">
        <is>
          <t>ROBERTSFORS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45246</v>
      </c>
      <c r="E541" s="1" t="n">
        <v>46316</v>
      </c>
      <c r="F541" t="inlineStr">
        <is>
          <t>VÄSTERBOTTENS LÄN</t>
        </is>
      </c>
      <c r="G541" t="inlineStr">
        <is>
          <t>ROBERTSFORS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38083-2023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45160</v>
      </c>
      <c r="E542" s="1" t="n">
        <v>46316</v>
      </c>
      <c r="F542" t="inlineStr">
        <is>
          <t>VÄSTERBOTTENS LÄN</t>
        </is>
      </c>
      <c r="G542" t="inlineStr">
        <is>
          <t>ROBERTSFORS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45644</v>
      </c>
      <c r="E543" s="1" t="n">
        <v>46316</v>
      </c>
      <c r="F543" t="inlineStr">
        <is>
          <t>VÄSTERBOTTENS LÄN</t>
        </is>
      </c>
      <c r="G543" t="inlineStr">
        <is>
          <t>ROBERTSFORS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45628</v>
      </c>
      <c r="E544" s="1" t="n">
        <v>46316</v>
      </c>
      <c r="F544" t="inlineStr">
        <is>
          <t>VÄSTERBOTTENS LÄN</t>
        </is>
      </c>
      <c r="G544" t="inlineStr">
        <is>
          <t>ROBERTSFORS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45495</v>
      </c>
      <c r="E545" s="1" t="n">
        <v>46316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60225-2024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45642</v>
      </c>
      <c r="E546" s="1" t="n">
        <v>46316</v>
      </c>
      <c r="F546" t="inlineStr">
        <is>
          <t>VÄSTERBOTTENS LÄN</t>
        </is>
      </c>
      <c r="G546" t="inlineStr">
        <is>
          <t>ROBERTSFORS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2849-2022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44707</v>
      </c>
      <c r="E547" s="1" t="n">
        <v>46316</v>
      </c>
      <c r="F547" t="inlineStr">
        <is>
          <t>VÄSTERBOTTENS LÄN</t>
        </is>
      </c>
      <c r="G547" t="inlineStr">
        <is>
          <t>ROBERTSFORS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8592-2021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44501</v>
      </c>
      <c r="E548" s="1" t="n">
        <v>46316</v>
      </c>
      <c r="F548" t="inlineStr">
        <is>
          <t>VÄSTERBOTTENS LÄN</t>
        </is>
      </c>
      <c r="G548" t="inlineStr">
        <is>
          <t>ROBERTSFORS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1034-2025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45747</v>
      </c>
      <c r="E549" s="1" t="n">
        <v>46316</v>
      </c>
      <c r="F549" t="inlineStr">
        <is>
          <t>VÄSTERBOTTENS LÄN</t>
        </is>
      </c>
      <c r="G549" t="inlineStr">
        <is>
          <t>ROBERTSFORS</t>
        </is>
      </c>
      <c r="H549" t="inlineStr">
        <is>
          <t>Sveaskog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1249-2025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45762</v>
      </c>
      <c r="E550" s="1" t="n">
        <v>46316</v>
      </c>
      <c r="F550" t="inlineStr">
        <is>
          <t>VÄSTERBOTTENS LÄN</t>
        </is>
      </c>
      <c r="G550" t="inlineStr">
        <is>
          <t>ROBERTSFORS</t>
        </is>
      </c>
      <c r="H550" t="inlineStr">
        <is>
          <t>Holmen skog AB</t>
        </is>
      </c>
      <c r="I550" t="n">
        <v>175.8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702-2026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46092</v>
      </c>
      <c r="E551" s="1" t="n">
        <v>46316</v>
      </c>
      <c r="F551" t="inlineStr">
        <is>
          <t>VÄSTERBOTTENS LÄN</t>
        </is>
      </c>
      <c r="G551" t="inlineStr">
        <is>
          <t>ROBERTSFORS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1273-2026</t>
        </is>
      </c>
      <c r="B552" t="inlineStr">
        <is>
          <t>samrådsanmälan</t>
        </is>
      </c>
      <c r="C552" t="inlineStr">
        <is>
          <t>Skogsgödsling</t>
        </is>
      </c>
      <c r="D552" s="1" t="n">
        <v>46147</v>
      </c>
      <c r="E552" s="1" t="n">
        <v>46316</v>
      </c>
      <c r="F552" t="inlineStr">
        <is>
          <t>VÄSTERBOTTENS LÄN</t>
        </is>
      </c>
      <c r="G552" t="inlineStr">
        <is>
          <t>ROBERTSFORS</t>
        </is>
      </c>
      <c r="I552" t="n">
        <v>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1322-2026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46149</v>
      </c>
      <c r="E553" s="1" t="n">
        <v>46316</v>
      </c>
      <c r="F553" t="inlineStr">
        <is>
          <t>VÄSTERBOTTENS LÄN</t>
        </is>
      </c>
      <c r="G553" t="inlineStr">
        <is>
          <t>ROBERTSFORS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>
      <c r="A554" t="inlineStr">
        <is>
          <t>S 1416-2026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46155</v>
      </c>
      <c r="E554" s="1" t="n">
        <v>46316</v>
      </c>
      <c r="F554" t="inlineStr">
        <is>
          <t>VÄSTERBOTTENS LÄN</t>
        </is>
      </c>
      <c r="G554" t="inlineStr">
        <is>
          <t>ROBERTSFORS</t>
        </is>
      </c>
      <c r="I554" t="n">
        <v>32.7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2026-10-21T02:02:13Z</dcterms:created>
  <dcterms:modified xmlns:dcterms="http://purl.org/dc/terms/" xmlns:xsi="http://www.w3.org/2001/XMLSchema-instance" xsi:type="dcterms:W3CDTF">2026-10-21T02:02:14Z</dcterms:modified>
</cp:coreProperties>
</file>