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46232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46232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46232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46232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46232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46232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46232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46232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46232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46232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46232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46232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46232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46232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46232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46232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46232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46232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46232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46232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46232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46232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46232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46232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46232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46232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46232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46232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46232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46232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5285-2026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46232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HYPERLINK("https://klasma.github.io/Logging_2409/artfynd/A 5285-2026 artfynd.xlsx", "A 5285-2026")</f>
        <v/>
      </c>
      <c r="X47">
        <f>HYPERLINK("https://klasma.github.io/Logging_2409/kartor/A 5285-2026 karta.png", "A 5285-2026")</f>
        <v/>
      </c>
      <c r="Y47">
        <f>HYPERLINK("https://klasma.github.io/Logging_2409/kartor_geotiff/A 5285-2026 georefererad karta.tif", "A 5285-2026")</f>
        <v/>
      </c>
      <c r="AA47">
        <f>HYPERLINK("https://klasma.github.io/Logging_2409/klagomål/A 5285-2026 FSC-klagomål.docx", "A 5285-2026")</f>
        <v/>
      </c>
      <c r="AB47">
        <f>HYPERLINK("https://klasma.github.io/Logging_2409/klagomålsmail/A 5285-2026 FSC-klagomål mail.docx", "A 5285-2026")</f>
        <v/>
      </c>
      <c r="AC47">
        <f>HYPERLINK("https://klasma.github.io/Logging_2409/tillsyn/A 5285-2026 tillsynsbegäran.docx", "A 5285-2026")</f>
        <v/>
      </c>
      <c r="AD47">
        <f>HYPERLINK("https://klasma.github.io/Logging_2409/tillsynsmail/A 5285-2026 tillsynsbegäran mail.docx", "A 5285-2026")</f>
        <v/>
      </c>
      <c r="AE47">
        <f>HYPERLINK("https://klasma.github.io/Logging_2409/fåglar/A 5285-2026 prioriterade fågelarter.docx", "A 5285-2026")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46232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5284-2026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46232</v>
      </c>
      <c r="F49" t="inlineStr">
        <is>
          <t>VÄSTERBOTTENS LÄN</t>
        </is>
      </c>
      <c r="G49" t="inlineStr">
        <is>
          <t>ROBERTSFORS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HYPERLINK("https://klasma.github.io/Logging_2409/artfynd/A 5284-2026 artfynd.xlsx", "A 5284-2026")</f>
        <v/>
      </c>
      <c r="X49">
        <f>HYPERLINK("https://klasma.github.io/Logging_2409/kartor/A 5284-2026 karta.png", "A 5284-2026")</f>
        <v/>
      </c>
      <c r="Y49">
        <f>HYPERLINK("https://klasma.github.io/Logging_2409/kartor_geotiff/A 5284-2026 georefererad karta.tif", "A 5284-2026")</f>
        <v/>
      </c>
      <c r="AA49">
        <f>HYPERLINK("https://klasma.github.io/Logging_2409/klagomål/A 5284-2026 FSC-klagomål.docx", "A 5284-2026")</f>
        <v/>
      </c>
      <c r="AB49">
        <f>HYPERLINK("https://klasma.github.io/Logging_2409/klagomålsmail/A 5284-2026 FSC-klagomål mail.docx", "A 5284-2026")</f>
        <v/>
      </c>
      <c r="AC49">
        <f>HYPERLINK("https://klasma.github.io/Logging_2409/tillsyn/A 5284-2026 tillsynsbegäran.docx", "A 5284-2026")</f>
        <v/>
      </c>
      <c r="AD49">
        <f>HYPERLINK("https://klasma.github.io/Logging_2409/tillsynsmail/A 5284-2026 tillsynsbegäran mail.docx", "A 5284-2026")</f>
        <v/>
      </c>
      <c r="AE49">
        <f>HYPERLINK("https://klasma.github.io/Logging_2409/fåglar/A 5284-2026 prioriterade fågelarter.docx", "A 5284-2026")</f>
        <v/>
      </c>
    </row>
    <row r="50" ht="15" customHeight="1">
      <c r="A50" t="inlineStr">
        <is>
          <t>A 54484-2023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46232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1</v>
      </c>
      <c r="V50" s="2" t="inlineStr">
        <is>
          <t>Dropptaggsvamp</t>
        </is>
      </c>
      <c r="W50">
        <f>HYPERLINK("https://klasma.github.io/Logging_2409/artfynd/A 54484-2023 artfynd.xlsx", "A 54484-2023")</f>
        <v/>
      </c>
      <c r="X50">
        <f>HYPERLINK("https://klasma.github.io/Logging_2409/kartor/A 54484-2023 karta.png", "A 54484-2023")</f>
        <v/>
      </c>
      <c r="Y50">
        <f>HYPERLINK("https://klasma.github.io/Logging_2409/kartor_geotiff/A 54484-2023 georefererad karta.tif", "A 54484-2023")</f>
        <v/>
      </c>
      <c r="AA50">
        <f>HYPERLINK("https://klasma.github.io/Logging_2409/klagomål/A 54484-2023 FSC-klagomål.docx", "A 54484-2023")</f>
        <v/>
      </c>
      <c r="AB50">
        <f>HYPERLINK("https://klasma.github.io/Logging_2409/klagomålsmail/A 54484-2023 FSC-klagomål mail.docx", "A 54484-2023")</f>
        <v/>
      </c>
      <c r="AC50">
        <f>HYPERLINK("https://klasma.github.io/Logging_2409/tillsyn/A 54484-2023 tillsynsbegäran.docx", "A 54484-2023")</f>
        <v/>
      </c>
      <c r="AD50">
        <f>HYPERLINK("https://klasma.github.io/Logging_2409/tillsynsmail/A 54484-2023 tillsynsbegäran mail.docx", "A 54484-2023")</f>
        <v/>
      </c>
    </row>
    <row r="51" ht="15" customHeight="1">
      <c r="A51" t="inlineStr">
        <is>
          <t>A 57284-2023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45245</v>
      </c>
      <c r="E51" s="1" t="n">
        <v>46232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HYPERLINK("https://klasma.github.io/Logging_2409/artfynd/A 57284-2023 artfynd.xlsx", "A 57284-2023")</f>
        <v/>
      </c>
      <c r="X51">
        <f>HYPERLINK("https://klasma.github.io/Logging_2409/kartor/A 57284-2023 karta.png", "A 57284-2023")</f>
        <v/>
      </c>
      <c r="Y51">
        <f>HYPERLINK("https://klasma.github.io/Logging_2409/kartor_geotiff/A 57284-2023 georefererad karta.tif", "A 57284-2023")</f>
        <v/>
      </c>
      <c r="AA51">
        <f>HYPERLINK("https://klasma.github.io/Logging_2409/klagomål/A 57284-2023 FSC-klagomål.docx", "A 57284-2023")</f>
        <v/>
      </c>
      <c r="AB51">
        <f>HYPERLINK("https://klasma.github.io/Logging_2409/klagomålsmail/A 57284-2023 FSC-klagomål mail.docx", "A 57284-2023")</f>
        <v/>
      </c>
      <c r="AC51">
        <f>HYPERLINK("https://klasma.github.io/Logging_2409/tillsyn/A 57284-2023 tillsynsbegäran.docx", "A 57284-2023")</f>
        <v/>
      </c>
      <c r="AD51">
        <f>HYPERLINK("https://klasma.github.io/Logging_2409/tillsynsmail/A 57284-2023 tillsynsbegäran mail.docx", "A 57284-2023")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46232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46232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46232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46232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46232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46232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46232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46232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10145-2025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46232</v>
      </c>
      <c r="F60" t="inlineStr">
        <is>
          <t>VÄSTERBOTTENS LÄN</t>
        </is>
      </c>
      <c r="G60" t="inlineStr">
        <is>
          <t>ROBERTSFORS</t>
        </is>
      </c>
      <c r="I60" t="n">
        <v>5.3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HYPERLINK("https://klasma.github.io/Logging_2409/artfynd/A 10145-2025 artfynd.xlsx", "A 10145-2025")</f>
        <v/>
      </c>
      <c r="X60">
        <f>HYPERLINK("https://klasma.github.io/Logging_2409/kartor/A 10145-2025 karta.png", "A 10145-2025")</f>
        <v/>
      </c>
      <c r="Y60">
        <f>HYPERLINK("https://klasma.github.io/Logging_2409/kartor_geotiff/A 10145-2025 georefererad karta.tif", "A 10145-2025")</f>
        <v/>
      </c>
      <c r="AA60">
        <f>HYPERLINK("https://klasma.github.io/Logging_2409/klagomål/A 10145-2025 FSC-klagomål.docx", "A 10145-2025")</f>
        <v/>
      </c>
      <c r="AB60">
        <f>HYPERLINK("https://klasma.github.io/Logging_2409/klagomålsmail/A 10145-2025 FSC-klagomål mail.docx", "A 10145-2025")</f>
        <v/>
      </c>
      <c r="AC60">
        <f>HYPERLINK("https://klasma.github.io/Logging_2409/tillsyn/A 10145-2025 tillsynsbegäran.docx", "A 10145-2025")</f>
        <v/>
      </c>
      <c r="AD60">
        <f>HYPERLINK("https://klasma.github.io/Logging_2409/tillsynsmail/A 10145-2025 tillsynsbegäran mail.docx", "A 10145-2025")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46232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46232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46232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46232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46232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46232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52723-2025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46232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HYPERLINK("https://klasma.github.io/Logging_2409/artfynd/A 52723-2025 artfynd.xlsx", "A 52723-2025")</f>
        <v/>
      </c>
      <c r="X67">
        <f>HYPERLINK("https://klasma.github.io/Logging_2409/kartor/A 52723-2025 karta.png", "A 52723-2025")</f>
        <v/>
      </c>
      <c r="Y67">
        <f>HYPERLINK("https://klasma.github.io/Logging_2409/kartor_geotiff/A 52723-2025 georefererad karta.tif", "A 52723-2025")</f>
        <v/>
      </c>
      <c r="AA67">
        <f>HYPERLINK("https://klasma.github.io/Logging_2409/klagomål/A 52723-2025 FSC-klagomål.docx", "A 52723-2025")</f>
        <v/>
      </c>
      <c r="AB67">
        <f>HYPERLINK("https://klasma.github.io/Logging_2409/klagomålsmail/A 52723-2025 FSC-klagomål mail.docx", "A 52723-2025")</f>
        <v/>
      </c>
      <c r="AC67">
        <f>HYPERLINK("https://klasma.github.io/Logging_2409/tillsyn/A 52723-2025 tillsynsbegäran.docx", "A 52723-2025")</f>
        <v/>
      </c>
      <c r="AD67">
        <f>HYPERLINK("https://klasma.github.io/Logging_2409/tillsynsmail/A 52723-2025 tillsynsbegäran mail.docx", "A 52723-2025")</f>
        <v/>
      </c>
      <c r="AE67">
        <f>HYPERLINK("https://klasma.github.io/Logging_2409/fåglar/A 52723-2025 prioriterade fågelarter.docx", "A 52723-2025")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46232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46232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46232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46232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46232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46232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46232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46232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46232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46232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46232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46232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46232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46232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46232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46232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46232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46232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46232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46232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46232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46232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46232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46232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46232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46232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46232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69805-2021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44532</v>
      </c>
      <c r="E103" s="1" t="n">
        <v>46232</v>
      </c>
      <c r="F103" t="inlineStr">
        <is>
          <t>VÄSTERBOTTENS LÄN</t>
        </is>
      </c>
      <c r="G103" t="inlineStr">
        <is>
          <t>ROBERTSFORS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46232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46232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46232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46232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46232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46232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46232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46232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46232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46232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46232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46232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46232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46232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46232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46232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46232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46232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46232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46232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46232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46232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46232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46232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46232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46232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45048</v>
      </c>
      <c r="E133" s="1" t="n">
        <v>46232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46232</v>
      </c>
      <c r="F134" t="inlineStr">
        <is>
          <t>VÄSTERBOTTENS LÄN</t>
        </is>
      </c>
      <c r="G134" t="inlineStr">
        <is>
          <t>ROBERTSFORS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46232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46232</v>
      </c>
      <c r="F136" t="inlineStr">
        <is>
          <t>VÄSTERBOTTENS LÄN</t>
        </is>
      </c>
      <c r="G136" t="inlineStr">
        <is>
          <t>ROBERTSFORS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46232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46232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46232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46232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15294-2023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45019</v>
      </c>
      <c r="E141" s="1" t="n">
        <v>46232</v>
      </c>
      <c r="F141" t="inlineStr">
        <is>
          <t>VÄSTERBOTTENS LÄN</t>
        </is>
      </c>
      <c r="G141" t="inlineStr">
        <is>
          <t>ROBERTSFORS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46232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46232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45184</v>
      </c>
      <c r="E144" s="1" t="n">
        <v>46232</v>
      </c>
      <c r="F144" t="inlineStr">
        <is>
          <t>VÄSTERBOTTENS LÄN</t>
        </is>
      </c>
      <c r="G144" t="inlineStr">
        <is>
          <t>ROBERTSFORS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46232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46232</v>
      </c>
      <c r="F146" t="inlineStr">
        <is>
          <t>VÄSTERBOTTENS LÄN</t>
        </is>
      </c>
      <c r="G146" t="inlineStr">
        <is>
          <t>ROBERTSFORS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46232</v>
      </c>
      <c r="F147" t="inlineStr">
        <is>
          <t>VÄSTERBOTTENS LÄN</t>
        </is>
      </c>
      <c r="G147" t="inlineStr">
        <is>
          <t>ROBERTSFORS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46232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46232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46232</v>
      </c>
      <c r="F150" t="inlineStr">
        <is>
          <t>VÄSTERBOTTENS LÄN</t>
        </is>
      </c>
      <c r="G150" t="inlineStr">
        <is>
          <t>ROBERTSFORS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46232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46232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46232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46232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46232</v>
      </c>
      <c r="F155" t="inlineStr">
        <is>
          <t>VÄSTERBOTTENS LÄN</t>
        </is>
      </c>
      <c r="G155" t="inlineStr">
        <is>
          <t>ROBERTSFORS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46232</v>
      </c>
      <c r="F156" t="inlineStr">
        <is>
          <t>VÄSTERBOTTENS LÄN</t>
        </is>
      </c>
      <c r="G156" t="inlineStr">
        <is>
          <t>ROBERTSFORS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46232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46232</v>
      </c>
      <c r="F158" t="inlineStr">
        <is>
          <t>VÄSTERBOTTENS LÄN</t>
        </is>
      </c>
      <c r="G158" t="inlineStr">
        <is>
          <t>ROBERTSFORS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46232</v>
      </c>
      <c r="F159" t="inlineStr">
        <is>
          <t>VÄSTERBOTTENS LÄN</t>
        </is>
      </c>
      <c r="G159" t="inlineStr">
        <is>
          <t>ROBERTSFORS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46232</v>
      </c>
      <c r="F160" t="inlineStr">
        <is>
          <t>VÄSTERBOTTENS LÄN</t>
        </is>
      </c>
      <c r="G160" t="inlineStr">
        <is>
          <t>ROBERTSFORS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46232</v>
      </c>
      <c r="F161" t="inlineStr">
        <is>
          <t>VÄSTERBOTTENS LÄN</t>
        </is>
      </c>
      <c r="G161" t="inlineStr">
        <is>
          <t>ROBERTSFORS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46232</v>
      </c>
      <c r="F162" t="inlineStr">
        <is>
          <t>VÄSTERBOTTENS LÄN</t>
        </is>
      </c>
      <c r="G162" t="inlineStr">
        <is>
          <t>ROBERTSFORS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46232</v>
      </c>
      <c r="F163" t="inlineStr">
        <is>
          <t>VÄSTERBOTTENS LÄN</t>
        </is>
      </c>
      <c r="G163" t="inlineStr">
        <is>
          <t>ROBERTSFORS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46232</v>
      </c>
      <c r="F164" t="inlineStr">
        <is>
          <t>VÄSTERBOTTENS LÄN</t>
        </is>
      </c>
      <c r="G164" t="inlineStr">
        <is>
          <t>ROBERTSFORS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44960</v>
      </c>
      <c r="E165" s="1" t="n">
        <v>46232</v>
      </c>
      <c r="F165" t="inlineStr">
        <is>
          <t>VÄSTERBOTTENS LÄN</t>
        </is>
      </c>
      <c r="G165" t="inlineStr">
        <is>
          <t>ROBERTSFORS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45687</v>
      </c>
      <c r="E166" s="1" t="n">
        <v>46232</v>
      </c>
      <c r="F166" t="inlineStr">
        <is>
          <t>VÄSTERBOTTENS LÄN</t>
        </is>
      </c>
      <c r="G166" t="inlineStr">
        <is>
          <t>ROBERTSFORS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44913</v>
      </c>
      <c r="E167" s="1" t="n">
        <v>46232</v>
      </c>
      <c r="F167" t="inlineStr">
        <is>
          <t>VÄSTERBOTTENS LÄN</t>
        </is>
      </c>
      <c r="G167" t="inlineStr">
        <is>
          <t>ROBERTSFORS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46232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12.7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46232</v>
      </c>
      <c r="F169" t="inlineStr">
        <is>
          <t>VÄSTERBOTTENS LÄN</t>
        </is>
      </c>
      <c r="G169" t="inlineStr">
        <is>
          <t>ROBERTSFORS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46232</v>
      </c>
      <c r="F170" t="inlineStr">
        <is>
          <t>VÄSTERBOTTENS LÄN</t>
        </is>
      </c>
      <c r="G170" t="inlineStr">
        <is>
          <t>ROBERTSFORS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46232</v>
      </c>
      <c r="F171" t="inlineStr">
        <is>
          <t>VÄSTERBOTTENS LÄN</t>
        </is>
      </c>
      <c r="G171" t="inlineStr">
        <is>
          <t>ROBERTSFORS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46232</v>
      </c>
      <c r="F172" t="inlineStr">
        <is>
          <t>VÄSTERBOTTENS LÄN</t>
        </is>
      </c>
      <c r="G172" t="inlineStr">
        <is>
          <t>ROBERTSFORS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46232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46232</v>
      </c>
      <c r="F174" t="inlineStr">
        <is>
          <t>VÄSTERBOTTENS LÄN</t>
        </is>
      </c>
      <c r="G174" t="inlineStr">
        <is>
          <t>ROBERTSFORS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46232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46232</v>
      </c>
      <c r="F176" t="inlineStr">
        <is>
          <t>VÄSTERBOTTENS LÄN</t>
        </is>
      </c>
      <c r="G176" t="inlineStr">
        <is>
          <t>ROBERTSFORS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28330-2025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45818</v>
      </c>
      <c r="E177" s="1" t="n">
        <v>46232</v>
      </c>
      <c r="F177" t="inlineStr">
        <is>
          <t>VÄSTERBOTTENS LÄN</t>
        </is>
      </c>
      <c r="G177" t="inlineStr">
        <is>
          <t>ROBERTSFORS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46232</v>
      </c>
      <c r="F178" t="inlineStr">
        <is>
          <t>VÄSTERBOTTENS LÄN</t>
        </is>
      </c>
      <c r="G178" t="inlineStr">
        <is>
          <t>ROBERTSFORS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46232</v>
      </c>
      <c r="F179" t="inlineStr">
        <is>
          <t>VÄSTERBOTTENS LÄN</t>
        </is>
      </c>
      <c r="G179" t="inlineStr">
        <is>
          <t>ROBERTSFORS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46331-2023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45197</v>
      </c>
      <c r="E180" s="1" t="n">
        <v>46232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45893</v>
      </c>
      <c r="E181" s="1" t="n">
        <v>46232</v>
      </c>
      <c r="F181" t="inlineStr">
        <is>
          <t>VÄSTERBOTTENS LÄN</t>
        </is>
      </c>
      <c r="G181" t="inlineStr">
        <is>
          <t>ROBERTSFORS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46232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46232</v>
      </c>
      <c r="F183" t="inlineStr">
        <is>
          <t>VÄSTERBOTTENS LÄN</t>
        </is>
      </c>
      <c r="G183" t="inlineStr">
        <is>
          <t>ROBERTSFORS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46232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46232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46232</v>
      </c>
      <c r="F186" t="inlineStr">
        <is>
          <t>VÄSTERBOTTENS LÄN</t>
        </is>
      </c>
      <c r="G186" t="inlineStr">
        <is>
          <t>ROBERTSFORS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46232</v>
      </c>
      <c r="F187" t="inlineStr">
        <is>
          <t>VÄSTERBOTTENS LÄN</t>
        </is>
      </c>
      <c r="G187" t="inlineStr">
        <is>
          <t>ROBERTSFORS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46232</v>
      </c>
      <c r="F188" t="inlineStr">
        <is>
          <t>VÄSTERBOTTENS LÄN</t>
        </is>
      </c>
      <c r="G188" t="inlineStr">
        <is>
          <t>ROBERTSFORS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46232</v>
      </c>
      <c r="F189" t="inlineStr">
        <is>
          <t>VÄSTERBOTTENS LÄN</t>
        </is>
      </c>
      <c r="G189" t="inlineStr">
        <is>
          <t>ROBERTSFORS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46232</v>
      </c>
      <c r="F190" t="inlineStr">
        <is>
          <t>VÄSTERBOTTENS LÄN</t>
        </is>
      </c>
      <c r="G190" t="inlineStr">
        <is>
          <t>ROBERTSFORS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46232</v>
      </c>
      <c r="F191" t="inlineStr">
        <is>
          <t>VÄSTERBOTTENS LÄN</t>
        </is>
      </c>
      <c r="G191" t="inlineStr">
        <is>
          <t>ROBERTSFORS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44805</v>
      </c>
      <c r="E192" s="1" t="n">
        <v>46232</v>
      </c>
      <c r="F192" t="inlineStr">
        <is>
          <t>VÄSTERBOTTENS LÄN</t>
        </is>
      </c>
      <c r="G192" t="inlineStr">
        <is>
          <t>ROBERTSFORS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46232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SCA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46232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46232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45687</v>
      </c>
      <c r="E196" s="1" t="n">
        <v>46232</v>
      </c>
      <c r="F196" t="inlineStr">
        <is>
          <t>VÄSTERBOTTENS LÄN</t>
        </is>
      </c>
      <c r="G196" t="inlineStr">
        <is>
          <t>ROBERTSFORS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46232</v>
      </c>
      <c r="F197" t="inlineStr">
        <is>
          <t>VÄSTERBOTTENS LÄN</t>
        </is>
      </c>
      <c r="G197" t="inlineStr">
        <is>
          <t>ROBERTSFORS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37357-2024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46232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46232</v>
      </c>
      <c r="F199" t="inlineStr">
        <is>
          <t>VÄSTERBOTTENS LÄN</t>
        </is>
      </c>
      <c r="G199" t="inlineStr">
        <is>
          <t>ROBERTSFORS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46232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46232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46232</v>
      </c>
      <c r="F202" t="inlineStr">
        <is>
          <t>VÄSTERBOTTENS LÄN</t>
        </is>
      </c>
      <c r="G202" t="inlineStr">
        <is>
          <t>ROBERTSFORS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44130-2025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45915</v>
      </c>
      <c r="E203" s="1" t="n">
        <v>46232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46232</v>
      </c>
      <c r="F204" t="inlineStr">
        <is>
          <t>VÄSTERBOTTENS LÄN</t>
        </is>
      </c>
      <c r="G204" t="inlineStr">
        <is>
          <t>ROBERTSFORS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46232</v>
      </c>
      <c r="F205" t="inlineStr">
        <is>
          <t>VÄSTERBOTTENS LÄN</t>
        </is>
      </c>
      <c r="G205" t="inlineStr">
        <is>
          <t>ROBERTSFORS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46232</v>
      </c>
      <c r="F206" t="inlineStr">
        <is>
          <t>VÄSTERBOTTENS LÄN</t>
        </is>
      </c>
      <c r="G206" t="inlineStr">
        <is>
          <t>ROBERTSFORS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46232</v>
      </c>
      <c r="F207" t="inlineStr">
        <is>
          <t>VÄSTERBOTTENS LÄN</t>
        </is>
      </c>
      <c r="G207" t="inlineStr">
        <is>
          <t>ROBERTSFORS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46232</v>
      </c>
      <c r="F208" t="inlineStr">
        <is>
          <t>VÄSTERBOTTENS LÄN</t>
        </is>
      </c>
      <c r="G208" t="inlineStr">
        <is>
          <t>ROBERTSFORS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46232</v>
      </c>
      <c r="F209" t="inlineStr">
        <is>
          <t>VÄSTERBOTTENS LÄN</t>
        </is>
      </c>
      <c r="G209" t="inlineStr">
        <is>
          <t>ROBERTSFORS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46232</v>
      </c>
      <c r="F210" t="inlineStr">
        <is>
          <t>VÄSTERBOTTENS LÄN</t>
        </is>
      </c>
      <c r="G210" t="inlineStr">
        <is>
          <t>ROBERTSFORS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45841</v>
      </c>
      <c r="E211" s="1" t="n">
        <v>46232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45841</v>
      </c>
      <c r="E212" s="1" t="n">
        <v>46232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45149</v>
      </c>
      <c r="E213" s="1" t="n">
        <v>46232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46232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46232</v>
      </c>
      <c r="F215" t="inlineStr">
        <is>
          <t>VÄSTERBOTTENS LÄN</t>
        </is>
      </c>
      <c r="G215" t="inlineStr">
        <is>
          <t>ROBERTSFORS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45458</v>
      </c>
      <c r="E216" s="1" t="n">
        <v>46232</v>
      </c>
      <c r="F216" t="inlineStr">
        <is>
          <t>VÄSTERBOTTENS LÄN</t>
        </is>
      </c>
      <c r="G216" t="inlineStr">
        <is>
          <t>ROBERTSFORS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46168-2025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45924</v>
      </c>
      <c r="E217" s="1" t="n">
        <v>46232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45205</v>
      </c>
      <c r="E218" s="1" t="n">
        <v>46232</v>
      </c>
      <c r="F218" t="inlineStr">
        <is>
          <t>VÄSTERBOTTENS LÄN</t>
        </is>
      </c>
      <c r="G218" t="inlineStr">
        <is>
          <t>ROBERTSFORS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46232</v>
      </c>
      <c r="F219" t="inlineStr">
        <is>
          <t>VÄSTERBOTTENS LÄN</t>
        </is>
      </c>
      <c r="G219" t="inlineStr">
        <is>
          <t>ROBERTSFORS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46232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46232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46232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46232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46232</v>
      </c>
      <c r="F224" t="inlineStr">
        <is>
          <t>VÄSTERBOTTENS LÄN</t>
        </is>
      </c>
      <c r="G224" t="inlineStr">
        <is>
          <t>ROBERTSFORS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46232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45856</v>
      </c>
      <c r="E226" s="1" t="n">
        <v>46232</v>
      </c>
      <c r="F226" t="inlineStr">
        <is>
          <t>VÄSTERBOTTENS LÄN</t>
        </is>
      </c>
      <c r="G226" t="inlineStr">
        <is>
          <t>ROBERTSFORS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46232</v>
      </c>
      <c r="F227" t="inlineStr">
        <is>
          <t>VÄSTERBOTTENS LÄN</t>
        </is>
      </c>
      <c r="G227" t="inlineStr">
        <is>
          <t>ROBERTSFORS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45458</v>
      </c>
      <c r="E228" s="1" t="n">
        <v>46232</v>
      </c>
      <c r="F228" t="inlineStr">
        <is>
          <t>VÄSTERBOTTENS LÄN</t>
        </is>
      </c>
      <c r="G228" t="inlineStr">
        <is>
          <t>ROBERTSFORS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46232</v>
      </c>
      <c r="F229" t="inlineStr">
        <is>
          <t>VÄSTERBOTTENS LÄN</t>
        </is>
      </c>
      <c r="G229" t="inlineStr">
        <is>
          <t>ROBERTSFORS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46232</v>
      </c>
      <c r="F230" t="inlineStr">
        <is>
          <t>VÄSTERBOTTENS LÄN</t>
        </is>
      </c>
      <c r="G230" t="inlineStr">
        <is>
          <t>ROBERTSFORS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46232</v>
      </c>
      <c r="F231" t="inlineStr">
        <is>
          <t>VÄSTERBOTTENS LÄN</t>
        </is>
      </c>
      <c r="G231" t="inlineStr">
        <is>
          <t>ROBERTSFORS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46232</v>
      </c>
      <c r="F232" t="inlineStr">
        <is>
          <t>VÄSTERBOTTENS LÄN</t>
        </is>
      </c>
      <c r="G232" t="inlineStr">
        <is>
          <t>ROBERTSFORS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45029</v>
      </c>
      <c r="E233" s="1" t="n">
        <v>46232</v>
      </c>
      <c r="F233" t="inlineStr">
        <is>
          <t>VÄSTERBOTTENS LÄN</t>
        </is>
      </c>
      <c r="G233" t="inlineStr">
        <is>
          <t>ROBERTSFORS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46232</v>
      </c>
      <c r="F234" t="inlineStr">
        <is>
          <t>VÄSTERBOTTENS LÄN</t>
        </is>
      </c>
      <c r="G234" t="inlineStr">
        <is>
          <t>ROBERTSFORS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46232</v>
      </c>
      <c r="F235" t="inlineStr">
        <is>
          <t>VÄSTERBOTTENS LÄN</t>
        </is>
      </c>
      <c r="G235" t="inlineStr">
        <is>
          <t>ROBERTSFORS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46232</v>
      </c>
      <c r="F236" t="inlineStr">
        <is>
          <t>VÄSTERBOTTENS LÄN</t>
        </is>
      </c>
      <c r="G236" t="inlineStr">
        <is>
          <t>ROBERTSFORS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46232</v>
      </c>
      <c r="F237" t="inlineStr">
        <is>
          <t>VÄSTERBOTTENS LÄN</t>
        </is>
      </c>
      <c r="G237" t="inlineStr">
        <is>
          <t>ROBERTSFORS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65771-2021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44516</v>
      </c>
      <c r="E238" s="1" t="n">
        <v>46232</v>
      </c>
      <c r="F238" t="inlineStr">
        <is>
          <t>VÄSTERBOTTENS LÄN</t>
        </is>
      </c>
      <c r="G238" t="inlineStr">
        <is>
          <t>ROBERTSFORS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45480</v>
      </c>
      <c r="E239" s="1" t="n">
        <v>46232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45661</v>
      </c>
      <c r="E240" s="1" t="n">
        <v>46232</v>
      </c>
      <c r="F240" t="inlineStr">
        <is>
          <t>VÄSTERBOTTENS LÄN</t>
        </is>
      </c>
      <c r="G240" t="inlineStr">
        <is>
          <t>ROBERTSFORS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45664</v>
      </c>
      <c r="E241" s="1" t="n">
        <v>46232</v>
      </c>
      <c r="F241" t="inlineStr">
        <is>
          <t>VÄSTERBOTTENS LÄN</t>
        </is>
      </c>
      <c r="G241" t="inlineStr">
        <is>
          <t>ROBERTSFORS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65772-2021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44516</v>
      </c>
      <c r="E242" s="1" t="n">
        <v>46232</v>
      </c>
      <c r="F242" t="inlineStr">
        <is>
          <t>VÄSTERBOTTENS LÄN</t>
        </is>
      </c>
      <c r="G242" t="inlineStr">
        <is>
          <t>ROBERTSFORS</t>
        </is>
      </c>
      <c r="I242" t="n">
        <v>18.2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64625-2023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46232</v>
      </c>
      <c r="F243" t="inlineStr">
        <is>
          <t>VÄSTERBOTTENS LÄN</t>
        </is>
      </c>
      <c r="G243" t="inlineStr">
        <is>
          <t>ROBERTSFORS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46232</v>
      </c>
      <c r="F244" t="inlineStr">
        <is>
          <t>VÄSTERBOTTENS LÄN</t>
        </is>
      </c>
      <c r="G244" t="inlineStr">
        <is>
          <t>ROBERTSFORS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45512</v>
      </c>
      <c r="E245" s="1" t="n">
        <v>46232</v>
      </c>
      <c r="F245" t="inlineStr">
        <is>
          <t>VÄSTERBOTTENS LÄN</t>
        </is>
      </c>
      <c r="G245" t="inlineStr">
        <is>
          <t>ROBERTSFORS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46232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46232</v>
      </c>
      <c r="F247" t="inlineStr">
        <is>
          <t>VÄSTERBOTTENS LÄN</t>
        </is>
      </c>
      <c r="G247" t="inlineStr">
        <is>
          <t>ROBERTSFORS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46232</v>
      </c>
      <c r="F248" t="inlineStr">
        <is>
          <t>VÄSTERBOTTENS LÄN</t>
        </is>
      </c>
      <c r="G248" t="inlineStr">
        <is>
          <t>ROBERTSFORS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44783</v>
      </c>
      <c r="E249" s="1" t="n">
        <v>46232</v>
      </c>
      <c r="F249" t="inlineStr">
        <is>
          <t>VÄSTERBOTTENS LÄN</t>
        </is>
      </c>
      <c r="G249" t="inlineStr">
        <is>
          <t>ROBERTSFORS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46232</v>
      </c>
      <c r="F250" t="inlineStr">
        <is>
          <t>VÄSTERBOTTENS LÄN</t>
        </is>
      </c>
      <c r="G250" t="inlineStr">
        <is>
          <t>ROBERTSFORS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44838</v>
      </c>
      <c r="E251" s="1" t="n">
        <v>46232</v>
      </c>
      <c r="F251" t="inlineStr">
        <is>
          <t>VÄSTERBOTTENS LÄN</t>
        </is>
      </c>
      <c r="G251" t="inlineStr">
        <is>
          <t>ROBERTSFORS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46232</v>
      </c>
      <c r="F252" t="inlineStr">
        <is>
          <t>VÄSTERBOTTENS LÄN</t>
        </is>
      </c>
      <c r="G252" t="inlineStr">
        <is>
          <t>ROBERTSFORS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46232</v>
      </c>
      <c r="F253" t="inlineStr">
        <is>
          <t>VÄSTERBOTTENS LÄN</t>
        </is>
      </c>
      <c r="G253" t="inlineStr">
        <is>
          <t>ROBERTSFORS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45653</v>
      </c>
      <c r="E254" s="1" t="n">
        <v>46232</v>
      </c>
      <c r="F254" t="inlineStr">
        <is>
          <t>VÄSTERBOTTENS LÄN</t>
        </is>
      </c>
      <c r="G254" t="inlineStr">
        <is>
          <t>ROBERTSFORS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46232</v>
      </c>
      <c r="F255" t="inlineStr">
        <is>
          <t>VÄSTERBOTTENS LÄN</t>
        </is>
      </c>
      <c r="G255" t="inlineStr">
        <is>
          <t>ROBERTSFORS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46232</v>
      </c>
      <c r="F256" t="inlineStr">
        <is>
          <t>VÄSTERBOTTENS LÄN</t>
        </is>
      </c>
      <c r="G256" t="inlineStr">
        <is>
          <t>ROBERTSFORS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46232</v>
      </c>
      <c r="F257" t="inlineStr">
        <is>
          <t>VÄSTERBOTTENS LÄN</t>
        </is>
      </c>
      <c r="G257" t="inlineStr">
        <is>
          <t>ROBERTSFORS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44487</v>
      </c>
      <c r="E258" s="1" t="n">
        <v>46232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46232</v>
      </c>
      <c r="F259" t="inlineStr">
        <is>
          <t>VÄSTERBOTTENS LÄN</t>
        </is>
      </c>
      <c r="G259" t="inlineStr">
        <is>
          <t>ROBERTSFORS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46232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46232</v>
      </c>
      <c r="F261" t="inlineStr">
        <is>
          <t>VÄSTERBOTTENS LÄN</t>
        </is>
      </c>
      <c r="G261" t="inlineStr">
        <is>
          <t>ROBERTSFORS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46232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45959</v>
      </c>
      <c r="E263" s="1" t="n">
        <v>46232</v>
      </c>
      <c r="F263" t="inlineStr">
        <is>
          <t>VÄSTERBOTTENS LÄN</t>
        </is>
      </c>
      <c r="G263" t="inlineStr">
        <is>
          <t>ROBERTSFORS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46232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45544</v>
      </c>
      <c r="E265" s="1" t="n">
        <v>46232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SCA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46232</v>
      </c>
      <c r="F266" t="inlineStr">
        <is>
          <t>VÄSTERBOTTENS LÄN</t>
        </is>
      </c>
      <c r="G266" t="inlineStr">
        <is>
          <t>ROBERTSFORS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46232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59877-2022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46232</v>
      </c>
      <c r="F268" t="inlineStr">
        <is>
          <t>VÄSTERBOTTENS LÄN</t>
        </is>
      </c>
      <c r="G268" t="inlineStr">
        <is>
          <t>ROBERTSFORS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46232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45961</v>
      </c>
      <c r="E270" s="1" t="n">
        <v>46232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46232</v>
      </c>
      <c r="F271" t="inlineStr">
        <is>
          <t>VÄSTERBOTTENS LÄN</t>
        </is>
      </c>
      <c r="G271" t="inlineStr">
        <is>
          <t>ROBERTSFORS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46232</v>
      </c>
      <c r="F272" t="inlineStr">
        <is>
          <t>VÄSTERBOTTENS LÄN</t>
        </is>
      </c>
      <c r="G272" t="inlineStr">
        <is>
          <t>ROBERTSFORS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46232</v>
      </c>
      <c r="F273" t="inlineStr">
        <is>
          <t>VÄSTERBOTTENS LÄN</t>
        </is>
      </c>
      <c r="G273" t="inlineStr">
        <is>
          <t>ROBERTSFORS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46232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46232</v>
      </c>
      <c r="F275" t="inlineStr">
        <is>
          <t>VÄSTERBOTTENS LÄN</t>
        </is>
      </c>
      <c r="G275" t="inlineStr">
        <is>
          <t>ROBERTSFORS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45335</v>
      </c>
      <c r="E276" s="1" t="n">
        <v>46232</v>
      </c>
      <c r="F276" t="inlineStr">
        <is>
          <t>VÄSTERBOTTENS LÄN</t>
        </is>
      </c>
      <c r="G276" t="inlineStr">
        <is>
          <t>ROBERTSFORS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46232</v>
      </c>
      <c r="F277" t="inlineStr">
        <is>
          <t>VÄSTERBOTTENS LÄN</t>
        </is>
      </c>
      <c r="G277" t="inlineStr">
        <is>
          <t>ROBERTSFORS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46232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46232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46232</v>
      </c>
      <c r="F280" t="inlineStr">
        <is>
          <t>VÄSTERBOTTENS LÄN</t>
        </is>
      </c>
      <c r="G280" t="inlineStr">
        <is>
          <t>ROBERTSFORS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45405</v>
      </c>
      <c r="E281" s="1" t="n">
        <v>46232</v>
      </c>
      <c r="F281" t="inlineStr">
        <is>
          <t>VÄSTERBOTTENS LÄN</t>
        </is>
      </c>
      <c r="G281" t="inlineStr">
        <is>
          <t>ROBERTSFORS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46232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46232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46232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46232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46232</v>
      </c>
      <c r="F286" t="inlineStr">
        <is>
          <t>VÄSTERBOTTENS LÄN</t>
        </is>
      </c>
      <c r="G286" t="inlineStr">
        <is>
          <t>ROBERTSFORS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44580</v>
      </c>
      <c r="E287" s="1" t="n">
        <v>46232</v>
      </c>
      <c r="F287" t="inlineStr">
        <is>
          <t>VÄSTERBOTTENS LÄN</t>
        </is>
      </c>
      <c r="G287" t="inlineStr">
        <is>
          <t>ROBERTSFORS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46232</v>
      </c>
      <c r="F288" t="inlineStr">
        <is>
          <t>VÄSTERBOTTENS LÄN</t>
        </is>
      </c>
      <c r="G288" t="inlineStr">
        <is>
          <t>ROBERTSFORS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45020</v>
      </c>
      <c r="E289" s="1" t="n">
        <v>46232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45987</v>
      </c>
      <c r="E290" s="1" t="n">
        <v>46232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62187-2021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44502</v>
      </c>
      <c r="E291" s="1" t="n">
        <v>46232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45996</v>
      </c>
      <c r="E292" s="1" t="n">
        <v>46232</v>
      </c>
      <c r="F292" t="inlineStr">
        <is>
          <t>VÄSTERBOTTENS LÄN</t>
        </is>
      </c>
      <c r="G292" t="inlineStr">
        <is>
          <t>ROBERTSFORS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46232</v>
      </c>
      <c r="F293" t="inlineStr">
        <is>
          <t>VÄSTERBOTTENS LÄN</t>
        </is>
      </c>
      <c r="G293" t="inlineStr">
        <is>
          <t>ROBERTSFORS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46232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46232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46232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46232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46232</v>
      </c>
      <c r="F298" t="inlineStr">
        <is>
          <t>VÄSTERBOTTENS LÄN</t>
        </is>
      </c>
      <c r="G298" t="inlineStr">
        <is>
          <t>ROBERTSFORS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46232</v>
      </c>
      <c r="F299" t="inlineStr">
        <is>
          <t>VÄSTERBOTTENS LÄN</t>
        </is>
      </c>
      <c r="G299" t="inlineStr">
        <is>
          <t>ROBERTSFORS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46232</v>
      </c>
      <c r="F300" t="inlineStr">
        <is>
          <t>VÄSTERBOTTENS LÄN</t>
        </is>
      </c>
      <c r="G300" t="inlineStr">
        <is>
          <t>ROBERTSFORS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9135-2024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45357</v>
      </c>
      <c r="E301" s="1" t="n">
        <v>46232</v>
      </c>
      <c r="F301" t="inlineStr">
        <is>
          <t>VÄSTERBOTTENS LÄN</t>
        </is>
      </c>
      <c r="G301" t="inlineStr">
        <is>
          <t>ROBERTSFORS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45712</v>
      </c>
      <c r="E302" s="1" t="n">
        <v>46232</v>
      </c>
      <c r="F302" t="inlineStr">
        <is>
          <t>VÄSTERBOTTENS LÄN</t>
        </is>
      </c>
      <c r="G302" t="inlineStr">
        <is>
          <t>ROBERTSFORS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46232</v>
      </c>
      <c r="F303" t="inlineStr">
        <is>
          <t>VÄSTERBOTTENS LÄN</t>
        </is>
      </c>
      <c r="G303" t="inlineStr">
        <is>
          <t>ROBERTSFORS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46232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46232</v>
      </c>
      <c r="F305" t="inlineStr">
        <is>
          <t>VÄSTERBOTTENS LÄN</t>
        </is>
      </c>
      <c r="G305" t="inlineStr">
        <is>
          <t>ROBERTSFORS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46232</v>
      </c>
      <c r="F306" t="inlineStr">
        <is>
          <t>VÄSTERBOTTENS LÄN</t>
        </is>
      </c>
      <c r="G306" t="inlineStr">
        <is>
          <t>ROBERTSFORS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45013</v>
      </c>
      <c r="E307" s="1" t="n">
        <v>46232</v>
      </c>
      <c r="F307" t="inlineStr">
        <is>
          <t>VÄSTERBOTTENS LÄN</t>
        </is>
      </c>
      <c r="G307" t="inlineStr">
        <is>
          <t>ROBERTSFORS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46232</v>
      </c>
      <c r="F308" t="inlineStr">
        <is>
          <t>VÄSTERBOTTENS LÄN</t>
        </is>
      </c>
      <c r="G308" t="inlineStr">
        <is>
          <t>ROBERTSFORS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46232</v>
      </c>
      <c r="F309" t="inlineStr">
        <is>
          <t>VÄSTERBOTTENS LÄN</t>
        </is>
      </c>
      <c r="G309" t="inlineStr">
        <is>
          <t>ROBERTSFORS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45042</v>
      </c>
      <c r="E310" s="1" t="n">
        <v>46232</v>
      </c>
      <c r="F310" t="inlineStr">
        <is>
          <t>VÄSTERBOTTENS LÄN</t>
        </is>
      </c>
      <c r="G310" t="inlineStr">
        <is>
          <t>ROBERTSFORS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46232</v>
      </c>
      <c r="F311" t="inlineStr">
        <is>
          <t>VÄSTERBOTTENS LÄN</t>
        </is>
      </c>
      <c r="G311" t="inlineStr">
        <is>
          <t>ROBERTSFORS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46232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53271-2021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46232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46232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46232</v>
      </c>
      <c r="F315" t="inlineStr">
        <is>
          <t>VÄSTERBOTTENS LÄN</t>
        </is>
      </c>
      <c r="G315" t="inlineStr">
        <is>
          <t>ROBERTSFORS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46232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46232</v>
      </c>
      <c r="F317" t="inlineStr">
        <is>
          <t>VÄSTERBOTTENS LÄN</t>
        </is>
      </c>
      <c r="G317" t="inlineStr">
        <is>
          <t>ROBERTSFORS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46232</v>
      </c>
      <c r="F318" t="inlineStr">
        <is>
          <t>VÄSTERBOTTENS LÄN</t>
        </is>
      </c>
      <c r="G318" t="inlineStr">
        <is>
          <t>ROBERTSFORS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45205</v>
      </c>
      <c r="E319" s="1" t="n">
        <v>46232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45076</v>
      </c>
      <c r="E320" s="1" t="n">
        <v>46232</v>
      </c>
      <c r="F320" t="inlineStr">
        <is>
          <t>VÄSTERBOTTENS LÄN</t>
        </is>
      </c>
      <c r="G320" t="inlineStr">
        <is>
          <t>ROBERTSFORS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46232</v>
      </c>
      <c r="F321" t="inlineStr">
        <is>
          <t>VÄSTERBOTTENS LÄN</t>
        </is>
      </c>
      <c r="G321" t="inlineStr">
        <is>
          <t>ROBERTSFORS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46232</v>
      </c>
      <c r="F322" t="inlineStr">
        <is>
          <t>VÄSTERBOTTENS LÄN</t>
        </is>
      </c>
      <c r="G322" t="inlineStr">
        <is>
          <t>ROBERTSFORS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45020</v>
      </c>
      <c r="E323" s="1" t="n">
        <v>46232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Sveaskog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46232</v>
      </c>
      <c r="F324" t="inlineStr">
        <is>
          <t>VÄSTERBOTTENS LÄN</t>
        </is>
      </c>
      <c r="G324" t="inlineStr">
        <is>
          <t>ROBERTSFORS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44475</v>
      </c>
      <c r="E325" s="1" t="n">
        <v>46232</v>
      </c>
      <c r="F325" t="inlineStr">
        <is>
          <t>VÄSTERBOTTENS LÄN</t>
        </is>
      </c>
      <c r="G325" t="inlineStr">
        <is>
          <t>ROBERTSFORS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46232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46232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46232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46232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45002</v>
      </c>
      <c r="E330" s="1" t="n">
        <v>46232</v>
      </c>
      <c r="F330" t="inlineStr">
        <is>
          <t>VÄSTERBOTTENS LÄN</t>
        </is>
      </c>
      <c r="G330" t="inlineStr">
        <is>
          <t>ROBERTSFORS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46232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46232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46232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46232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46135</v>
      </c>
      <c r="E335" s="1" t="n">
        <v>46232</v>
      </c>
      <c r="F335" t="inlineStr">
        <is>
          <t>VÄSTERBOTTENS LÄN</t>
        </is>
      </c>
      <c r="G335" t="inlineStr">
        <is>
          <t>ROBERTSFORS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45129</v>
      </c>
      <c r="E336" s="1" t="n">
        <v>46232</v>
      </c>
      <c r="F336" t="inlineStr">
        <is>
          <t>VÄSTERBOTTENS LÄN</t>
        </is>
      </c>
      <c r="G336" t="inlineStr">
        <is>
          <t>ROBERTSFORS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43027-2023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45182</v>
      </c>
      <c r="E337" s="1" t="n">
        <v>46232</v>
      </c>
      <c r="F337" t="inlineStr">
        <is>
          <t>VÄSTERBOTTENS LÄN</t>
        </is>
      </c>
      <c r="G337" t="inlineStr">
        <is>
          <t>ROBERTSFORS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46232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46232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46135</v>
      </c>
      <c r="E340" s="1" t="n">
        <v>46232</v>
      </c>
      <c r="F340" t="inlineStr">
        <is>
          <t>VÄSTERBOTTENS LÄN</t>
        </is>
      </c>
      <c r="G340" t="inlineStr">
        <is>
          <t>ROBERTSFORS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46135</v>
      </c>
      <c r="E341" s="1" t="n">
        <v>46232</v>
      </c>
      <c r="F341" t="inlineStr">
        <is>
          <t>VÄSTERBOTTENS LÄN</t>
        </is>
      </c>
      <c r="G341" t="inlineStr">
        <is>
          <t>ROBERTSFORS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45502</v>
      </c>
      <c r="E342" s="1" t="n">
        <v>46232</v>
      </c>
      <c r="F342" t="inlineStr">
        <is>
          <t>VÄSTERBOTTENS LÄN</t>
        </is>
      </c>
      <c r="G342" t="inlineStr">
        <is>
          <t>ROBERTSFORS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46232</v>
      </c>
      <c r="F343" t="inlineStr">
        <is>
          <t>VÄSTERBOTTENS LÄN</t>
        </is>
      </c>
      <c r="G343" t="inlineStr">
        <is>
          <t>ROBERTSFORS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46232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SCA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46232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46232</v>
      </c>
      <c r="F346" t="inlineStr">
        <is>
          <t>VÄSTERBOTTENS LÄN</t>
        </is>
      </c>
      <c r="G346" t="inlineStr">
        <is>
          <t>ROBERTSFORS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39325-2021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44413</v>
      </c>
      <c r="E347" s="1" t="n">
        <v>46232</v>
      </c>
      <c r="F347" t="inlineStr">
        <is>
          <t>VÄSTERBOTTENS LÄN</t>
        </is>
      </c>
      <c r="G347" t="inlineStr">
        <is>
          <t>ROBERTSFORS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46139</v>
      </c>
      <c r="E348" s="1" t="n">
        <v>46232</v>
      </c>
      <c r="F348" t="inlineStr">
        <is>
          <t>VÄSTERBOTTENS LÄN</t>
        </is>
      </c>
      <c r="G348" t="inlineStr">
        <is>
          <t>ROBERTSFORS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46232</v>
      </c>
      <c r="F349" t="inlineStr">
        <is>
          <t>VÄSTERBOTTENS LÄN</t>
        </is>
      </c>
      <c r="G349" t="inlineStr">
        <is>
          <t>ROBERTSFORS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46232</v>
      </c>
      <c r="F350" t="inlineStr">
        <is>
          <t>VÄSTERBOTTENS LÄN</t>
        </is>
      </c>
      <c r="G350" t="inlineStr">
        <is>
          <t>ROBERTSFORS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46232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54968-2024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45620</v>
      </c>
      <c r="E352" s="1" t="n">
        <v>46232</v>
      </c>
      <c r="F352" t="inlineStr">
        <is>
          <t>VÄSTERBOTTENS LÄN</t>
        </is>
      </c>
      <c r="G352" t="inlineStr">
        <is>
          <t>ROBERTSFORS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45635</v>
      </c>
      <c r="E353" s="1" t="n">
        <v>46232</v>
      </c>
      <c r="F353" t="inlineStr">
        <is>
          <t>VÄSTERBOTTENS LÄN</t>
        </is>
      </c>
      <c r="G353" t="inlineStr">
        <is>
          <t>ROBERTSFORS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45458</v>
      </c>
      <c r="E354" s="1" t="n">
        <v>46232</v>
      </c>
      <c r="F354" t="inlineStr">
        <is>
          <t>VÄSTERBOTTENS LÄN</t>
        </is>
      </c>
      <c r="G354" t="inlineStr">
        <is>
          <t>ROBERTSFORS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46232</v>
      </c>
      <c r="F355" t="inlineStr">
        <is>
          <t>VÄSTERBOTTENS LÄN</t>
        </is>
      </c>
      <c r="G355" t="inlineStr">
        <is>
          <t>ROBERTSFORS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45041</v>
      </c>
      <c r="E356" s="1" t="n">
        <v>46232</v>
      </c>
      <c r="F356" t="inlineStr">
        <is>
          <t>VÄSTERBOTTENS LÄN</t>
        </is>
      </c>
      <c r="G356" t="inlineStr">
        <is>
          <t>ROBERTSFORS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46232</v>
      </c>
      <c r="F357" t="inlineStr">
        <is>
          <t>VÄSTERBOTTENS LÄN</t>
        </is>
      </c>
      <c r="G357" t="inlineStr">
        <is>
          <t>ROBERTSFORS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45133</v>
      </c>
      <c r="E358" s="1" t="n">
        <v>46232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46232</v>
      </c>
      <c r="F359" t="inlineStr">
        <is>
          <t>VÄSTERBOTTENS LÄN</t>
        </is>
      </c>
      <c r="G359" t="inlineStr">
        <is>
          <t>ROBERTSFORS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45901</v>
      </c>
      <c r="E360" s="1" t="n">
        <v>46232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45756</v>
      </c>
      <c r="E361" s="1" t="n">
        <v>46232</v>
      </c>
      <c r="F361" t="inlineStr">
        <is>
          <t>VÄSTERBOTTENS LÄN</t>
        </is>
      </c>
      <c r="G361" t="inlineStr">
        <is>
          <t>ROBERTSFORS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46232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9.4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46232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46232</v>
      </c>
      <c r="F364" t="inlineStr">
        <is>
          <t>VÄSTERBOTTENS LÄN</t>
        </is>
      </c>
      <c r="G364" t="inlineStr">
        <is>
          <t>ROBERTSFORS</t>
        </is>
      </c>
      <c r="I364" t="n">
        <v>24.4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41914-2024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45561</v>
      </c>
      <c r="E365" s="1" t="n">
        <v>46232</v>
      </c>
      <c r="F365" t="inlineStr">
        <is>
          <t>VÄSTERBOTTENS LÄN</t>
        </is>
      </c>
      <c r="G365" t="inlineStr">
        <is>
          <t>ROBERTSFORS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46232</v>
      </c>
      <c r="F366" t="inlineStr">
        <is>
          <t>VÄSTERBOTTENS LÄN</t>
        </is>
      </c>
      <c r="G366" t="inlineStr">
        <is>
          <t>ROBERTSFORS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39324-2021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44413</v>
      </c>
      <c r="E367" s="1" t="n">
        <v>46232</v>
      </c>
      <c r="F367" t="inlineStr">
        <is>
          <t>VÄSTERBOTTENS LÄN</t>
        </is>
      </c>
      <c r="G367" t="inlineStr">
        <is>
          <t>ROBERTSFORS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46232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46232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46232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46232</v>
      </c>
      <c r="F371" t="inlineStr">
        <is>
          <t>VÄSTERBOTTENS LÄN</t>
        </is>
      </c>
      <c r="G371" t="inlineStr">
        <is>
          <t>ROBERTSFORS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46232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45307</v>
      </c>
      <c r="E373" s="1" t="n">
        <v>46232</v>
      </c>
      <c r="F373" t="inlineStr">
        <is>
          <t>VÄSTERBOTTENS LÄN</t>
        </is>
      </c>
      <c r="G373" t="inlineStr">
        <is>
          <t>ROBERTSFORS</t>
        </is>
      </c>
      <c r="I373" t="n">
        <v>12.1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51966-2024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46232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26894-2024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45470</v>
      </c>
      <c r="E375" s="1" t="n">
        <v>46232</v>
      </c>
      <c r="F375" t="inlineStr">
        <is>
          <t>VÄSTERBOTTENS LÄN</t>
        </is>
      </c>
      <c r="G375" t="inlineStr">
        <is>
          <t>ROBERTSFORS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45301</v>
      </c>
      <c r="E376" s="1" t="n">
        <v>46232</v>
      </c>
      <c r="F376" t="inlineStr">
        <is>
          <t>VÄSTERBOTTENS LÄN</t>
        </is>
      </c>
      <c r="G376" t="inlineStr">
        <is>
          <t>ROBERTSFORS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46232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46232</v>
      </c>
      <c r="F378" t="inlineStr">
        <is>
          <t>VÄSTERBOTTENS LÄN</t>
        </is>
      </c>
      <c r="G378" t="inlineStr">
        <is>
          <t>ROBERTSFORS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45238</v>
      </c>
      <c r="E379" s="1" t="n">
        <v>46232</v>
      </c>
      <c r="F379" t="inlineStr">
        <is>
          <t>VÄSTERBOTTENS LÄN</t>
        </is>
      </c>
      <c r="G379" t="inlineStr">
        <is>
          <t>ROBERTSFORS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46232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38270-2023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46232</v>
      </c>
      <c r="F381" t="inlineStr">
        <is>
          <t>VÄSTERBOTTENS LÄN</t>
        </is>
      </c>
      <c r="G381" t="inlineStr">
        <is>
          <t>ROBERTSFORS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45146</v>
      </c>
      <c r="E382" s="1" t="n">
        <v>46232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46232</v>
      </c>
      <c r="F383" t="inlineStr">
        <is>
          <t>VÄSTERBOTTENS LÄN</t>
        </is>
      </c>
      <c r="G383" t="inlineStr">
        <is>
          <t>ROBERTSFORS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46232</v>
      </c>
      <c r="F384" t="inlineStr">
        <is>
          <t>VÄSTERBOTTENS LÄN</t>
        </is>
      </c>
      <c r="G384" t="inlineStr">
        <is>
          <t>ROBERTSFORS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46232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46232</v>
      </c>
      <c r="F386" t="inlineStr">
        <is>
          <t>VÄSTERBOTTENS LÄN</t>
        </is>
      </c>
      <c r="G386" t="inlineStr">
        <is>
          <t>ROBERTSFORS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46232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46232</v>
      </c>
      <c r="F388" t="inlineStr">
        <is>
          <t>VÄSTERBOTTENS LÄN</t>
        </is>
      </c>
      <c r="G388" t="inlineStr">
        <is>
          <t>ROBERTSFORS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46232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52832-2024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46232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44580</v>
      </c>
      <c r="E391" s="1" t="n">
        <v>46232</v>
      </c>
      <c r="F391" t="inlineStr">
        <is>
          <t>VÄSTERBOTTENS LÄN</t>
        </is>
      </c>
      <c r="G391" t="inlineStr">
        <is>
          <t>ROBERTSFORS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45526</v>
      </c>
      <c r="E392" s="1" t="n">
        <v>46232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46148</v>
      </c>
      <c r="E393" s="1" t="n">
        <v>46232</v>
      </c>
      <c r="F393" t="inlineStr">
        <is>
          <t>VÄSTERBOTTENS LÄN</t>
        </is>
      </c>
      <c r="G393" t="inlineStr">
        <is>
          <t>ROBERTSFORS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46232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46232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46232</v>
      </c>
      <c r="F396" t="inlineStr">
        <is>
          <t>VÄSTERBOTTENS LÄN</t>
        </is>
      </c>
      <c r="G396" t="inlineStr">
        <is>
          <t>ROBERTSFORS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60882-2024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45644</v>
      </c>
      <c r="E397" s="1" t="n">
        <v>46232</v>
      </c>
      <c r="F397" t="inlineStr">
        <is>
          <t>VÄSTERBOTTENS LÄN</t>
        </is>
      </c>
      <c r="G397" t="inlineStr">
        <is>
          <t>ROBERTSFORS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46232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46232</v>
      </c>
      <c r="F399" t="inlineStr">
        <is>
          <t>VÄSTERBOTTENS LÄN</t>
        </is>
      </c>
      <c r="G399" t="inlineStr">
        <is>
          <t>ROBERTSFORS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46232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46150</v>
      </c>
      <c r="E401" s="1" t="n">
        <v>46232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44919</v>
      </c>
      <c r="E402" s="1" t="n">
        <v>46232</v>
      </c>
      <c r="F402" t="inlineStr">
        <is>
          <t>VÄSTERBOTTENS LÄN</t>
        </is>
      </c>
      <c r="G402" t="inlineStr">
        <is>
          <t>ROBERTSFORS</t>
        </is>
      </c>
      <c r="I402" t="n">
        <v>64.7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53984-2022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46232</v>
      </c>
      <c r="F403" t="inlineStr">
        <is>
          <t>VÄSTERBOTTENS LÄN</t>
        </is>
      </c>
      <c r="G403" t="inlineStr">
        <is>
          <t>ROBERTSFORS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46232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46232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46232</v>
      </c>
      <c r="F406" t="inlineStr">
        <is>
          <t>VÄSTERBOTTENS LÄN</t>
        </is>
      </c>
      <c r="G406" t="inlineStr">
        <is>
          <t>ROBERTSFORS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46232</v>
      </c>
      <c r="F407" t="inlineStr">
        <is>
          <t>VÄSTERBOTTENS LÄN</t>
        </is>
      </c>
      <c r="G407" t="inlineStr">
        <is>
          <t>ROBERTSFORS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46232</v>
      </c>
      <c r="F408" t="inlineStr">
        <is>
          <t>VÄSTERBOTTENS LÄN</t>
        </is>
      </c>
      <c r="G408" t="inlineStr">
        <is>
          <t>ROBERTSFORS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46232</v>
      </c>
      <c r="F409" t="inlineStr">
        <is>
          <t>VÄSTERBOTTENS LÄN</t>
        </is>
      </c>
      <c r="G409" t="inlineStr">
        <is>
          <t>ROBERTSFORS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46232</v>
      </c>
      <c r="F410" t="inlineStr">
        <is>
          <t>VÄSTERBOTTENS LÄN</t>
        </is>
      </c>
      <c r="G410" t="inlineStr">
        <is>
          <t>ROBERTSFORS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45565</v>
      </c>
      <c r="E411" s="1" t="n">
        <v>46232</v>
      </c>
      <c r="F411" t="inlineStr">
        <is>
          <t>VÄSTERBOTTENS LÄN</t>
        </is>
      </c>
      <c r="G411" t="inlineStr">
        <is>
          <t>ROBERTSFORS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46232</v>
      </c>
      <c r="F412" t="inlineStr">
        <is>
          <t>VÄSTERBOTTENS LÄN</t>
        </is>
      </c>
      <c r="G412" t="inlineStr">
        <is>
          <t>ROBERTSFORS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45627</v>
      </c>
      <c r="E413" s="1" t="n">
        <v>46232</v>
      </c>
      <c r="F413" t="inlineStr">
        <is>
          <t>VÄSTERBOTTENS LÄN</t>
        </is>
      </c>
      <c r="G413" t="inlineStr">
        <is>
          <t>ROBERTSFORS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46232</v>
      </c>
      <c r="F414" t="inlineStr">
        <is>
          <t>VÄSTERBOTTENS LÄN</t>
        </is>
      </c>
      <c r="G414" t="inlineStr">
        <is>
          <t>ROBERTSFORS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46232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45049</v>
      </c>
      <c r="E416" s="1" t="n">
        <v>46232</v>
      </c>
      <c r="F416" t="inlineStr">
        <is>
          <t>VÄSTERBOTTENS LÄN</t>
        </is>
      </c>
      <c r="G416" t="inlineStr">
        <is>
          <t>ROBERTSFORS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58426-2022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44901</v>
      </c>
      <c r="E417" s="1" t="n">
        <v>46232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46232</v>
      </c>
      <c r="F418" t="inlineStr">
        <is>
          <t>VÄSTERBOTTENS LÄN</t>
        </is>
      </c>
      <c r="G418" t="inlineStr">
        <is>
          <t>ROBERTSFORS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50046-2024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46232</v>
      </c>
      <c r="F419" t="inlineStr">
        <is>
          <t>VÄSTERBOTTENS LÄN</t>
        </is>
      </c>
      <c r="G419" t="inlineStr">
        <is>
          <t>ROBERTSFORS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46232</v>
      </c>
      <c r="F420" t="inlineStr">
        <is>
          <t>VÄSTERBOTTENS LÄN</t>
        </is>
      </c>
      <c r="G420" t="inlineStr">
        <is>
          <t>ROBERTSFORS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45502</v>
      </c>
      <c r="E421" s="1" t="n">
        <v>46232</v>
      </c>
      <c r="F421" t="inlineStr">
        <is>
          <t>VÄSTERBOTTENS LÄN</t>
        </is>
      </c>
      <c r="G421" t="inlineStr">
        <is>
          <t>ROBERTSFORS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45250</v>
      </c>
      <c r="E422" s="1" t="n">
        <v>46232</v>
      </c>
      <c r="F422" t="inlineStr">
        <is>
          <t>VÄSTERBOTTENS LÄN</t>
        </is>
      </c>
      <c r="G422" t="inlineStr">
        <is>
          <t>ROBERTSFORS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46232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46232</v>
      </c>
      <c r="F424" t="inlineStr">
        <is>
          <t>VÄSTERBOTTENS LÄN</t>
        </is>
      </c>
      <c r="G424" t="inlineStr">
        <is>
          <t>ROBERTSFORS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46232</v>
      </c>
      <c r="F425" t="inlineStr">
        <is>
          <t>VÄSTERBOTTENS LÄN</t>
        </is>
      </c>
      <c r="G425" t="inlineStr">
        <is>
          <t>ROBERTSFORS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46232</v>
      </c>
      <c r="F426" t="inlineStr">
        <is>
          <t>VÄSTERBOTTENS LÄN</t>
        </is>
      </c>
      <c r="G426" t="inlineStr">
        <is>
          <t>ROBERTSFORS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44571</v>
      </c>
      <c r="E427" s="1" t="n">
        <v>46232</v>
      </c>
      <c r="F427" t="inlineStr">
        <is>
          <t>VÄSTERBOTTENS LÄN</t>
        </is>
      </c>
      <c r="G427" t="inlineStr">
        <is>
          <t>ROBERTSFORS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46232</v>
      </c>
      <c r="F428" t="inlineStr">
        <is>
          <t>VÄSTERBOTTENS LÄN</t>
        </is>
      </c>
      <c r="G428" t="inlineStr">
        <is>
          <t>ROBERTSFORS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46232</v>
      </c>
      <c r="F429" t="inlineStr">
        <is>
          <t>VÄSTERBOTTENS LÄN</t>
        </is>
      </c>
      <c r="G429" t="inlineStr">
        <is>
          <t>ROBERTSFORS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46232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45468</v>
      </c>
      <c r="E431" s="1" t="n">
        <v>46232</v>
      </c>
      <c r="F431" t="inlineStr">
        <is>
          <t>VÄSTERBOTTENS LÄN</t>
        </is>
      </c>
      <c r="G431" t="inlineStr">
        <is>
          <t>ROBERTSFORS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45545</v>
      </c>
      <c r="E432" s="1" t="n">
        <v>46232</v>
      </c>
      <c r="F432" t="inlineStr">
        <is>
          <t>VÄSTERBOTTENS LÄN</t>
        </is>
      </c>
      <c r="G432" t="inlineStr">
        <is>
          <t>ROBERTSFORS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46232</v>
      </c>
      <c r="F433" t="inlineStr">
        <is>
          <t>VÄSTERBOTTENS LÄN</t>
        </is>
      </c>
      <c r="G433" t="inlineStr">
        <is>
          <t>ROBERTSFORS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45664</v>
      </c>
      <c r="E434" s="1" t="n">
        <v>46232</v>
      </c>
      <c r="F434" t="inlineStr">
        <is>
          <t>VÄSTERBOTTENS LÄN</t>
        </is>
      </c>
      <c r="G434" t="inlineStr">
        <is>
          <t>ROBERTSFORS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46232</v>
      </c>
      <c r="F435" t="inlineStr">
        <is>
          <t>VÄSTERBOTTENS LÄN</t>
        </is>
      </c>
      <c r="G435" t="inlineStr">
        <is>
          <t>ROBERTSFORS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45708</v>
      </c>
      <c r="E436" s="1" t="n">
        <v>46232</v>
      </c>
      <c r="F436" t="inlineStr">
        <is>
          <t>VÄSTERBOTTENS LÄN</t>
        </is>
      </c>
      <c r="G436" t="inlineStr">
        <is>
          <t>ROBERTSFORS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46232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SCA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45496</v>
      </c>
      <c r="E438" s="1" t="n">
        <v>46232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10173-2022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44622</v>
      </c>
      <c r="E439" s="1" t="n">
        <v>46232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25572-2023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45082</v>
      </c>
      <c r="E440" s="1" t="n">
        <v>46232</v>
      </c>
      <c r="F440" t="inlineStr">
        <is>
          <t>VÄSTERBOTTENS LÄN</t>
        </is>
      </c>
      <c r="G440" t="inlineStr">
        <is>
          <t>ROBERTSFORS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46232</v>
      </c>
      <c r="F441" t="inlineStr">
        <is>
          <t>VÄSTERBOTTENS LÄN</t>
        </is>
      </c>
      <c r="G441" t="inlineStr">
        <is>
          <t>ROBERTSFORS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45580</v>
      </c>
      <c r="E442" s="1" t="n">
        <v>46232</v>
      </c>
      <c r="F442" t="inlineStr">
        <is>
          <t>VÄSTERBOTTENS LÄN</t>
        </is>
      </c>
      <c r="G442" t="inlineStr">
        <is>
          <t>ROBERTSFORS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44952</v>
      </c>
      <c r="E443" s="1" t="n">
        <v>46232</v>
      </c>
      <c r="F443" t="inlineStr">
        <is>
          <t>VÄSTERBOTTENS LÄN</t>
        </is>
      </c>
      <c r="G443" t="inlineStr">
        <is>
          <t>ROBERTSFORS</t>
        </is>
      </c>
      <c r="I443" t="n">
        <v>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46232</v>
      </c>
      <c r="F444" t="inlineStr">
        <is>
          <t>VÄSTERBOTTENS LÄN</t>
        </is>
      </c>
      <c r="G444" t="inlineStr">
        <is>
          <t>ROBERTSFORS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46232</v>
      </c>
      <c r="F445" t="inlineStr">
        <is>
          <t>VÄSTERBOTTENS LÄN</t>
        </is>
      </c>
      <c r="G445" t="inlineStr">
        <is>
          <t>ROBERTSFORS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45708</v>
      </c>
      <c r="E446" s="1" t="n">
        <v>46232</v>
      </c>
      <c r="F446" t="inlineStr">
        <is>
          <t>VÄSTERBOTTENS LÄN</t>
        </is>
      </c>
      <c r="G446" t="inlineStr">
        <is>
          <t>ROBERTSFORS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43547-2023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45184</v>
      </c>
      <c r="E447" s="1" t="n">
        <v>46232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44952</v>
      </c>
      <c r="E448" s="1" t="n">
        <v>46232</v>
      </c>
      <c r="F448" t="inlineStr">
        <is>
          <t>VÄSTERBOTTENS LÄN</t>
        </is>
      </c>
      <c r="G448" t="inlineStr">
        <is>
          <t>ROBERTSFORS</t>
        </is>
      </c>
      <c r="I448" t="n">
        <v>16.1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46232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15.9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51873-2024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45607</v>
      </c>
      <c r="E450" s="1" t="n">
        <v>46232</v>
      </c>
      <c r="F450" t="inlineStr">
        <is>
          <t>VÄSTERBOTTENS LÄN</t>
        </is>
      </c>
      <c r="G450" t="inlineStr">
        <is>
          <t>ROBERTSFORS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24647-2026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46171</v>
      </c>
      <c r="E451" s="1" t="n">
        <v>46232</v>
      </c>
      <c r="F451" t="inlineStr">
        <is>
          <t>VÄSTERBOTTENS LÄN</t>
        </is>
      </c>
      <c r="G451" t="inlineStr">
        <is>
          <t>ROBERTSFORS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46232</v>
      </c>
      <c r="F452" t="inlineStr">
        <is>
          <t>VÄSTERBOTTENS LÄN</t>
        </is>
      </c>
      <c r="G452" t="inlineStr">
        <is>
          <t>ROBERTSFORS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45659</v>
      </c>
      <c r="E453" s="1" t="n">
        <v>46232</v>
      </c>
      <c r="F453" t="inlineStr">
        <is>
          <t>VÄSTERBOTTENS LÄN</t>
        </is>
      </c>
      <c r="G453" t="inlineStr">
        <is>
          <t>ROBERTSFORS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10188-2023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46232</v>
      </c>
      <c r="F454" t="inlineStr">
        <is>
          <t>VÄSTERBOTTENS LÄN</t>
        </is>
      </c>
      <c r="G454" t="inlineStr">
        <is>
          <t>ROBERTSFORS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46232</v>
      </c>
      <c r="F455" t="inlineStr">
        <is>
          <t>VÄSTERBOTTENS LÄN</t>
        </is>
      </c>
      <c r="G455" t="inlineStr">
        <is>
          <t>ROBERTSFORS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46232</v>
      </c>
      <c r="F456" t="inlineStr">
        <is>
          <t>VÄSTERBOTTENS LÄN</t>
        </is>
      </c>
      <c r="G456" t="inlineStr">
        <is>
          <t>ROBERTSFORS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45386</v>
      </c>
      <c r="E457" s="1" t="n">
        <v>46232</v>
      </c>
      <c r="F457" t="inlineStr">
        <is>
          <t>VÄSTERBOTTENS LÄN</t>
        </is>
      </c>
      <c r="G457" t="inlineStr">
        <is>
          <t>ROBERTSFORS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46232</v>
      </c>
      <c r="F458" t="inlineStr">
        <is>
          <t>VÄSTERBOTTENS LÄN</t>
        </is>
      </c>
      <c r="G458" t="inlineStr">
        <is>
          <t>ROBERTSFORS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45135</v>
      </c>
      <c r="E459" s="1" t="n">
        <v>46232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46232</v>
      </c>
      <c r="F460" t="inlineStr">
        <is>
          <t>VÄSTERBOTTENS LÄN</t>
        </is>
      </c>
      <c r="G460" t="inlineStr">
        <is>
          <t>ROBERTSFORS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46176</v>
      </c>
      <c r="E461" s="1" t="n">
        <v>46232</v>
      </c>
      <c r="F461" t="inlineStr">
        <is>
          <t>VÄSTERBOTTENS LÄN</t>
        </is>
      </c>
      <c r="G461" t="inlineStr">
        <is>
          <t>ROBERTSFORS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46232</v>
      </c>
      <c r="F462" t="inlineStr">
        <is>
          <t>VÄSTERBOTTENS LÄN</t>
        </is>
      </c>
      <c r="G462" t="inlineStr">
        <is>
          <t>ROBERTSFORS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16872-2026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46113</v>
      </c>
      <c r="E463" s="1" t="n">
        <v>46232</v>
      </c>
      <c r="F463" t="inlineStr">
        <is>
          <t>VÄSTERBOTTENS LÄN</t>
        </is>
      </c>
      <c r="G463" t="inlineStr">
        <is>
          <t>ROBERTSFORS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23647-2024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45454</v>
      </c>
      <c r="E464" s="1" t="n">
        <v>46232</v>
      </c>
      <c r="F464" t="inlineStr">
        <is>
          <t>VÄSTERBOTTENS LÄN</t>
        </is>
      </c>
      <c r="G464" t="inlineStr">
        <is>
          <t>ROBERTSFORS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46232</v>
      </c>
      <c r="F465" t="inlineStr">
        <is>
          <t>VÄSTERBOTTENS LÄN</t>
        </is>
      </c>
      <c r="G465" t="inlineStr">
        <is>
          <t>ROBERTSFORS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45040</v>
      </c>
      <c r="E466" s="1" t="n">
        <v>46232</v>
      </c>
      <c r="F466" t="inlineStr">
        <is>
          <t>VÄSTERBOTTENS LÄN</t>
        </is>
      </c>
      <c r="G466" t="inlineStr">
        <is>
          <t>ROBERTSFORS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17848-2022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44683</v>
      </c>
      <c r="E467" s="1" t="n">
        <v>46232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46232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46232</v>
      </c>
      <c r="F469" t="inlineStr">
        <is>
          <t>VÄSTERBOTTENS LÄN</t>
        </is>
      </c>
      <c r="G469" t="inlineStr">
        <is>
          <t>ROBERTSFORS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46232</v>
      </c>
      <c r="F470" t="inlineStr">
        <is>
          <t>VÄSTERBOTTENS LÄN</t>
        </is>
      </c>
      <c r="G470" t="inlineStr">
        <is>
          <t>ROBERTSFORS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46232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46232</v>
      </c>
      <c r="F472" t="inlineStr">
        <is>
          <t>VÄSTERBOTTENS LÄN</t>
        </is>
      </c>
      <c r="G472" t="inlineStr">
        <is>
          <t>ROBERTSFORS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45659</v>
      </c>
      <c r="E473" s="1" t="n">
        <v>46232</v>
      </c>
      <c r="F473" t="inlineStr">
        <is>
          <t>VÄSTERBOTTENS LÄN</t>
        </is>
      </c>
      <c r="G473" t="inlineStr">
        <is>
          <t>ROBERTSFORS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31666-2026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46225</v>
      </c>
      <c r="E474" s="1" t="n">
        <v>46232</v>
      </c>
      <c r="F474" t="inlineStr">
        <is>
          <t>VÄSTERBOTTENS LÄN</t>
        </is>
      </c>
      <c r="G474" t="inlineStr">
        <is>
          <t>ROBERTSFORS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46225</v>
      </c>
      <c r="E475" s="1" t="n">
        <v>46232</v>
      </c>
      <c r="F475" t="inlineStr">
        <is>
          <t>VÄSTERBOTTENS LÄN</t>
        </is>
      </c>
      <c r="G475" t="inlineStr">
        <is>
          <t>ROBERTSFORS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45525</v>
      </c>
      <c r="E476" s="1" t="n">
        <v>46232</v>
      </c>
      <c r="F476" t="inlineStr">
        <is>
          <t>VÄSTERBOTTENS LÄN</t>
        </is>
      </c>
      <c r="G476" t="inlineStr">
        <is>
          <t>ROBERTSFORS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45692</v>
      </c>
      <c r="E477" s="1" t="n">
        <v>46232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46232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46225</v>
      </c>
      <c r="E479" s="1" t="n">
        <v>46232</v>
      </c>
      <c r="F479" t="inlineStr">
        <is>
          <t>VÄSTERBOTTENS LÄN</t>
        </is>
      </c>
      <c r="G479" t="inlineStr">
        <is>
          <t>ROBERTSFORS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46232</v>
      </c>
      <c r="F480" t="inlineStr">
        <is>
          <t>VÄSTERBOTTENS LÄN</t>
        </is>
      </c>
      <c r="G480" t="inlineStr">
        <is>
          <t>ROBERTSFORS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73557-2021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44551</v>
      </c>
      <c r="E481" s="1" t="n">
        <v>46232</v>
      </c>
      <c r="F481" t="inlineStr">
        <is>
          <t>VÄSTERBOTTENS LÄN</t>
        </is>
      </c>
      <c r="G481" t="inlineStr">
        <is>
          <t>ROBERTSFORS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46230</v>
      </c>
      <c r="E482" s="1" t="n">
        <v>46232</v>
      </c>
      <c r="F482" t="inlineStr">
        <is>
          <t>VÄSTERBOTTENS LÄN</t>
        </is>
      </c>
      <c r="G482" t="inlineStr">
        <is>
          <t>ROBERTSFORS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46232</v>
      </c>
      <c r="F483" t="inlineStr">
        <is>
          <t>VÄSTERBOTTENS LÄN</t>
        </is>
      </c>
      <c r="G483" t="inlineStr">
        <is>
          <t>ROBERTSFORS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26972-2026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46232</v>
      </c>
      <c r="F484" t="inlineStr">
        <is>
          <t>VÄSTERBOTTENS LÄN</t>
        </is>
      </c>
      <c r="G484" t="inlineStr">
        <is>
          <t>ROBERTSFORS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27315-2026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46232</v>
      </c>
      <c r="F485" t="inlineStr">
        <is>
          <t>VÄSTERBOTTENS LÄN</t>
        </is>
      </c>
      <c r="G485" t="inlineStr">
        <is>
          <t>ROBERTSFORS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44732</v>
      </c>
      <c r="E486" s="1" t="n">
        <v>46232</v>
      </c>
      <c r="F486" t="inlineStr">
        <is>
          <t>VÄSTERBOTTENS LÄN</t>
        </is>
      </c>
      <c r="G486" t="inlineStr">
        <is>
          <t>ROBERTSFORS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46232</v>
      </c>
      <c r="F487" t="inlineStr">
        <is>
          <t>VÄSTERBOTTENS LÄN</t>
        </is>
      </c>
      <c r="G487" t="inlineStr">
        <is>
          <t>ROBERTSFORS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46232</v>
      </c>
      <c r="F488" t="inlineStr">
        <is>
          <t>VÄSTERBOTTENS LÄN</t>
        </is>
      </c>
      <c r="G488" t="inlineStr">
        <is>
          <t>ROBERTSFORS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46232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46232</v>
      </c>
      <c r="F490" t="inlineStr">
        <is>
          <t>VÄSTERBOTTENS LÄN</t>
        </is>
      </c>
      <c r="G490" t="inlineStr">
        <is>
          <t>ROBERTSFORS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46232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46232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46232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46232</v>
      </c>
      <c r="F494" t="inlineStr">
        <is>
          <t>VÄSTERBOTTENS LÄN</t>
        </is>
      </c>
      <c r="G494" t="inlineStr">
        <is>
          <t>ROBERTSFORS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46232</v>
      </c>
      <c r="F495" t="inlineStr">
        <is>
          <t>VÄSTERBOTTENS LÄN</t>
        </is>
      </c>
      <c r="G495" t="inlineStr">
        <is>
          <t>ROBERTSFORS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46232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45670</v>
      </c>
      <c r="E497" s="1" t="n">
        <v>46232</v>
      </c>
      <c r="F497" t="inlineStr">
        <is>
          <t>VÄSTERBOTTENS LÄN</t>
        </is>
      </c>
      <c r="G497" t="inlineStr">
        <is>
          <t>ROBERTSFORS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45687</v>
      </c>
      <c r="E498" s="1" t="n">
        <v>46232</v>
      </c>
      <c r="F498" t="inlineStr">
        <is>
          <t>VÄSTERBOTTENS LÄN</t>
        </is>
      </c>
      <c r="G498" t="inlineStr">
        <is>
          <t>ROBERTSFORS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45701</v>
      </c>
      <c r="E499" s="1" t="n">
        <v>46232</v>
      </c>
      <c r="F499" t="inlineStr">
        <is>
          <t>VÄSTERBOTTENS LÄN</t>
        </is>
      </c>
      <c r="G499" t="inlineStr">
        <is>
          <t>ROBERTSFORS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46232</v>
      </c>
      <c r="F500" t="inlineStr">
        <is>
          <t>VÄSTERBOTTENS LÄN</t>
        </is>
      </c>
      <c r="G500" t="inlineStr">
        <is>
          <t>ROBERTSFORS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46232</v>
      </c>
      <c r="F501" t="inlineStr">
        <is>
          <t>VÄSTERBOTTENS LÄN</t>
        </is>
      </c>
      <c r="G501" t="inlineStr">
        <is>
          <t>ROBERTSFORS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46232</v>
      </c>
      <c r="F502" t="inlineStr">
        <is>
          <t>VÄSTERBOTTENS LÄN</t>
        </is>
      </c>
      <c r="G502" t="inlineStr">
        <is>
          <t>ROBERTSFORS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45160</v>
      </c>
      <c r="E503" s="1" t="n">
        <v>46232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60570-2024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46232</v>
      </c>
      <c r="F504" t="inlineStr">
        <is>
          <t>VÄSTERBOTTENS LÄN</t>
        </is>
      </c>
      <c r="G504" t="inlineStr">
        <is>
          <t>ROBERTSFORS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46232</v>
      </c>
      <c r="F505" t="inlineStr">
        <is>
          <t>VÄSTERBOTTENS LÄN</t>
        </is>
      </c>
      <c r="G505" t="inlineStr">
        <is>
          <t>ROBERTSFORS</t>
        </is>
      </c>
      <c r="I505" t="n">
        <v>12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45495</v>
      </c>
      <c r="E506" s="1" t="n">
        <v>46232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45642</v>
      </c>
      <c r="E507" s="1" t="n">
        <v>46232</v>
      </c>
      <c r="F507" t="inlineStr">
        <is>
          <t>VÄSTERBOTTENS LÄN</t>
        </is>
      </c>
      <c r="G507" t="inlineStr">
        <is>
          <t>ROBERTSFORS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44372-2023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45188</v>
      </c>
      <c r="E508" s="1" t="n">
        <v>46232</v>
      </c>
      <c r="F508" t="inlineStr">
        <is>
          <t>VÄSTERBOTTENS LÄN</t>
        </is>
      </c>
      <c r="G508" t="inlineStr">
        <is>
          <t>ROBERTSFORS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45792</v>
      </c>
      <c r="E509" s="1" t="n">
        <v>46232</v>
      </c>
      <c r="F509" t="inlineStr">
        <is>
          <t>VÄSTERBOTTENS LÄN</t>
        </is>
      </c>
      <c r="G509" t="inlineStr">
        <is>
          <t>ROBERTSFORS</t>
        </is>
      </c>
      <c r="I509" t="n">
        <v>11.3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46232</v>
      </c>
      <c r="F510" t="inlineStr">
        <is>
          <t>VÄSTERBOTTENS LÄN</t>
        </is>
      </c>
      <c r="G510" t="inlineStr">
        <is>
          <t>ROBERTSFORS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46232</v>
      </c>
      <c r="F511" t="inlineStr">
        <is>
          <t>VÄSTERBOTTENS LÄN</t>
        </is>
      </c>
      <c r="G511" t="inlineStr">
        <is>
          <t>ROBERTSFORS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23961-2025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45794</v>
      </c>
      <c r="E512" s="1" t="n">
        <v>46232</v>
      </c>
      <c r="F512" t="inlineStr">
        <is>
          <t>VÄSTERBOTTENS LÄN</t>
        </is>
      </c>
      <c r="G512" t="inlineStr">
        <is>
          <t>ROBERTSFORS</t>
        </is>
      </c>
      <c r="I512" t="n">
        <v>7.3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45761</v>
      </c>
      <c r="E513" s="1" t="n">
        <v>46232</v>
      </c>
      <c r="F513" t="inlineStr">
        <is>
          <t>VÄSTERBOTTENS LÄN</t>
        </is>
      </c>
      <c r="G513" t="inlineStr">
        <is>
          <t>ROBERTSFORS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2849-2022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44707</v>
      </c>
      <c r="E514" s="1" t="n">
        <v>46232</v>
      </c>
      <c r="F514" t="inlineStr">
        <is>
          <t>VÄSTERBOTTENS LÄN</t>
        </is>
      </c>
      <c r="G514" t="inlineStr">
        <is>
          <t>ROBERTSFORS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8592-2021</t>
        </is>
      </c>
      <c r="B515" t="inlineStr">
        <is>
          <t>samrådsanmälan</t>
        </is>
      </c>
      <c r="C515" t="inlineStr">
        <is>
          <t>Skogsbilväg</t>
        </is>
      </c>
      <c r="D515" s="1" t="n">
        <v>44501</v>
      </c>
      <c r="E515" s="1" t="n">
        <v>46232</v>
      </c>
      <c r="F515" t="inlineStr">
        <is>
          <t>VÄSTERBOTTENS LÄN</t>
        </is>
      </c>
      <c r="G515" t="inlineStr">
        <is>
          <t>ROBERTSFORS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1034-2025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45747</v>
      </c>
      <c r="E516" s="1" t="n">
        <v>46232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1249-2025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45762</v>
      </c>
      <c r="E517" s="1" t="n">
        <v>46232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175.8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702-2026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46092</v>
      </c>
      <c r="E518" s="1" t="n">
        <v>46232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1273-2026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46147</v>
      </c>
      <c r="E519" s="1" t="n">
        <v>46232</v>
      </c>
      <c r="F519" t="inlineStr">
        <is>
          <t>VÄSTERBOTTENS LÄN</t>
        </is>
      </c>
      <c r="G519" t="inlineStr">
        <is>
          <t>ROBERTSFORS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1322-2026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46149</v>
      </c>
      <c r="E520" s="1" t="n">
        <v>46232</v>
      </c>
      <c r="F520" t="inlineStr">
        <is>
          <t>VÄSTERBOTTENS LÄN</t>
        </is>
      </c>
      <c r="G520" t="inlineStr">
        <is>
          <t>ROBERTSFORS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1416-2026</t>
        </is>
      </c>
      <c r="B521" t="inlineStr">
        <is>
          <t>samrådsanmälan</t>
        </is>
      </c>
      <c r="C521" t="inlineStr">
        <is>
          <t>Skogsgödsling</t>
        </is>
      </c>
      <c r="D521" s="1" t="n">
        <v>46155</v>
      </c>
      <c r="E521" s="1" t="n">
        <v>46232</v>
      </c>
      <c r="F521" t="inlineStr">
        <is>
          <t>VÄSTERBOTTENS LÄN</t>
        </is>
      </c>
      <c r="G521" t="inlineStr">
        <is>
          <t>ROBERTSFORS</t>
        </is>
      </c>
      <c r="I521" t="n">
        <v>32.7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2026-07-29T01:53:37Z</dcterms:created>
  <dcterms:modified xmlns:dcterms="http://purl.org/dc/terms/" xmlns:xsi="http://www.w3.org/2001/XMLSchema-instance" xsi:type="dcterms:W3CDTF">2026-07-29T01:53:38Z</dcterms:modified>
</cp:coreProperties>
</file>