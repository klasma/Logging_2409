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46225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46225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46225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46225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46225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46225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46225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46225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46225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46225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46225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46225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46225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46225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46225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46225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46225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Gråspett
Tjäder</t>
        </is>
      </c>
      <c r="W23">
        <f>HYPERLINK("https://klasma.github.io/Logging_2409/artfynd/A 24241-2022 artfynd.xlsx", "A 24241-2022")</f>
        <v/>
      </c>
      <c r="X23">
        <f>HYPERLINK("https://klasma.github.io/Logging_2409/kartor/A 24241-2022 karta.png", "A 24241-2022")</f>
        <v/>
      </c>
      <c r="Y23">
        <f>HYPERLINK("https://klasma.github.io/Logging_2409/kartor_geotiff/A 24241-2022 georefererad karta.tif", "A 24241-2022")</f>
        <v/>
      </c>
      <c r="AA23">
        <f>HYPERLINK("https://klasma.github.io/Logging_2409/klagomål/A 24241-2022 FSC-klagomål.docx", "A 24241-2022")</f>
        <v/>
      </c>
      <c r="AB23">
        <f>HYPERLINK("https://klasma.github.io/Logging_2409/klagomålsmail/A 24241-2022 FSC-klagomål mail.docx", "A 24241-2022")</f>
        <v/>
      </c>
      <c r="AC23">
        <f>HYPERLINK("https://klasma.github.io/Logging_2409/tillsyn/A 24241-2022 tillsynsbegäran.docx", "A 24241-2022")</f>
        <v/>
      </c>
      <c r="AD23">
        <f>HYPERLINK("https://klasma.github.io/Logging_2409/tillsynsmail/A 24241-2022 tillsynsbegäran mail.docx", "A 24241-2022")</f>
        <v/>
      </c>
      <c r="AE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46225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46225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46225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46225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46225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46225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46225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26807-2026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46225</v>
      </c>
      <c r="F31" t="inlineStr">
        <is>
          <t>VÄSTERBOTTENS LÄN</t>
        </is>
      </c>
      <c r="G31" t="inlineStr">
        <is>
          <t>ROBERTSFORS</t>
        </is>
      </c>
      <c r="I31" t="n">
        <v>4.2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16</v>
      </c>
      <c r="U31" t="n">
        <v>0</v>
      </c>
      <c r="V31" s="2" t="inlineStr">
        <is>
          <t>Garnlav
Tretåig hackspett</t>
        </is>
      </c>
      <c r="W31">
        <f>HYPERLINK("https://klasma.github.io/Logging_2409/artfynd/A 26807-2026 artfynd.xlsx", "A 26807-2026")</f>
        <v/>
      </c>
      <c r="X31">
        <f>HYPERLINK("https://klasma.github.io/Logging_2409/kartor/A 26807-2026 karta.png", "A 26807-2026")</f>
        <v/>
      </c>
      <c r="Y31">
        <f>HYPERLINK("https://klasma.github.io/Logging_2409/kartor_geotiff/A 26807-2026 georefererad karta.tif", "A 26807-2026")</f>
        <v/>
      </c>
      <c r="AA31">
        <f>HYPERLINK("https://klasma.github.io/Logging_2409/klagomål/A 26807-2026 FSC-klagomål.docx", "A 26807-2026")</f>
        <v/>
      </c>
      <c r="AB31">
        <f>HYPERLINK("https://klasma.github.io/Logging_2409/klagomålsmail/A 26807-2026 FSC-klagomål mail.docx", "A 26807-2026")</f>
        <v/>
      </c>
      <c r="AC31">
        <f>HYPERLINK("https://klasma.github.io/Logging_2409/tillsyn/A 26807-2026 tillsynsbegäran.docx", "A 26807-2026")</f>
        <v/>
      </c>
      <c r="AD31">
        <f>HYPERLINK("https://klasma.github.io/Logging_2409/tillsynsmail/A 26807-2026 tillsynsbegäran mail.docx", "A 26807-2026")</f>
        <v/>
      </c>
      <c r="AE31">
        <f>HYPERLINK("https://klasma.github.io/Logging_2409/fåglar/A 26807-2026 prioriterade fågelarter.docx", "A 26807-2026")</f>
        <v/>
      </c>
    </row>
    <row r="32" ht="15" customHeight="1">
      <c r="A32" t="inlineStr">
        <is>
          <t>A 19724-2023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46225</v>
      </c>
      <c r="F32" t="inlineStr">
        <is>
          <t>VÄSTERBOTTENS LÄN</t>
        </is>
      </c>
      <c r="G32" t="inlineStr">
        <is>
          <t>ROBERTSFORS</t>
        </is>
      </c>
      <c r="I32" t="n">
        <v>6.1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Skarp dropptaggsvamp</t>
        </is>
      </c>
      <c r="W32">
        <f>HYPERLINK("https://klasma.github.io/Logging_2409/artfynd/A 19724-2023 artfynd.xlsx", "A 19724-2023")</f>
        <v/>
      </c>
      <c r="X32">
        <f>HYPERLINK("https://klasma.github.io/Logging_2409/kartor/A 19724-2023 karta.png", "A 19724-2023")</f>
        <v/>
      </c>
      <c r="Y32">
        <f>HYPERLINK("https://klasma.github.io/Logging_2409/kartor_geotiff/A 19724-2023 georefererad karta.tif", "A 19724-2023")</f>
        <v/>
      </c>
      <c r="AA32">
        <f>HYPERLINK("https://klasma.github.io/Logging_2409/klagomål/A 19724-2023 FSC-klagomål.docx", "A 19724-2023")</f>
        <v/>
      </c>
      <c r="AB32">
        <f>HYPERLINK("https://klasma.github.io/Logging_2409/klagomålsmail/A 19724-2023 FSC-klagomål mail.docx", "A 19724-2023")</f>
        <v/>
      </c>
      <c r="AC32">
        <f>HYPERLINK("https://klasma.github.io/Logging_2409/tillsyn/A 19724-2023 tillsynsbegäran.docx", "A 19724-2023")</f>
        <v/>
      </c>
      <c r="AD32">
        <f>HYPERLINK("https://klasma.github.io/Logging_2409/tillsynsmail/A 19724-2023 tillsynsbegäran mail.docx", "A 19724-2023")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46225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31320-2024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46225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4.9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Kolflarnlav
Vedflamlav</t>
        </is>
      </c>
      <c r="W34">
        <f>HYPERLINK("https://klasma.github.io/Logging_2409/artfynd/A 31320-2024 artfynd.xlsx", "A 31320-2024")</f>
        <v/>
      </c>
      <c r="X34">
        <f>HYPERLINK("https://klasma.github.io/Logging_2409/kartor/A 31320-2024 karta.png", "A 31320-2024")</f>
        <v/>
      </c>
      <c r="Y34">
        <f>HYPERLINK("https://klasma.github.io/Logging_2409/kartor_geotiff/A 31320-2024 georefererad karta.tif", "A 31320-2024")</f>
        <v/>
      </c>
      <c r="AA34">
        <f>HYPERLINK("https://klasma.github.io/Logging_2409/klagomål/A 31320-2024 FSC-klagomål.docx", "A 31320-2024")</f>
        <v/>
      </c>
      <c r="AB34">
        <f>HYPERLINK("https://klasma.github.io/Logging_2409/klagomålsmail/A 31320-2024 FSC-klagomål mail.docx", "A 31320-2024")</f>
        <v/>
      </c>
      <c r="AC34">
        <f>HYPERLINK("https://klasma.github.io/Logging_2409/tillsyn/A 31320-2024 tillsynsbegäran.docx", "A 31320-2024")</f>
        <v/>
      </c>
      <c r="AD34">
        <f>HYPERLINK("https://klasma.github.io/Logging_2409/tillsynsmail/A 31320-2024 tillsynsbegäran mail.docx", "A 31320-2024")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46225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46225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46225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Tretåig hackspett
Spillkråka</t>
        </is>
      </c>
      <c r="W37">
        <f>HYPERLINK("https://klasma.github.io/Logging_2409/artfynd/A 41723-2024 artfynd.xlsx", "A 41723-2024")</f>
        <v/>
      </c>
      <c r="X37">
        <f>HYPERLINK("https://klasma.github.io/Logging_2409/kartor/A 41723-2024 karta.png", "A 41723-2024")</f>
        <v/>
      </c>
      <c r="Y37">
        <f>HYPERLINK("https://klasma.github.io/Logging_2409/kartor_geotiff/A 41723-2024 georefererad karta.tif", "A 41723-2024")</f>
        <v/>
      </c>
      <c r="AA37">
        <f>HYPERLINK("https://klasma.github.io/Logging_2409/klagomål/A 41723-2024 FSC-klagomål.docx", "A 41723-2024")</f>
        <v/>
      </c>
      <c r="AB37">
        <f>HYPERLINK("https://klasma.github.io/Logging_2409/klagomålsmail/A 41723-2024 FSC-klagomål mail.docx", "A 41723-2024")</f>
        <v/>
      </c>
      <c r="AC37">
        <f>HYPERLINK("https://klasma.github.io/Logging_2409/tillsyn/A 41723-2024 tillsynsbegäran.docx", "A 41723-2024")</f>
        <v/>
      </c>
      <c r="AD37">
        <f>HYPERLINK("https://klasma.github.io/Logging_2409/tillsynsmail/A 41723-2024 tillsynsbegäran mail.docx", "A 41723-2024")</f>
        <v/>
      </c>
      <c r="AE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46225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46225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5285-2026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46225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HYPERLINK("https://klasma.github.io/Logging_2409/artfynd/A 5285-2026 artfynd.xlsx", "A 5285-2026")</f>
        <v/>
      </c>
      <c r="X43">
        <f>HYPERLINK("https://klasma.github.io/Logging_2409/kartor/A 5285-2026 karta.png", "A 5285-2026")</f>
        <v/>
      </c>
      <c r="Y43">
        <f>HYPERLINK("https://klasma.github.io/Logging_2409/kartor_geotiff/A 5285-2026 georefererad karta.tif", "A 5285-2026")</f>
        <v/>
      </c>
      <c r="AA43">
        <f>HYPERLINK("https://klasma.github.io/Logging_2409/klagomål/A 5285-2026 FSC-klagomål.docx", "A 5285-2026")</f>
        <v/>
      </c>
      <c r="AB43">
        <f>HYPERLINK("https://klasma.github.io/Logging_2409/klagomålsmail/A 5285-2026 FSC-klagomål mail.docx", "A 5285-2026")</f>
        <v/>
      </c>
      <c r="AC43">
        <f>HYPERLINK("https://klasma.github.io/Logging_2409/tillsyn/A 5285-2026 tillsynsbegäran.docx", "A 5285-2026")</f>
        <v/>
      </c>
      <c r="AD43">
        <f>HYPERLINK("https://klasma.github.io/Logging_2409/tillsynsmail/A 5285-2026 tillsynsbegäran mail.docx", "A 5285-2026")</f>
        <v/>
      </c>
      <c r="AE43">
        <f>HYPERLINK("https://klasma.github.io/Logging_2409/fåglar/A 5285-2026 prioriterade fågelarter.docx", "A 5285-2026")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46225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5289-2026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46225</v>
      </c>
      <c r="F45" t="inlineStr">
        <is>
          <t>VÄSTERBOTTENS LÄN</t>
        </is>
      </c>
      <c r="G45" t="inlineStr">
        <is>
          <t>ROBERTSFORS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Björktrast</t>
        </is>
      </c>
      <c r="W45">
        <f>HYPERLINK("https://klasma.github.io/Logging_2409/artfynd/A 5289-2026 artfynd.xlsx", "A 5289-2026")</f>
        <v/>
      </c>
      <c r="X45">
        <f>HYPERLINK("https://klasma.github.io/Logging_2409/kartor/A 5289-2026 karta.png", "A 5289-2026")</f>
        <v/>
      </c>
      <c r="Y45">
        <f>HYPERLINK("https://klasma.github.io/Logging_2409/kartor_geotiff/A 5289-2026 georefererad karta.tif", "A 5289-2026")</f>
        <v/>
      </c>
      <c r="AA45">
        <f>HYPERLINK("https://klasma.github.io/Logging_2409/klagomål/A 5289-2026 FSC-klagomål.docx", "A 5289-2026")</f>
        <v/>
      </c>
      <c r="AB45">
        <f>HYPERLINK("https://klasma.github.io/Logging_2409/klagomålsmail/A 5289-2026 FSC-klagomål mail.docx", "A 5289-2026")</f>
        <v/>
      </c>
      <c r="AC45">
        <f>HYPERLINK("https://klasma.github.io/Logging_2409/tillsyn/A 5289-2026 tillsynsbegäran.docx", "A 5289-2026")</f>
        <v/>
      </c>
      <c r="AD45">
        <f>HYPERLINK("https://klasma.github.io/Logging_2409/tillsynsmail/A 5289-2026 tillsynsbegäran mail.docx", "A 5289-2026")</f>
        <v/>
      </c>
      <c r="AE45">
        <f>HYPERLINK("https://klasma.github.io/Logging_2409/fåglar/A 5289-2026 prioriterade fågelarter.docx", "A 5289-2026")</f>
        <v/>
      </c>
    </row>
    <row r="46" ht="15" customHeight="1">
      <c r="A46" t="inlineStr">
        <is>
          <t>A 30344-2025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46225</v>
      </c>
      <c r="F46" t="inlineStr">
        <is>
          <t>VÄSTERBOTTENS LÄN</t>
        </is>
      </c>
      <c r="G46" t="inlineStr">
        <is>
          <t>ROBERTSFORS</t>
        </is>
      </c>
      <c r="I46" t="n">
        <v>22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HYPERLINK("https://klasma.github.io/Logging_2409/artfynd/A 30344-2025 artfynd.xlsx", "A 30344-2025")</f>
        <v/>
      </c>
      <c r="X46">
        <f>HYPERLINK("https://klasma.github.io/Logging_2409/kartor/A 30344-2025 karta.png", "A 30344-2025")</f>
        <v/>
      </c>
      <c r="Y46">
        <f>HYPERLINK("https://klasma.github.io/Logging_2409/kartor_geotiff/A 30344-2025 georefererad karta.tif", "A 30344-2025")</f>
        <v/>
      </c>
      <c r="AA46">
        <f>HYPERLINK("https://klasma.github.io/Logging_2409/klagomål/A 30344-2025 FSC-klagomål.docx", "A 30344-2025")</f>
        <v/>
      </c>
      <c r="AB46">
        <f>HYPERLINK("https://klasma.github.io/Logging_2409/klagomålsmail/A 30344-2025 FSC-klagomål mail.docx", "A 30344-2025")</f>
        <v/>
      </c>
      <c r="AC46">
        <f>HYPERLINK("https://klasma.github.io/Logging_2409/tillsyn/A 30344-2025 tillsynsbegäran.docx", "A 30344-2025")</f>
        <v/>
      </c>
      <c r="AD46">
        <f>HYPERLINK("https://klasma.github.io/Logging_2409/tillsynsmail/A 30344-2025 tillsynsbegäran mail.docx", "A 30344-2025")</f>
        <v/>
      </c>
      <c r="AE46">
        <f>HYPERLINK("https://klasma.github.io/Logging_2409/fåglar/A 30344-2025 prioriterade fågelarter.docx", "A 30344-2025")</f>
        <v/>
      </c>
    </row>
    <row r="47" ht="15" customHeight="1">
      <c r="A47" t="inlineStr">
        <is>
          <t>A 32263-2025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46225</v>
      </c>
      <c r="F47" t="inlineStr">
        <is>
          <t>VÄSTERBOTTENS LÄN</t>
        </is>
      </c>
      <c r="G47" t="inlineStr">
        <is>
          <t>ROBERTSFORS</t>
        </is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HYPERLINK("https://klasma.github.io/Logging_2409/artfynd/A 32263-2025 artfynd.xlsx", "A 32263-2025")</f>
        <v/>
      </c>
      <c r="X47">
        <f>HYPERLINK("https://klasma.github.io/Logging_2409/kartor/A 32263-2025 karta.png", "A 32263-2025")</f>
        <v/>
      </c>
      <c r="Y47">
        <f>HYPERLINK("https://klasma.github.io/Logging_2409/kartor_geotiff/A 32263-2025 georefererad karta.tif", "A 32263-2025")</f>
        <v/>
      </c>
      <c r="AA47">
        <f>HYPERLINK("https://klasma.github.io/Logging_2409/klagomål/A 32263-2025 FSC-klagomål.docx", "A 32263-2025")</f>
        <v/>
      </c>
      <c r="AB47">
        <f>HYPERLINK("https://klasma.github.io/Logging_2409/klagomålsmail/A 32263-2025 FSC-klagomål mail.docx", "A 32263-2025")</f>
        <v/>
      </c>
      <c r="AC47">
        <f>HYPERLINK("https://klasma.github.io/Logging_2409/tillsyn/A 32263-2025 tillsynsbegäran.docx", "A 32263-2025")</f>
        <v/>
      </c>
      <c r="AD47">
        <f>HYPERLINK("https://klasma.github.io/Logging_2409/tillsynsmail/A 32263-2025 tillsynsbegäran mail.docx", "A 32263-2025")</f>
        <v/>
      </c>
    </row>
    <row r="48" ht="15" customHeight="1">
      <c r="A48" t="inlineStr">
        <is>
          <t>A 34007-2025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45844</v>
      </c>
      <c r="E48" s="1" t="n">
        <v>46225</v>
      </c>
      <c r="F48" t="inlineStr">
        <is>
          <t>VÄSTERBOTTENS LÄN</t>
        </is>
      </c>
      <c r="G48" t="inlineStr">
        <is>
          <t>ROBERTSFORS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Harticka</t>
        </is>
      </c>
      <c r="W48">
        <f>HYPERLINK("https://klasma.github.io/Logging_2409/artfynd/A 34007-2025 artfynd.xlsx", "A 34007-2025")</f>
        <v/>
      </c>
      <c r="X48">
        <f>HYPERLINK("https://klasma.github.io/Logging_2409/kartor/A 34007-2025 karta.png", "A 34007-2025")</f>
        <v/>
      </c>
      <c r="Y48">
        <f>HYPERLINK("https://klasma.github.io/Logging_2409/kartor_geotiff/A 34007-2025 georefererad karta.tif", "A 34007-2025")</f>
        <v/>
      </c>
      <c r="AA48">
        <f>HYPERLINK("https://klasma.github.io/Logging_2409/klagomål/A 34007-2025 FSC-klagomål.docx", "A 34007-2025")</f>
        <v/>
      </c>
      <c r="AB48">
        <f>HYPERLINK("https://klasma.github.io/Logging_2409/klagomålsmail/A 34007-2025 FSC-klagomål mail.docx", "A 34007-2025")</f>
        <v/>
      </c>
      <c r="AC48">
        <f>HYPERLINK("https://klasma.github.io/Logging_2409/tillsyn/A 34007-2025 tillsynsbegäran.docx", "A 34007-2025")</f>
        <v/>
      </c>
      <c r="AD48">
        <f>HYPERLINK("https://klasma.github.io/Logging_2409/tillsynsmail/A 34007-2025 tillsynsbegäran mail.docx", "A 34007-2025")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46225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46225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46225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46225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28224-2026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46225</v>
      </c>
      <c r="F53" t="inlineStr">
        <is>
          <t>VÄSTERBOTTENS LÄN</t>
        </is>
      </c>
      <c r="G53" t="inlineStr">
        <is>
          <t>ROBERTSFORS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6</v>
      </c>
      <c r="U53" t="n">
        <v>0</v>
      </c>
      <c r="V53" s="2" t="inlineStr">
        <is>
          <t>Garnlav</t>
        </is>
      </c>
      <c r="W53">
        <f>HYPERLINK("https://klasma.github.io/Logging_2409/artfynd/A 28224-2026 artfynd.xlsx", "A 28224-2026")</f>
        <v/>
      </c>
      <c r="X53">
        <f>HYPERLINK("https://klasma.github.io/Logging_2409/kartor/A 28224-2026 karta.png", "A 28224-2026")</f>
        <v/>
      </c>
      <c r="Y53">
        <f>HYPERLINK("https://klasma.github.io/Logging_2409/kartor_geotiff/A 28224-2026 georefererad karta.tif", "A 28224-2026")</f>
        <v/>
      </c>
      <c r="AA53">
        <f>HYPERLINK("https://klasma.github.io/Logging_2409/klagomål/A 28224-2026 FSC-klagomål.docx", "A 28224-2026")</f>
        <v/>
      </c>
      <c r="AB53">
        <f>HYPERLINK("https://klasma.github.io/Logging_2409/klagomålsmail/A 28224-2026 FSC-klagomål mail.docx", "A 28224-2026")</f>
        <v/>
      </c>
      <c r="AC53">
        <f>HYPERLINK("https://klasma.github.io/Logging_2409/tillsyn/A 28224-2026 tillsynsbegäran.docx", "A 28224-2026")</f>
        <v/>
      </c>
      <c r="AD53">
        <f>HYPERLINK("https://klasma.github.io/Logging_2409/tillsynsmail/A 28224-2026 tillsynsbegäran mail.docx", "A 28224-2026")</f>
        <v/>
      </c>
    </row>
    <row r="54" ht="15" customHeight="1">
      <c r="A54" t="inlineStr">
        <is>
          <t>A 57270-2023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45245</v>
      </c>
      <c r="E54" s="1" t="n">
        <v>46225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HYPERLINK("https://klasma.github.io/Logging_2409/artfynd/A 57270-2023 artfynd.xlsx", "A 57270-2023")</f>
        <v/>
      </c>
      <c r="X54">
        <f>HYPERLINK("https://klasma.github.io/Logging_2409/kartor/A 57270-2023 karta.png", "A 57270-2023")</f>
        <v/>
      </c>
      <c r="Y54">
        <f>HYPERLINK("https://klasma.github.io/Logging_2409/kartor_geotiff/A 57270-2023 georefererad karta.tif", "A 57270-2023")</f>
        <v/>
      </c>
      <c r="AA54">
        <f>HYPERLINK("https://klasma.github.io/Logging_2409/klagomål/A 57270-2023 FSC-klagomål.docx", "A 57270-2023")</f>
        <v/>
      </c>
      <c r="AB54">
        <f>HYPERLINK("https://klasma.github.io/Logging_2409/klagomålsmail/A 57270-2023 FSC-klagomål mail.docx", "A 57270-2023")</f>
        <v/>
      </c>
      <c r="AC54">
        <f>HYPERLINK("https://klasma.github.io/Logging_2409/tillsyn/A 57270-2023 tillsynsbegäran.docx", "A 57270-2023")</f>
        <v/>
      </c>
      <c r="AD54">
        <f>HYPERLINK("https://klasma.github.io/Logging_2409/tillsynsmail/A 57270-2023 tillsynsbegäran mail.docx", "A 57270-2023")</f>
        <v/>
      </c>
    </row>
    <row r="55" ht="15" customHeight="1">
      <c r="A55" t="inlineStr">
        <is>
          <t>A 28750-2026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46225</v>
      </c>
      <c r="F55" t="inlineStr">
        <is>
          <t>VÄSTERBOTTENS LÄN</t>
        </is>
      </c>
      <c r="G55" t="inlineStr">
        <is>
          <t>ROBERTSFORS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28750-2026 artfynd.xlsx", "A 28750-2026")</f>
        <v/>
      </c>
      <c r="X55">
        <f>HYPERLINK("https://klasma.github.io/Logging_2409/kartor/A 28750-2026 karta.png", "A 28750-2026")</f>
        <v/>
      </c>
      <c r="Y55">
        <f>HYPERLINK("https://klasma.github.io/Logging_2409/kartor_geotiff/A 28750-2026 georefererad karta.tif", "A 28750-2026")</f>
        <v/>
      </c>
      <c r="AA55">
        <f>HYPERLINK("https://klasma.github.io/Logging_2409/klagomål/A 28750-2026 FSC-klagomål.docx", "A 28750-2026")</f>
        <v/>
      </c>
      <c r="AB55">
        <f>HYPERLINK("https://klasma.github.io/Logging_2409/klagomålsmail/A 28750-2026 FSC-klagomål mail.docx", "A 28750-2026")</f>
        <v/>
      </c>
      <c r="AC55">
        <f>HYPERLINK("https://klasma.github.io/Logging_2409/tillsyn/A 28750-2026 tillsynsbegäran.docx", "A 28750-2026")</f>
        <v/>
      </c>
      <c r="AD55">
        <f>HYPERLINK("https://klasma.github.io/Logging_2409/tillsynsmail/A 28750-2026 tillsynsbegäran mail.docx", "A 28750-2026")</f>
        <v/>
      </c>
    </row>
    <row r="56" ht="15" customHeight="1">
      <c r="A56" t="inlineStr">
        <is>
          <t>A 29583-2026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46225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SCA</t>
        </is>
      </c>
      <c r="I56" t="n">
        <v>1.6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Björksplintborre</t>
        </is>
      </c>
      <c r="W56">
        <f>HYPERLINK("https://klasma.github.io/Logging_2409/artfynd/A 29583-2026 artfynd.xlsx", "A 29583-2026")</f>
        <v/>
      </c>
      <c r="X56">
        <f>HYPERLINK("https://klasma.github.io/Logging_2409/kartor/A 29583-2026 karta.png", "A 29583-2026")</f>
        <v/>
      </c>
      <c r="Y56">
        <f>HYPERLINK("https://klasma.github.io/Logging_2409/kartor_geotiff/A 29583-2026 georefererad karta.tif", "A 29583-2026")</f>
        <v/>
      </c>
      <c r="AA56">
        <f>HYPERLINK("https://klasma.github.io/Logging_2409/klagomål/A 29583-2026 FSC-klagomål.docx", "A 29583-2026")</f>
        <v/>
      </c>
      <c r="AB56">
        <f>HYPERLINK("https://klasma.github.io/Logging_2409/klagomålsmail/A 29583-2026 FSC-klagomål mail.docx", "A 29583-2026")</f>
        <v/>
      </c>
      <c r="AC56">
        <f>HYPERLINK("https://klasma.github.io/Logging_2409/tillsyn/A 29583-2026 tillsynsbegäran.docx", "A 29583-2026")</f>
        <v/>
      </c>
      <c r="AD56">
        <f>HYPERLINK("https://klasma.github.io/Logging_2409/tillsynsmail/A 29583-2026 tillsynsbegäran mail.docx", "A 29583-2026")</f>
        <v/>
      </c>
    </row>
    <row r="57" ht="15" customHeight="1">
      <c r="A57" t="inlineStr">
        <is>
          <t>A 38777-2023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45163</v>
      </c>
      <c r="E57" s="1" t="n">
        <v>46225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5.9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HYPERLINK("https://klasma.github.io/Logging_2409/artfynd/A 38777-2023 artfynd.xlsx", "A 38777-2023")</f>
        <v/>
      </c>
      <c r="X57">
        <f>HYPERLINK("https://klasma.github.io/Logging_2409/kartor/A 38777-2023 karta.png", "A 38777-2023")</f>
        <v/>
      </c>
      <c r="Y57">
        <f>HYPERLINK("https://klasma.github.io/Logging_2409/kartor_geotiff/A 38777-2023 georefererad karta.tif", "A 38777-2023")</f>
        <v/>
      </c>
      <c r="AA57">
        <f>HYPERLINK("https://klasma.github.io/Logging_2409/klagomål/A 38777-2023 FSC-klagomål.docx", "A 38777-2023")</f>
        <v/>
      </c>
      <c r="AB57">
        <f>HYPERLINK("https://klasma.github.io/Logging_2409/klagomålsmail/A 38777-2023 FSC-klagomål mail.docx", "A 38777-2023")</f>
        <v/>
      </c>
      <c r="AC57">
        <f>HYPERLINK("https://klasma.github.io/Logging_2409/tillsyn/A 38777-2023 tillsynsbegäran.docx", "A 38777-2023")</f>
        <v/>
      </c>
      <c r="AD57">
        <f>HYPERLINK("https://klasma.github.io/Logging_2409/tillsynsmail/A 38777-2023 tillsynsbegäran mail.docx", "A 38777-2023")</f>
        <v/>
      </c>
      <c r="AE57">
        <f>HYPERLINK("https://klasma.github.io/Logging_2409/fåglar/A 38777-2023 prioriterade fågelarter.docx", "A 38777-2023")</f>
        <v/>
      </c>
    </row>
    <row r="58" ht="15" customHeight="1">
      <c r="A58" t="inlineStr">
        <is>
          <t>A 41767-2023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46225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0.8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Nordfladdermus</t>
        </is>
      </c>
      <c r="W58">
        <f>HYPERLINK("https://klasma.github.io/Logging_2409/artfynd/A 41767-2023 artfynd.xlsx", "A 41767-2023")</f>
        <v/>
      </c>
      <c r="X58">
        <f>HYPERLINK("https://klasma.github.io/Logging_2409/kartor/A 41767-2023 karta.png", "A 41767-2023")</f>
        <v/>
      </c>
      <c r="Y58">
        <f>HYPERLINK("https://klasma.github.io/Logging_2409/kartor_geotiff/A 41767-2023 georefererad karta.tif", "A 41767-2023")</f>
        <v/>
      </c>
      <c r="AA58">
        <f>HYPERLINK("https://klasma.github.io/Logging_2409/klagomål/A 41767-2023 FSC-klagomål.docx", "A 41767-2023")</f>
        <v/>
      </c>
      <c r="AB58">
        <f>HYPERLINK("https://klasma.github.io/Logging_2409/klagomålsmail/A 41767-2023 FSC-klagomål mail.docx", "A 41767-2023")</f>
        <v/>
      </c>
      <c r="AC58">
        <f>HYPERLINK("https://klasma.github.io/Logging_2409/tillsyn/A 41767-2023 tillsynsbegäran.docx", "A 41767-2023")</f>
        <v/>
      </c>
      <c r="AD58">
        <f>HYPERLINK("https://klasma.github.io/Logging_2409/tillsynsmail/A 41767-2023 tillsynsbegäran mail.docx", "A 41767-2023")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46225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32876-2023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45124</v>
      </c>
      <c r="E60" s="1" t="n">
        <v>46225</v>
      </c>
      <c r="F60" t="inlineStr">
        <is>
          <t>VÄSTERBOTTENS LÄN</t>
        </is>
      </c>
      <c r="G60" t="inlineStr">
        <is>
          <t>ROBERTSFORS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HYPERLINK("https://klasma.github.io/Logging_2409/artfynd/A 32876-2023 artfynd.xlsx", "A 32876-2023")</f>
        <v/>
      </c>
      <c r="X60">
        <f>HYPERLINK("https://klasma.github.io/Logging_2409/kartor/A 32876-2023 karta.png", "A 32876-2023")</f>
        <v/>
      </c>
      <c r="Y60">
        <f>HYPERLINK("https://klasma.github.io/Logging_2409/kartor_geotiff/A 32876-2023 georefererad karta.tif", "A 32876-2023")</f>
        <v/>
      </c>
      <c r="AA60">
        <f>HYPERLINK("https://klasma.github.io/Logging_2409/klagomål/A 32876-2023 FSC-klagomål.docx", "A 32876-2023")</f>
        <v/>
      </c>
      <c r="AB60">
        <f>HYPERLINK("https://klasma.github.io/Logging_2409/klagomålsmail/A 32876-2023 FSC-klagomål mail.docx", "A 32876-2023")</f>
        <v/>
      </c>
      <c r="AC60">
        <f>HYPERLINK("https://klasma.github.io/Logging_2409/tillsyn/A 32876-2023 tillsynsbegäran.docx", "A 32876-2023")</f>
        <v/>
      </c>
      <c r="AD60">
        <f>HYPERLINK("https://klasma.github.io/Logging_2409/tillsynsmail/A 32876-2023 tillsynsbegäran mail.docx", "A 32876-2023")</f>
        <v/>
      </c>
    </row>
    <row r="61" ht="15" customHeight="1">
      <c r="A61" t="inlineStr">
        <is>
          <t>A 36703-2023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45153</v>
      </c>
      <c r="E61" s="1" t="n">
        <v>46225</v>
      </c>
      <c r="F61" t="inlineStr">
        <is>
          <t>VÄSTERBOTTENS LÄN</t>
        </is>
      </c>
      <c r="G61" t="inlineStr">
        <is>
          <t>ROBERTSFORS</t>
        </is>
      </c>
      <c r="I61" t="n">
        <v>3.3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Tallkötticka</t>
        </is>
      </c>
      <c r="W61">
        <f>HYPERLINK("https://klasma.github.io/Logging_2409/artfynd/A 36703-2023 artfynd.xlsx", "A 36703-2023")</f>
        <v/>
      </c>
      <c r="X61">
        <f>HYPERLINK("https://klasma.github.io/Logging_2409/kartor/A 36703-2023 karta.png", "A 36703-2023")</f>
        <v/>
      </c>
      <c r="Y61">
        <f>HYPERLINK("https://klasma.github.io/Logging_2409/kartor_geotiff/A 36703-2023 georefererad karta.tif", "A 36703-2023")</f>
        <v/>
      </c>
      <c r="AA61">
        <f>HYPERLINK("https://klasma.github.io/Logging_2409/klagomål/A 36703-2023 FSC-klagomål.docx", "A 36703-2023")</f>
        <v/>
      </c>
      <c r="AB61">
        <f>HYPERLINK("https://klasma.github.io/Logging_2409/klagomålsmail/A 36703-2023 FSC-klagomål mail.docx", "A 36703-2023")</f>
        <v/>
      </c>
      <c r="AC61">
        <f>HYPERLINK("https://klasma.github.io/Logging_2409/tillsyn/A 36703-2023 tillsynsbegäran.docx", "A 36703-2023")</f>
        <v/>
      </c>
      <c r="AD61">
        <f>HYPERLINK("https://klasma.github.io/Logging_2409/tillsynsmail/A 36703-2023 tillsynsbegäran mail.docx", "A 36703-2023")</f>
        <v/>
      </c>
    </row>
    <row r="62" ht="15" customHeight="1">
      <c r="A62" t="inlineStr">
        <is>
          <t>A 57653-2024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45630</v>
      </c>
      <c r="E62" s="1" t="n">
        <v>46225</v>
      </c>
      <c r="F62" t="inlineStr">
        <is>
          <t>VÄSTERBOTTENS LÄN</t>
        </is>
      </c>
      <c r="G62" t="inlineStr">
        <is>
          <t>ROBERTSFORS</t>
        </is>
      </c>
      <c r="I62" t="n">
        <v>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Blå kärrhök</t>
        </is>
      </c>
      <c r="W62">
        <f>HYPERLINK("https://klasma.github.io/Logging_2409/artfynd/A 57653-2024 artfynd.xlsx", "A 57653-2024")</f>
        <v/>
      </c>
      <c r="X62">
        <f>HYPERLINK("https://klasma.github.io/Logging_2409/kartor/A 57653-2024 karta.png", "A 57653-2024")</f>
        <v/>
      </c>
      <c r="Y62">
        <f>HYPERLINK("https://klasma.github.io/Logging_2409/kartor_geotiff/A 57653-2024 georefererad karta.tif", "A 57653-2024")</f>
        <v/>
      </c>
      <c r="AA62">
        <f>HYPERLINK("https://klasma.github.io/Logging_2409/klagomål/A 57653-2024 FSC-klagomål.docx", "A 57653-2024")</f>
        <v/>
      </c>
      <c r="AB62">
        <f>HYPERLINK("https://klasma.github.io/Logging_2409/klagomålsmail/A 57653-2024 FSC-klagomål mail.docx", "A 57653-2024")</f>
        <v/>
      </c>
      <c r="AC62">
        <f>HYPERLINK("https://klasma.github.io/Logging_2409/tillsyn/A 57653-2024 tillsynsbegäran.docx", "A 57653-2024")</f>
        <v/>
      </c>
      <c r="AD62">
        <f>HYPERLINK("https://klasma.github.io/Logging_2409/tillsynsmail/A 57653-2024 tillsynsbegäran mail.docx", "A 57653-2024")</f>
        <v/>
      </c>
      <c r="AE62">
        <f>HYPERLINK("https://klasma.github.io/Logging_2409/fåglar/A 57653-2024 prioriterade fågelarter.docx", "A 57653-2024")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46225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57284-2023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45245</v>
      </c>
      <c r="E64" s="1" t="n">
        <v>46225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6.8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HYPERLINK("https://klasma.github.io/Logging_2409/artfynd/A 57284-2023 artfynd.xlsx", "A 57284-2023")</f>
        <v/>
      </c>
      <c r="X64">
        <f>HYPERLINK("https://klasma.github.io/Logging_2409/kartor/A 57284-2023 karta.png", "A 57284-2023")</f>
        <v/>
      </c>
      <c r="Y64">
        <f>HYPERLINK("https://klasma.github.io/Logging_2409/kartor_geotiff/A 57284-2023 georefererad karta.tif", "A 57284-2023")</f>
        <v/>
      </c>
      <c r="AA64">
        <f>HYPERLINK("https://klasma.github.io/Logging_2409/klagomål/A 57284-2023 FSC-klagomål.docx", "A 57284-2023")</f>
        <v/>
      </c>
      <c r="AB64">
        <f>HYPERLINK("https://klasma.github.io/Logging_2409/klagomålsmail/A 57284-2023 FSC-klagomål mail.docx", "A 57284-2023")</f>
        <v/>
      </c>
      <c r="AC64">
        <f>HYPERLINK("https://klasma.github.io/Logging_2409/tillsyn/A 57284-2023 tillsynsbegäran.docx", "A 57284-2023")</f>
        <v/>
      </c>
      <c r="AD64">
        <f>HYPERLINK("https://klasma.github.io/Logging_2409/tillsynsmail/A 57284-2023 tillsynsbegäran mail.docx", "A 57284-2023")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46225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46225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46225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46225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46225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46225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46225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46225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46225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46225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46225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46225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46225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46225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46225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46225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46225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46225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46225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46225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46225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46225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46225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46225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46225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46225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46225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46225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46225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46225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46225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46225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46225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46225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46225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46225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46225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46225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46225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46225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46225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46225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46225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46225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46225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46225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46225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46225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46225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46225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46225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46225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46225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46225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46225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46225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46225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46225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46225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46225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46225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46225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46225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46225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46225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46225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46225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46225</v>
      </c>
      <c r="F133" t="inlineStr">
        <is>
          <t>VÄSTERBOTTENS LÄN</t>
        </is>
      </c>
      <c r="G133" t="inlineStr">
        <is>
          <t>ROBERTSFORS</t>
        </is>
      </c>
      <c r="I133" t="n">
        <v>14.3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46225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46225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46225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46225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46225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46225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46225</v>
      </c>
      <c r="F140" t="inlineStr">
        <is>
          <t>VÄSTERBOTTENS LÄN</t>
        </is>
      </c>
      <c r="G140" t="inlineStr">
        <is>
          <t>ROBERTSFORS</t>
        </is>
      </c>
      <c r="I140" t="n">
        <v>15.3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45458</v>
      </c>
      <c r="E141" s="1" t="n">
        <v>46225</v>
      </c>
      <c r="F141" t="inlineStr">
        <is>
          <t>VÄSTERBOTTENS LÄN</t>
        </is>
      </c>
      <c r="G141" t="inlineStr">
        <is>
          <t>ROBERTSFORS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46225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46225</v>
      </c>
      <c r="F143" t="inlineStr">
        <is>
          <t>VÄSTERBOTTENS LÄN</t>
        </is>
      </c>
      <c r="G143" t="inlineStr">
        <is>
          <t>ROBERTSFORS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46225</v>
      </c>
      <c r="F144" t="inlineStr">
        <is>
          <t>VÄSTERBOTTENS LÄN</t>
        </is>
      </c>
      <c r="G144" t="inlineStr">
        <is>
          <t>ROBERTSFORS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46225</v>
      </c>
      <c r="F145" t="inlineStr">
        <is>
          <t>VÄSTERBOTTENS LÄN</t>
        </is>
      </c>
      <c r="G145" t="inlineStr">
        <is>
          <t>ROBERTSFORS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46225</v>
      </c>
      <c r="F146" t="inlineStr">
        <is>
          <t>VÄSTERBOTTENS LÄN</t>
        </is>
      </c>
      <c r="G146" t="inlineStr">
        <is>
          <t>ROBERTSFORS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46225</v>
      </c>
      <c r="F147" t="inlineStr">
        <is>
          <t>VÄSTERBOTTENS LÄN</t>
        </is>
      </c>
      <c r="G147" t="inlineStr">
        <is>
          <t>ROBERTSFORS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30722-2024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45496</v>
      </c>
      <c r="E148" s="1" t="n">
        <v>46225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46225</v>
      </c>
      <c r="F149" t="inlineStr">
        <is>
          <t>VÄSTERBOTTENS LÄN</t>
        </is>
      </c>
      <c r="G149" t="inlineStr">
        <is>
          <t>ROBERTSFORS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46225</v>
      </c>
      <c r="F150" t="inlineStr">
        <is>
          <t>VÄSTERBOTTENS LÄN</t>
        </is>
      </c>
      <c r="G150" t="inlineStr">
        <is>
          <t>ROBERTSFORS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46225</v>
      </c>
      <c r="F151" t="inlineStr">
        <is>
          <t>VÄSTERBOTTENS LÄN</t>
        </is>
      </c>
      <c r="G151" t="inlineStr">
        <is>
          <t>ROBERTSFORS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46225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46225</v>
      </c>
      <c r="F153" t="inlineStr">
        <is>
          <t>VÄSTERBOTTENS LÄN</t>
        </is>
      </c>
      <c r="G153" t="inlineStr">
        <is>
          <t>ROBERTSFORS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46225</v>
      </c>
      <c r="F154" t="inlineStr">
        <is>
          <t>VÄSTERBOTTENS LÄN</t>
        </is>
      </c>
      <c r="G154" t="inlineStr">
        <is>
          <t>ROBERTSFORS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46225</v>
      </c>
      <c r="F155" t="inlineStr">
        <is>
          <t>VÄSTERBOTTENS LÄN</t>
        </is>
      </c>
      <c r="G155" t="inlineStr">
        <is>
          <t>ROBERTSFORS</t>
        </is>
      </c>
      <c r="I155" t="n">
        <v>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28330-2025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45818</v>
      </c>
      <c r="E156" s="1" t="n">
        <v>46225</v>
      </c>
      <c r="F156" t="inlineStr">
        <is>
          <t>VÄSTERBOTTENS LÄN</t>
        </is>
      </c>
      <c r="G156" t="inlineStr">
        <is>
          <t>ROBERTSFORS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46225</v>
      </c>
      <c r="F157" t="inlineStr">
        <is>
          <t>VÄSTERBOTTENS LÄN</t>
        </is>
      </c>
      <c r="G157" t="inlineStr">
        <is>
          <t>ROBERTSFORS</t>
        </is>
      </c>
      <c r="I157" t="n">
        <v>9.9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46225</v>
      </c>
      <c r="F158" t="inlineStr">
        <is>
          <t>VÄSTERBOTTENS LÄN</t>
        </is>
      </c>
      <c r="G158" t="inlineStr">
        <is>
          <t>ROBERTSFORS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46225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46225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46050</v>
      </c>
      <c r="E161" s="1" t="n">
        <v>46225</v>
      </c>
      <c r="F161" t="inlineStr">
        <is>
          <t>VÄSTERBOTTENS LÄN</t>
        </is>
      </c>
      <c r="G161" t="inlineStr">
        <is>
          <t>ROBERTSFORS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39982-2025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45893</v>
      </c>
      <c r="E162" s="1" t="n">
        <v>46225</v>
      </c>
      <c r="F162" t="inlineStr">
        <is>
          <t>VÄSTERBOTTENS LÄN</t>
        </is>
      </c>
      <c r="G162" t="inlineStr">
        <is>
          <t>ROBERTSFORS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46225</v>
      </c>
      <c r="F163" t="inlineStr">
        <is>
          <t>VÄSTERBOTTENS LÄN</t>
        </is>
      </c>
      <c r="G163" t="inlineStr">
        <is>
          <t>ROBERTSFORS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46225</v>
      </c>
      <c r="F164" t="inlineStr">
        <is>
          <t>VÄSTERBOTTENS LÄN</t>
        </is>
      </c>
      <c r="G164" t="inlineStr">
        <is>
          <t>ROBERTSFORS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46225</v>
      </c>
      <c r="F165" t="inlineStr">
        <is>
          <t>VÄSTERBOTTENS LÄN</t>
        </is>
      </c>
      <c r="G165" t="inlineStr">
        <is>
          <t>ROBERTSFORS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46225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46225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46225</v>
      </c>
      <c r="F168" t="inlineStr">
        <is>
          <t>VÄSTERBOTTENS LÄN</t>
        </is>
      </c>
      <c r="G168" t="inlineStr">
        <is>
          <t>ROBERTSFORS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46225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46225</v>
      </c>
      <c r="F170" t="inlineStr">
        <is>
          <t>VÄSTERBOTTENS LÄN</t>
        </is>
      </c>
      <c r="G170" t="inlineStr">
        <is>
          <t>ROBERTSFORS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46225</v>
      </c>
      <c r="F171" t="inlineStr">
        <is>
          <t>VÄSTERBOTTENS LÄN</t>
        </is>
      </c>
      <c r="G171" t="inlineStr">
        <is>
          <t>ROBERTSFORS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46225</v>
      </c>
      <c r="F172" t="inlineStr">
        <is>
          <t>VÄSTERBOTTENS LÄN</t>
        </is>
      </c>
      <c r="G172" t="inlineStr">
        <is>
          <t>ROBERTSFORS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46225</v>
      </c>
      <c r="F173" t="inlineStr">
        <is>
          <t>VÄSTERBOTTENS LÄN</t>
        </is>
      </c>
      <c r="G173" t="inlineStr">
        <is>
          <t>ROBERTSFORS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46225</v>
      </c>
      <c r="F174" t="inlineStr">
        <is>
          <t>VÄSTERBOTTENS LÄN</t>
        </is>
      </c>
      <c r="G174" t="inlineStr">
        <is>
          <t>ROBERTSFORS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46225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46225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46225</v>
      </c>
      <c r="F177" t="inlineStr">
        <is>
          <t>VÄSTERBOTTENS LÄN</t>
        </is>
      </c>
      <c r="G177" t="inlineStr">
        <is>
          <t>ROBERTSFORS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46225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46225</v>
      </c>
      <c r="F179" t="inlineStr">
        <is>
          <t>VÄSTERBOTTENS LÄN</t>
        </is>
      </c>
      <c r="G179" t="inlineStr">
        <is>
          <t>ROBERTSFORS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46225</v>
      </c>
      <c r="F180" t="inlineStr">
        <is>
          <t>VÄSTERBOTTENS LÄN</t>
        </is>
      </c>
      <c r="G180" t="inlineStr">
        <is>
          <t>ROBERTSFORS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46225</v>
      </c>
      <c r="F181" t="inlineStr">
        <is>
          <t>VÄSTERBOTTENS LÄN</t>
        </is>
      </c>
      <c r="G181" t="inlineStr">
        <is>
          <t>ROBERTSFORS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46225</v>
      </c>
      <c r="F182" t="inlineStr">
        <is>
          <t>VÄSTERBOTTENS LÄN</t>
        </is>
      </c>
      <c r="G182" t="inlineStr">
        <is>
          <t>ROBERTSFORS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45839</v>
      </c>
      <c r="E183" s="1" t="n">
        <v>46225</v>
      </c>
      <c r="F183" t="inlineStr">
        <is>
          <t>VÄSTERBOTTENS LÄN</t>
        </is>
      </c>
      <c r="G183" t="inlineStr">
        <is>
          <t>ROBERTSFORS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46225</v>
      </c>
      <c r="F184" t="inlineStr">
        <is>
          <t>VÄSTERBOTTENS LÄN</t>
        </is>
      </c>
      <c r="G184" t="inlineStr">
        <is>
          <t>ROBERTSFORS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46065</v>
      </c>
      <c r="E185" s="1" t="n">
        <v>46225</v>
      </c>
      <c r="F185" t="inlineStr">
        <is>
          <t>VÄSTERBOTTENS LÄN</t>
        </is>
      </c>
      <c r="G185" t="inlineStr">
        <is>
          <t>ROBERTSFORS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46225</v>
      </c>
      <c r="F186" t="inlineStr">
        <is>
          <t>VÄSTERBOTTENS LÄN</t>
        </is>
      </c>
      <c r="G186" t="inlineStr">
        <is>
          <t>ROBERTSFORS</t>
        </is>
      </c>
      <c r="I186" t="n">
        <v>12.7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33368-2025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45841</v>
      </c>
      <c r="E187" s="1" t="n">
        <v>46225</v>
      </c>
      <c r="F187" t="inlineStr">
        <is>
          <t>VÄSTERBOTTENS LÄN</t>
        </is>
      </c>
      <c r="G187" t="inlineStr">
        <is>
          <t>ROBERTSFORS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33375-2025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45841</v>
      </c>
      <c r="E188" s="1" t="n">
        <v>46225</v>
      </c>
      <c r="F188" t="inlineStr">
        <is>
          <t>VÄSTERBOTTENS LÄN</t>
        </is>
      </c>
      <c r="G188" t="inlineStr">
        <is>
          <t>ROBERTSFORS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44130-2025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45915</v>
      </c>
      <c r="E189" s="1" t="n">
        <v>46225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46225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46225</v>
      </c>
      <c r="F191" t="inlineStr">
        <is>
          <t>VÄSTERBOTTENS LÄN</t>
        </is>
      </c>
      <c r="G191" t="inlineStr">
        <is>
          <t>ROBERTSFORS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46225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46225</v>
      </c>
      <c r="F193" t="inlineStr">
        <is>
          <t>VÄSTERBOTTENS LÄN</t>
        </is>
      </c>
      <c r="G193" t="inlineStr">
        <is>
          <t>ROBERTSFORS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46168-2025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45924</v>
      </c>
      <c r="E194" s="1" t="n">
        <v>46225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46083</v>
      </c>
      <c r="E195" s="1" t="n">
        <v>46225</v>
      </c>
      <c r="F195" t="inlineStr">
        <is>
          <t>VÄSTERBOTTENS LÄN</t>
        </is>
      </c>
      <c r="G195" t="inlineStr">
        <is>
          <t>ROBERTSFORS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46225</v>
      </c>
      <c r="F196" t="inlineStr">
        <is>
          <t>VÄSTERBOTTENS LÄN</t>
        </is>
      </c>
      <c r="G196" t="inlineStr">
        <is>
          <t>ROBERTSFORS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46225</v>
      </c>
      <c r="F197" t="inlineStr">
        <is>
          <t>VÄSTERBOTTENS LÄN</t>
        </is>
      </c>
      <c r="G197" t="inlineStr">
        <is>
          <t>ROBERTSFORS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46225</v>
      </c>
      <c r="F198" t="inlineStr">
        <is>
          <t>VÄSTERBOTTENS LÄN</t>
        </is>
      </c>
      <c r="G198" t="inlineStr">
        <is>
          <t>ROBERTSFORS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46225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45856</v>
      </c>
      <c r="E200" s="1" t="n">
        <v>46225</v>
      </c>
      <c r="F200" t="inlineStr">
        <is>
          <t>VÄSTERBOTTENS LÄN</t>
        </is>
      </c>
      <c r="G200" t="inlineStr">
        <is>
          <t>ROBERTSFORS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46225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46225</v>
      </c>
      <c r="F202" t="inlineStr">
        <is>
          <t>VÄSTERBOTTENS LÄN</t>
        </is>
      </c>
      <c r="G202" t="inlineStr">
        <is>
          <t>ROBERTSFORS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46225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45870</v>
      </c>
      <c r="E204" s="1" t="n">
        <v>46225</v>
      </c>
      <c r="F204" t="inlineStr">
        <is>
          <t>VÄSTERBOTTENS LÄN</t>
        </is>
      </c>
      <c r="G204" t="inlineStr">
        <is>
          <t>ROBERTSFORS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46225</v>
      </c>
      <c r="F205" t="inlineStr">
        <is>
          <t>VÄSTERBOTTENS LÄN</t>
        </is>
      </c>
      <c r="G205" t="inlineStr">
        <is>
          <t>ROBERTSFORS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46225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46225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46225</v>
      </c>
      <c r="F208" t="inlineStr">
        <is>
          <t>VÄSTERBOTTENS LÄN</t>
        </is>
      </c>
      <c r="G208" t="inlineStr">
        <is>
          <t>ROBERTSFORS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46225</v>
      </c>
      <c r="F209" t="inlineStr">
        <is>
          <t>VÄSTERBOTTENS LÄN</t>
        </is>
      </c>
      <c r="G209" t="inlineStr">
        <is>
          <t>ROBERTSFORS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46104</v>
      </c>
      <c r="E210" s="1" t="n">
        <v>46225</v>
      </c>
      <c r="F210" t="inlineStr">
        <is>
          <t>VÄSTERBOTTENS LÄN</t>
        </is>
      </c>
      <c r="G210" t="inlineStr">
        <is>
          <t>ROBERTSFORS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46225</v>
      </c>
      <c r="F211" t="inlineStr">
        <is>
          <t>VÄSTERBOTTENS LÄN</t>
        </is>
      </c>
      <c r="G211" t="inlineStr">
        <is>
          <t>ROBERTSFORS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44913</v>
      </c>
      <c r="E212" s="1" t="n">
        <v>46225</v>
      </c>
      <c r="F212" t="inlineStr">
        <is>
          <t>VÄSTERBOTTENS LÄN</t>
        </is>
      </c>
      <c r="G212" t="inlineStr">
        <is>
          <t>ROBERTSFORS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46225</v>
      </c>
      <c r="F213" t="inlineStr">
        <is>
          <t>VÄSTERBOTTENS LÄN</t>
        </is>
      </c>
      <c r="G213" t="inlineStr">
        <is>
          <t>ROBERTSFORS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46225</v>
      </c>
      <c r="F214" t="inlineStr">
        <is>
          <t>VÄSTERBOTTENS LÄN</t>
        </is>
      </c>
      <c r="G214" t="inlineStr">
        <is>
          <t>ROBERTSFORS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46225</v>
      </c>
      <c r="F215" t="inlineStr">
        <is>
          <t>VÄSTERBOTTENS LÄN</t>
        </is>
      </c>
      <c r="G215" t="inlineStr">
        <is>
          <t>ROBERTSFORS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44876</v>
      </c>
      <c r="E216" s="1" t="n">
        <v>46225</v>
      </c>
      <c r="F216" t="inlineStr">
        <is>
          <t>VÄSTERBOTTENS LÄN</t>
        </is>
      </c>
      <c r="G216" t="inlineStr">
        <is>
          <t>ROBERTSFORS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46225</v>
      </c>
      <c r="F217" t="inlineStr">
        <is>
          <t>VÄSTERBOTTENS LÄN</t>
        </is>
      </c>
      <c r="G217" t="inlineStr">
        <is>
          <t>ROBERTSFORS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46225</v>
      </c>
      <c r="F218" t="inlineStr">
        <is>
          <t>VÄSTERBOTTENS LÄN</t>
        </is>
      </c>
      <c r="G218" t="inlineStr">
        <is>
          <t>ROBERTSFORS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52934-2025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46225</v>
      </c>
      <c r="F219" t="inlineStr">
        <is>
          <t>VÄSTERBOTTENS LÄN</t>
        </is>
      </c>
      <c r="G219" t="inlineStr">
        <is>
          <t>ROBERTSFORS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46225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46225</v>
      </c>
      <c r="F221" t="inlineStr">
        <is>
          <t>VÄSTERBOTTENS LÄN</t>
        </is>
      </c>
      <c r="G221" t="inlineStr">
        <is>
          <t>ROBERTSFORS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46225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53320-2025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45959</v>
      </c>
      <c r="E223" s="1" t="n">
        <v>46225</v>
      </c>
      <c r="F223" t="inlineStr">
        <is>
          <t>VÄSTERBOTTENS LÄN</t>
        </is>
      </c>
      <c r="G223" t="inlineStr">
        <is>
          <t>ROBERTSFORS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46225</v>
      </c>
      <c r="F224" t="inlineStr">
        <is>
          <t>VÄSTERBOTTENS LÄN</t>
        </is>
      </c>
      <c r="G224" t="inlineStr">
        <is>
          <t>ROBERTSFORS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46225</v>
      </c>
      <c r="F225" t="inlineStr">
        <is>
          <t>VÄSTERBOTTENS LÄN</t>
        </is>
      </c>
      <c r="G225" t="inlineStr">
        <is>
          <t>ROBERTSFORS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46225</v>
      </c>
      <c r="F226" t="inlineStr">
        <is>
          <t>VÄSTERBOTTENS LÄN</t>
        </is>
      </c>
      <c r="G226" t="inlineStr">
        <is>
          <t>ROBERTSFORS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46225</v>
      </c>
      <c r="F227" t="inlineStr">
        <is>
          <t>VÄSTERBOTTENS LÄN</t>
        </is>
      </c>
      <c r="G227" t="inlineStr">
        <is>
          <t>ROBERTSFORS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46225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45961</v>
      </c>
      <c r="E229" s="1" t="n">
        <v>46225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58426-2022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44901</v>
      </c>
      <c r="E230" s="1" t="n">
        <v>46225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46225</v>
      </c>
      <c r="F231" t="inlineStr">
        <is>
          <t>VÄSTERBOTTENS LÄN</t>
        </is>
      </c>
      <c r="G231" t="inlineStr">
        <is>
          <t>ROBERTSFORS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46225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46225</v>
      </c>
      <c r="F233" t="inlineStr">
        <is>
          <t>VÄSTERBOTTENS LÄN</t>
        </is>
      </c>
      <c r="G233" t="inlineStr">
        <is>
          <t>ROBERTSFORS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46225</v>
      </c>
      <c r="F234" t="inlineStr">
        <is>
          <t>VÄSTERBOTTENS LÄN</t>
        </is>
      </c>
      <c r="G234" t="inlineStr">
        <is>
          <t>ROBERTSFORS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46225</v>
      </c>
      <c r="F235" t="inlineStr">
        <is>
          <t>VÄSTERBOTTENS LÄN</t>
        </is>
      </c>
      <c r="G235" t="inlineStr">
        <is>
          <t>ROBERTSFORS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9135-2024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45357</v>
      </c>
      <c r="E236" s="1" t="n">
        <v>46225</v>
      </c>
      <c r="F236" t="inlineStr">
        <is>
          <t>VÄSTERBOTTENS LÄN</t>
        </is>
      </c>
      <c r="G236" t="inlineStr">
        <is>
          <t>ROBERTSFORS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46225</v>
      </c>
      <c r="F237" t="inlineStr">
        <is>
          <t>VÄSTERBOTTENS LÄN</t>
        </is>
      </c>
      <c r="G237" t="inlineStr">
        <is>
          <t>ROBERTSFORS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46225</v>
      </c>
      <c r="F238" t="inlineStr">
        <is>
          <t>VÄSTERBOTTENS LÄN</t>
        </is>
      </c>
      <c r="G238" t="inlineStr">
        <is>
          <t>ROBERTSFORS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46225</v>
      </c>
      <c r="F239" t="inlineStr">
        <is>
          <t>VÄSTERBOTTENS LÄN</t>
        </is>
      </c>
      <c r="G239" t="inlineStr">
        <is>
          <t>ROBERTSFORS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46132</v>
      </c>
      <c r="E240" s="1" t="n">
        <v>46225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46132</v>
      </c>
      <c r="E241" s="1" t="n">
        <v>46225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46225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46225</v>
      </c>
      <c r="F243" t="inlineStr">
        <is>
          <t>VÄSTERBOTTENS LÄN</t>
        </is>
      </c>
      <c r="G243" t="inlineStr">
        <is>
          <t>ROBERTSFORS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54366-2024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45617</v>
      </c>
      <c r="E244" s="1" t="n">
        <v>46225</v>
      </c>
      <c r="F244" t="inlineStr">
        <is>
          <t>VÄSTERBOTTENS LÄN</t>
        </is>
      </c>
      <c r="G244" t="inlineStr">
        <is>
          <t>ROBERTSFORS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46225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19925-2026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46225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46135</v>
      </c>
      <c r="E247" s="1" t="n">
        <v>46225</v>
      </c>
      <c r="F247" t="inlineStr">
        <is>
          <t>VÄSTERBOTTENS LÄN</t>
        </is>
      </c>
      <c r="G247" t="inlineStr">
        <is>
          <t>ROBERTSFORS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46225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46225</v>
      </c>
      <c r="F249" t="inlineStr">
        <is>
          <t>VÄSTERBOTTENS LÄN</t>
        </is>
      </c>
      <c r="G249" t="inlineStr">
        <is>
          <t>ROBERTSFORS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46225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46225</v>
      </c>
      <c r="F251" t="inlineStr">
        <is>
          <t>VÄSTERBOTTENS LÄN</t>
        </is>
      </c>
      <c r="G251" t="inlineStr">
        <is>
          <t>ROBERTSFORS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46225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57737-2025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46225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39325-2021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44413</v>
      </c>
      <c r="E254" s="1" t="n">
        <v>46225</v>
      </c>
      <c r="F254" t="inlineStr">
        <is>
          <t>VÄSTERBOTTENS LÄN</t>
        </is>
      </c>
      <c r="G254" t="inlineStr">
        <is>
          <t>ROBERTSFORS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46225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46225</v>
      </c>
      <c r="F256" t="inlineStr">
        <is>
          <t>VÄSTERBOTTENS LÄN</t>
        </is>
      </c>
      <c r="G256" t="inlineStr">
        <is>
          <t>ROBERTSFORS</t>
        </is>
      </c>
      <c r="I256" t="n">
        <v>24.4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45030</v>
      </c>
      <c r="E257" s="1" t="n">
        <v>46225</v>
      </c>
      <c r="F257" t="inlineStr">
        <is>
          <t>VÄSTERBOTTENS LÄN</t>
        </is>
      </c>
      <c r="G257" t="inlineStr">
        <is>
          <t>ROBERTSFORS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45987</v>
      </c>
      <c r="E258" s="1" t="n">
        <v>46225</v>
      </c>
      <c r="F258" t="inlineStr">
        <is>
          <t>VÄSTERBOTTENS LÄN</t>
        </is>
      </c>
      <c r="G258" t="inlineStr">
        <is>
          <t>ROBERTSFORS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45636</v>
      </c>
      <c r="E259" s="1" t="n">
        <v>46225</v>
      </c>
      <c r="F259" t="inlineStr">
        <is>
          <t>VÄSTERBOTTENS LÄN</t>
        </is>
      </c>
      <c r="G259" t="inlineStr">
        <is>
          <t>ROBERTSFORS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46225</v>
      </c>
      <c r="F260" t="inlineStr">
        <is>
          <t>VÄSTERBOTTENS LÄN</t>
        </is>
      </c>
      <c r="G260" t="inlineStr">
        <is>
          <t>ROBERTSFORS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44413</v>
      </c>
      <c r="E261" s="1" t="n">
        <v>46225</v>
      </c>
      <c r="F261" t="inlineStr">
        <is>
          <t>VÄSTERBOTTENS LÄN</t>
        </is>
      </c>
      <c r="G261" t="inlineStr">
        <is>
          <t>ROBERTSFORS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46225</v>
      </c>
      <c r="F262" t="inlineStr">
        <is>
          <t>VÄSTERBOTTENS LÄN</t>
        </is>
      </c>
      <c r="G262" t="inlineStr">
        <is>
          <t>ROBERTSFORS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46225</v>
      </c>
      <c r="F263" t="inlineStr">
        <is>
          <t>VÄSTERBOTTENS LÄN</t>
        </is>
      </c>
      <c r="G263" t="inlineStr">
        <is>
          <t>ROBERTSFORS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46225</v>
      </c>
      <c r="F264" t="inlineStr">
        <is>
          <t>VÄSTERBOTTENS LÄN</t>
        </is>
      </c>
      <c r="G264" t="inlineStr">
        <is>
          <t>ROBERTSFORS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46225</v>
      </c>
      <c r="F265" t="inlineStr">
        <is>
          <t>VÄSTERBOTTENS LÄN</t>
        </is>
      </c>
      <c r="G265" t="inlineStr">
        <is>
          <t>ROBERTSFORS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45996</v>
      </c>
      <c r="E266" s="1" t="n">
        <v>46225</v>
      </c>
      <c r="F266" t="inlineStr">
        <is>
          <t>VÄSTERBOTTENS LÄN</t>
        </is>
      </c>
      <c r="G266" t="inlineStr">
        <is>
          <t>ROBERTSFORS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30733-2024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45496</v>
      </c>
      <c r="E267" s="1" t="n">
        <v>46225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46225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46225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Sveaskog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46225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46225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46225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46225</v>
      </c>
      <c r="F273" t="inlineStr">
        <is>
          <t>VÄSTERBOTTENS LÄN</t>
        </is>
      </c>
      <c r="G273" t="inlineStr">
        <is>
          <t>ROBERTSFORS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46139</v>
      </c>
      <c r="E274" s="1" t="n">
        <v>46225</v>
      </c>
      <c r="F274" t="inlineStr">
        <is>
          <t>VÄSTERBOTTENS LÄN</t>
        </is>
      </c>
      <c r="G274" t="inlineStr">
        <is>
          <t>ROBERTSFORS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15799-2024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46225</v>
      </c>
      <c r="F275" t="inlineStr">
        <is>
          <t>VÄSTERBOTTENS LÄN</t>
        </is>
      </c>
      <c r="G275" t="inlineStr">
        <is>
          <t>ROBERTSFORS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46225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46225</v>
      </c>
      <c r="F277" t="inlineStr">
        <is>
          <t>VÄSTERBOTTENS LÄN</t>
        </is>
      </c>
      <c r="G277" t="inlineStr">
        <is>
          <t>ROBERTSFORS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45627</v>
      </c>
      <c r="E278" s="1" t="n">
        <v>46225</v>
      </c>
      <c r="F278" t="inlineStr">
        <is>
          <t>VÄSTERBOTTENS LÄN</t>
        </is>
      </c>
      <c r="G278" t="inlineStr">
        <is>
          <t>ROBERTSFORS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46225</v>
      </c>
      <c r="F279" t="inlineStr">
        <is>
          <t>VÄSTERBOTTENS LÄN</t>
        </is>
      </c>
      <c r="G279" t="inlineStr">
        <is>
          <t>ROBERTSFORS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46225</v>
      </c>
      <c r="F280" t="inlineStr">
        <is>
          <t>VÄSTERBOTTENS LÄN</t>
        </is>
      </c>
      <c r="G280" t="inlineStr">
        <is>
          <t>ROBERTSFORS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45548</v>
      </c>
      <c r="E281" s="1" t="n">
        <v>46225</v>
      </c>
      <c r="F281" t="inlineStr">
        <is>
          <t>VÄSTERBOTTENS LÄN</t>
        </is>
      </c>
      <c r="G281" t="inlineStr">
        <is>
          <t>ROBERTSFORS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46225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44732</v>
      </c>
      <c r="E283" s="1" t="n">
        <v>46225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46225</v>
      </c>
      <c r="F284" t="inlineStr">
        <is>
          <t>VÄSTERBOTTENS LÄN</t>
        </is>
      </c>
      <c r="G284" t="inlineStr">
        <is>
          <t>ROBERTSFORS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46225</v>
      </c>
      <c r="F285" t="inlineStr">
        <is>
          <t>VÄSTERBOTTENS LÄN</t>
        </is>
      </c>
      <c r="G285" t="inlineStr">
        <is>
          <t>ROBERTSFORS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46225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46225</v>
      </c>
      <c r="F287" t="inlineStr">
        <is>
          <t>VÄSTERBOTTENS LÄN</t>
        </is>
      </c>
      <c r="G287" t="inlineStr">
        <is>
          <t>ROBERTSFORS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46225</v>
      </c>
      <c r="F288" t="inlineStr">
        <is>
          <t>VÄSTERBOTTENS LÄN</t>
        </is>
      </c>
      <c r="G288" t="inlineStr">
        <is>
          <t>ROBERTSFORS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46225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46225</v>
      </c>
      <c r="F290" t="inlineStr">
        <is>
          <t>VÄSTERBOTTENS LÄN</t>
        </is>
      </c>
      <c r="G290" t="inlineStr">
        <is>
          <t>ROBERTSFORS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46225</v>
      </c>
      <c r="F291" t="inlineStr">
        <is>
          <t>VÄSTERBOTTENS LÄN</t>
        </is>
      </c>
      <c r="G291" t="inlineStr">
        <is>
          <t>ROBERTSFORS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46225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46225</v>
      </c>
      <c r="F293" t="inlineStr">
        <is>
          <t>VÄSTERBOTTENS LÄN</t>
        </is>
      </c>
      <c r="G293" t="inlineStr">
        <is>
          <t>ROBERTSFORS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46225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46225</v>
      </c>
      <c r="F295" t="inlineStr">
        <is>
          <t>VÄSTERBOTTENS LÄN</t>
        </is>
      </c>
      <c r="G295" t="inlineStr">
        <is>
          <t>ROBERTSFORS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46225</v>
      </c>
      <c r="F296" t="inlineStr">
        <is>
          <t>VÄSTERBOTTENS LÄN</t>
        </is>
      </c>
      <c r="G296" t="inlineStr">
        <is>
          <t>ROBERTSFORS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46225</v>
      </c>
      <c r="F297" t="inlineStr">
        <is>
          <t>VÄSTERBOTTENS LÄN</t>
        </is>
      </c>
      <c r="G297" t="inlineStr">
        <is>
          <t>ROBERTSFORS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46225</v>
      </c>
      <c r="F298" t="inlineStr">
        <is>
          <t>VÄSTERBOTTENS LÄN</t>
        </is>
      </c>
      <c r="G298" t="inlineStr">
        <is>
          <t>ROBERTSFORS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46225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46225</v>
      </c>
      <c r="F300" t="inlineStr">
        <is>
          <t>VÄSTERBOTTENS LÄN</t>
        </is>
      </c>
      <c r="G300" t="inlineStr">
        <is>
          <t>ROBERTSFORS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46225</v>
      </c>
      <c r="F301" t="inlineStr">
        <is>
          <t>VÄSTERBOTTENS LÄN</t>
        </is>
      </c>
      <c r="G301" t="inlineStr">
        <is>
          <t>ROBERTSFORS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21512-2026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46225</v>
      </c>
      <c r="F302" t="inlineStr">
        <is>
          <t>VÄSTERBOTTENS LÄN</t>
        </is>
      </c>
      <c r="G302" t="inlineStr">
        <is>
          <t>ROBERTSFORS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45671</v>
      </c>
      <c r="E303" s="1" t="n">
        <v>46225</v>
      </c>
      <c r="F303" t="inlineStr">
        <is>
          <t>VÄSTERBOTTENS LÄN</t>
        </is>
      </c>
      <c r="G303" t="inlineStr">
        <is>
          <t>ROBERTSFORS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46225</v>
      </c>
      <c r="F304" t="inlineStr">
        <is>
          <t>VÄSTERBOTTENS LÄN</t>
        </is>
      </c>
      <c r="G304" t="inlineStr">
        <is>
          <t>ROBERTSFORS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46225</v>
      </c>
      <c r="F305" t="inlineStr">
        <is>
          <t>VÄSTERBOTTENS LÄN</t>
        </is>
      </c>
      <c r="G305" t="inlineStr">
        <is>
          <t>ROBERTSFORS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46225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46225</v>
      </c>
      <c r="F307" t="inlineStr">
        <is>
          <t>VÄSTERBOTTENS LÄN</t>
        </is>
      </c>
      <c r="G307" t="inlineStr">
        <is>
          <t>ROBERTSFORS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46225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45565</v>
      </c>
      <c r="E309" s="1" t="n">
        <v>46225</v>
      </c>
      <c r="F309" t="inlineStr">
        <is>
          <t>VÄSTERBOTTENS LÄN</t>
        </is>
      </c>
      <c r="G309" t="inlineStr">
        <is>
          <t>ROBERTSFORS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45020</v>
      </c>
      <c r="E310" s="1" t="n">
        <v>46225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46225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46225</v>
      </c>
      <c r="F312" t="inlineStr">
        <is>
          <t>VÄSTERBOTTENS LÄN</t>
        </is>
      </c>
      <c r="G312" t="inlineStr">
        <is>
          <t>ROBERTSFORS</t>
        </is>
      </c>
      <c r="I312" t="n">
        <v>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65771-2021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44516</v>
      </c>
      <c r="E313" s="1" t="n">
        <v>46225</v>
      </c>
      <c r="F313" t="inlineStr">
        <is>
          <t>VÄSTERBOTTENS LÄN</t>
        </is>
      </c>
      <c r="G313" t="inlineStr">
        <is>
          <t>ROBERTSFORS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46225</v>
      </c>
      <c r="F314" t="inlineStr">
        <is>
          <t>VÄSTERBOTTENS LÄN</t>
        </is>
      </c>
      <c r="G314" t="inlineStr">
        <is>
          <t>ROBERTSFORS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46225</v>
      </c>
      <c r="F315" t="inlineStr">
        <is>
          <t>VÄSTERBOTTENS LÄN</t>
        </is>
      </c>
      <c r="G315" t="inlineStr">
        <is>
          <t>ROBERTSFORS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46225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45205</v>
      </c>
      <c r="E317" s="1" t="n">
        <v>46225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46225</v>
      </c>
      <c r="F318" t="inlineStr">
        <is>
          <t>VÄSTERBOTTENS LÄN</t>
        </is>
      </c>
      <c r="G318" t="inlineStr">
        <is>
          <t>ROBERTSFORS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46225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46225</v>
      </c>
      <c r="F320" t="inlineStr">
        <is>
          <t>VÄSTERBOTTENS LÄN</t>
        </is>
      </c>
      <c r="G320" t="inlineStr">
        <is>
          <t>ROBERTSFORS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46225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45715</v>
      </c>
      <c r="E322" s="1" t="n">
        <v>46225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46225</v>
      </c>
      <c r="F323" t="inlineStr">
        <is>
          <t>VÄSTERBOTTENS LÄN</t>
        </is>
      </c>
      <c r="G323" t="inlineStr">
        <is>
          <t>ROBERTSFORS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45659</v>
      </c>
      <c r="E324" s="1" t="n">
        <v>46225</v>
      </c>
      <c r="F324" t="inlineStr">
        <is>
          <t>VÄSTERBOTTENS LÄN</t>
        </is>
      </c>
      <c r="G324" t="inlineStr">
        <is>
          <t>ROBERTSFORS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46225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46225</v>
      </c>
      <c r="F326" t="inlineStr">
        <is>
          <t>VÄSTERBOTTENS LÄN</t>
        </is>
      </c>
      <c r="G326" t="inlineStr">
        <is>
          <t>ROBERTSFORS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46225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45661</v>
      </c>
      <c r="E328" s="1" t="n">
        <v>46225</v>
      </c>
      <c r="F328" t="inlineStr">
        <is>
          <t>VÄSTERBOTTENS LÄN</t>
        </is>
      </c>
      <c r="G328" t="inlineStr">
        <is>
          <t>ROBERTSFORS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46225</v>
      </c>
      <c r="F329" t="inlineStr">
        <is>
          <t>VÄSTERBOTTENS LÄN</t>
        </is>
      </c>
      <c r="G329" t="inlineStr">
        <is>
          <t>ROBERTSFORS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46225</v>
      </c>
      <c r="F330" t="inlineStr">
        <is>
          <t>VÄSTERBOTTENS LÄN</t>
        </is>
      </c>
      <c r="G330" t="inlineStr">
        <is>
          <t>ROBERTSFORS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46225</v>
      </c>
      <c r="F331" t="inlineStr">
        <is>
          <t>VÄSTERBOTTENS LÄN</t>
        </is>
      </c>
      <c r="G331" t="inlineStr">
        <is>
          <t>ROBERTSFORS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58712-2024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45635</v>
      </c>
      <c r="E332" s="1" t="n">
        <v>46225</v>
      </c>
      <c r="F332" t="inlineStr">
        <is>
          <t>VÄSTERBOTTENS LÄN</t>
        </is>
      </c>
      <c r="G332" t="inlineStr">
        <is>
          <t>ROBERTSFORS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45033</v>
      </c>
      <c r="E333" s="1" t="n">
        <v>46225</v>
      </c>
      <c r="F333" t="inlineStr">
        <is>
          <t>VÄSTERBOTTENS LÄN</t>
        </is>
      </c>
      <c r="G333" t="inlineStr">
        <is>
          <t>ROBERTSFORS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46225</v>
      </c>
      <c r="F334" t="inlineStr">
        <is>
          <t>VÄSTERBOTTENS LÄN</t>
        </is>
      </c>
      <c r="G334" t="inlineStr">
        <is>
          <t>ROBERTSFORS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46160</v>
      </c>
      <c r="E335" s="1" t="n">
        <v>46225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46225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45458</v>
      </c>
      <c r="E337" s="1" t="n">
        <v>46225</v>
      </c>
      <c r="F337" t="inlineStr">
        <is>
          <t>VÄSTERBOTTENS LÄN</t>
        </is>
      </c>
      <c r="G337" t="inlineStr">
        <is>
          <t>ROBERTSFORS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46225</v>
      </c>
      <c r="F338" t="inlineStr">
        <is>
          <t>VÄSTERBOTTENS LÄN</t>
        </is>
      </c>
      <c r="G338" t="inlineStr">
        <is>
          <t>ROBERTSFORS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48252-2023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45205</v>
      </c>
      <c r="E339" s="1" t="n">
        <v>46225</v>
      </c>
      <c r="F339" t="inlineStr">
        <is>
          <t>VÄSTERBOTTENS LÄN</t>
        </is>
      </c>
      <c r="G339" t="inlineStr">
        <is>
          <t>ROBERTSFORS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46225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SCA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45502</v>
      </c>
      <c r="E341" s="1" t="n">
        <v>46225</v>
      </c>
      <c r="F341" t="inlineStr">
        <is>
          <t>VÄSTERBOTTENS LÄN</t>
        </is>
      </c>
      <c r="G341" t="inlineStr">
        <is>
          <t>ROBERTSFORS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45692</v>
      </c>
      <c r="E342" s="1" t="n">
        <v>46225</v>
      </c>
      <c r="F342" t="inlineStr">
        <is>
          <t>VÄSTERBOTTENS LÄN</t>
        </is>
      </c>
      <c r="G342" t="inlineStr">
        <is>
          <t>ROBERTSFORS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46225</v>
      </c>
      <c r="F343" t="inlineStr">
        <is>
          <t>VÄSTERBOTTENS LÄN</t>
        </is>
      </c>
      <c r="G343" t="inlineStr">
        <is>
          <t>ROBERTSFORS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45197</v>
      </c>
      <c r="E344" s="1" t="n">
        <v>46225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46225</v>
      </c>
      <c r="F345" t="inlineStr">
        <is>
          <t>VÄSTERBOTTENS LÄN</t>
        </is>
      </c>
      <c r="G345" t="inlineStr">
        <is>
          <t>ROBERTSFORS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46225</v>
      </c>
      <c r="F346" t="inlineStr">
        <is>
          <t>VÄSTERBOTTENS LÄN</t>
        </is>
      </c>
      <c r="G346" t="inlineStr">
        <is>
          <t>ROBERTSFORS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46225</v>
      </c>
      <c r="F347" t="inlineStr">
        <is>
          <t>VÄSTERBOTTENS LÄN</t>
        </is>
      </c>
      <c r="G347" t="inlineStr">
        <is>
          <t>ROBERTSFORS</t>
        </is>
      </c>
      <c r="I347" t="n">
        <v>11.5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46225</v>
      </c>
      <c r="F348" t="inlineStr">
        <is>
          <t>VÄSTERBOTTENS LÄN</t>
        </is>
      </c>
      <c r="G348" t="inlineStr">
        <is>
          <t>ROBERTSFORS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45687</v>
      </c>
      <c r="E349" s="1" t="n">
        <v>46225</v>
      </c>
      <c r="F349" t="inlineStr">
        <is>
          <t>VÄSTERBOTTENS LÄN</t>
        </is>
      </c>
      <c r="G349" t="inlineStr">
        <is>
          <t>ROBERTSFORS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46225</v>
      </c>
      <c r="F350" t="inlineStr">
        <is>
          <t>VÄSTERBOTTENS LÄN</t>
        </is>
      </c>
      <c r="G350" t="inlineStr">
        <is>
          <t>ROBERTSFORS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46225</v>
      </c>
      <c r="F351" t="inlineStr">
        <is>
          <t>VÄSTERBOTTENS LÄN</t>
        </is>
      </c>
      <c r="G351" t="inlineStr">
        <is>
          <t>ROBERTSFORS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46205</v>
      </c>
      <c r="E352" s="1" t="n">
        <v>46225</v>
      </c>
      <c r="F352" t="inlineStr">
        <is>
          <t>VÄSTERBOTTENS LÄN</t>
        </is>
      </c>
      <c r="G352" t="inlineStr">
        <is>
          <t>ROBERTSFORS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46225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46225</v>
      </c>
      <c r="F354" t="inlineStr">
        <is>
          <t>VÄSTERBOTTENS LÄN</t>
        </is>
      </c>
      <c r="G354" t="inlineStr">
        <is>
          <t>ROBERTSFORS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46225</v>
      </c>
      <c r="F355" t="inlineStr">
        <is>
          <t>VÄSTERBOTTENS LÄN</t>
        </is>
      </c>
      <c r="G355" t="inlineStr">
        <is>
          <t>ROBERTSFORS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45537</v>
      </c>
      <c r="E356" s="1" t="n">
        <v>46225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46225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45580</v>
      </c>
      <c r="E358" s="1" t="n">
        <v>46225</v>
      </c>
      <c r="F358" t="inlineStr">
        <is>
          <t>VÄSTERBOTTENS LÄN</t>
        </is>
      </c>
      <c r="G358" t="inlineStr">
        <is>
          <t>ROBERTSFORS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24365-2026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46225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46225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46225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46225</v>
      </c>
      <c r="F362" t="inlineStr">
        <is>
          <t>VÄSTERBOTTENS LÄN</t>
        </is>
      </c>
      <c r="G362" t="inlineStr">
        <is>
          <t>ROBERTSFORS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24647-2026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46171</v>
      </c>
      <c r="E363" s="1" t="n">
        <v>46225</v>
      </c>
      <c r="F363" t="inlineStr">
        <is>
          <t>VÄSTERBOTTENS LÄN</t>
        </is>
      </c>
      <c r="G363" t="inlineStr">
        <is>
          <t>ROBERTSFORS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45070</v>
      </c>
      <c r="E364" s="1" t="n">
        <v>46225</v>
      </c>
      <c r="F364" t="inlineStr">
        <is>
          <t>VÄSTERBOTTENS LÄN</t>
        </is>
      </c>
      <c r="G364" t="inlineStr">
        <is>
          <t>ROBERTSFORS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46225</v>
      </c>
      <c r="F365" t="inlineStr">
        <is>
          <t>VÄSTERBOTTENS LÄN</t>
        </is>
      </c>
      <c r="G365" t="inlineStr">
        <is>
          <t>ROBERTSFORS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46225</v>
      </c>
      <c r="F366" t="inlineStr">
        <is>
          <t>VÄSTERBOTTENS LÄN</t>
        </is>
      </c>
      <c r="G366" t="inlineStr">
        <is>
          <t>ROBERTSFORS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59833-2022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44901</v>
      </c>
      <c r="E367" s="1" t="n">
        <v>46225</v>
      </c>
      <c r="F367" t="inlineStr">
        <is>
          <t>VÄSTERBOTTENS LÄN</t>
        </is>
      </c>
      <c r="G367" t="inlineStr">
        <is>
          <t>ROBERTSFORS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46225</v>
      </c>
      <c r="F368" t="inlineStr">
        <is>
          <t>VÄSTERBOTTENS LÄN</t>
        </is>
      </c>
      <c r="G368" t="inlineStr">
        <is>
          <t>ROBERTSFORS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58790-2022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44895</v>
      </c>
      <c r="E369" s="1" t="n">
        <v>46225</v>
      </c>
      <c r="F369" t="inlineStr">
        <is>
          <t>VÄSTERBOTTENS LÄN</t>
        </is>
      </c>
      <c r="G369" t="inlineStr">
        <is>
          <t>ROBERTSFORS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46225</v>
      </c>
      <c r="F370" t="inlineStr">
        <is>
          <t>VÄSTERBOTTENS LÄN</t>
        </is>
      </c>
      <c r="G370" t="inlineStr">
        <is>
          <t>ROBERTSFORS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46225</v>
      </c>
      <c r="F371" t="inlineStr">
        <is>
          <t>VÄSTERBOTTENS LÄN</t>
        </is>
      </c>
      <c r="G371" t="inlineStr">
        <is>
          <t>ROBERTSFORS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46177</v>
      </c>
      <c r="E372" s="1" t="n">
        <v>46225</v>
      </c>
      <c r="F372" t="inlineStr">
        <is>
          <t>VÄSTERBOTTENS LÄN</t>
        </is>
      </c>
      <c r="G372" t="inlineStr">
        <is>
          <t>ROBERTSFORS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46225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46225</v>
      </c>
      <c r="F374" t="inlineStr">
        <is>
          <t>VÄSTERBOTTENS LÄN</t>
        </is>
      </c>
      <c r="G374" t="inlineStr">
        <is>
          <t>ROBERTSFORS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45617</v>
      </c>
      <c r="E375" s="1" t="n">
        <v>46225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45454</v>
      </c>
      <c r="E376" s="1" t="n">
        <v>46225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46225</v>
      </c>
      <c r="F377" t="inlineStr">
        <is>
          <t>VÄSTERBOTTENS LÄN</t>
        </is>
      </c>
      <c r="G377" t="inlineStr">
        <is>
          <t>ROBERTSFORS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46225</v>
      </c>
      <c r="F378" t="inlineStr">
        <is>
          <t>VÄSTERBOTTENS LÄN</t>
        </is>
      </c>
      <c r="G378" t="inlineStr">
        <is>
          <t>ROBERTSFORS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44953</v>
      </c>
      <c r="E379" s="1" t="n">
        <v>46225</v>
      </c>
      <c r="F379" t="inlineStr">
        <is>
          <t>VÄSTERBOTTENS LÄN</t>
        </is>
      </c>
      <c r="G379" t="inlineStr">
        <is>
          <t>ROBERTSFORS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46225</v>
      </c>
      <c r="F380" t="inlineStr">
        <is>
          <t>VÄSTERBOTTENS LÄN</t>
        </is>
      </c>
      <c r="G380" t="inlineStr">
        <is>
          <t>ROBERTSFORS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46225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46225</v>
      </c>
      <c r="F382" t="inlineStr">
        <is>
          <t>VÄSTERBOTTENS LÄN</t>
        </is>
      </c>
      <c r="G382" t="inlineStr">
        <is>
          <t>ROBERTSFORS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45405</v>
      </c>
      <c r="E383" s="1" t="n">
        <v>46225</v>
      </c>
      <c r="F383" t="inlineStr">
        <is>
          <t>VÄSTERBOTTENS LÄN</t>
        </is>
      </c>
      <c r="G383" t="inlineStr">
        <is>
          <t>ROBERTSFORS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46225</v>
      </c>
      <c r="F384" t="inlineStr">
        <is>
          <t>VÄSTERBOTTENS LÄN</t>
        </is>
      </c>
      <c r="G384" t="inlineStr">
        <is>
          <t>ROBERTSFORS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15294-2023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45019</v>
      </c>
      <c r="E385" s="1" t="n">
        <v>46225</v>
      </c>
      <c r="F385" t="inlineStr">
        <is>
          <t>VÄSTERBOTTENS LÄN</t>
        </is>
      </c>
      <c r="G385" t="inlineStr">
        <is>
          <t>ROBERTSFORS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45610</v>
      </c>
      <c r="E386" s="1" t="n">
        <v>46225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SCA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46225</v>
      </c>
      <c r="F387" t="inlineStr">
        <is>
          <t>VÄSTERBOTTENS LÄN</t>
        </is>
      </c>
      <c r="G387" t="inlineStr">
        <is>
          <t>ROBERTSFORS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46225</v>
      </c>
      <c r="F388" t="inlineStr">
        <is>
          <t>VÄSTERBOTTENS LÄN</t>
        </is>
      </c>
      <c r="G388" t="inlineStr">
        <is>
          <t>ROBERTSFORS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15484-2023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46225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46225</v>
      </c>
      <c r="F390" t="inlineStr">
        <is>
          <t>VÄSTERBOTTENS LÄN</t>
        </is>
      </c>
      <c r="G390" t="inlineStr">
        <is>
          <t>ROBERTSFORS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45480</v>
      </c>
      <c r="E391" s="1" t="n">
        <v>46225</v>
      </c>
      <c r="F391" t="inlineStr">
        <is>
          <t>VÄSTERBOTTENS LÄN</t>
        </is>
      </c>
      <c r="G391" t="inlineStr">
        <is>
          <t>ROBERTSFORS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45141</v>
      </c>
      <c r="E392" s="1" t="n">
        <v>46225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45281</v>
      </c>
      <c r="E393" s="1" t="n">
        <v>46225</v>
      </c>
      <c r="F393" t="inlineStr">
        <is>
          <t>VÄSTERBOTTENS LÄN</t>
        </is>
      </c>
      <c r="G393" t="inlineStr">
        <is>
          <t>ROBERTSFORS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45468</v>
      </c>
      <c r="E394" s="1" t="n">
        <v>46225</v>
      </c>
      <c r="F394" t="inlineStr">
        <is>
          <t>VÄSTERBOTTENS LÄN</t>
        </is>
      </c>
      <c r="G394" t="inlineStr">
        <is>
          <t>ROBERTSFORS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27852-2024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46225</v>
      </c>
      <c r="F395" t="inlineStr">
        <is>
          <t>VÄSTERBOTTENS LÄN</t>
        </is>
      </c>
      <c r="G395" t="inlineStr">
        <is>
          <t>ROBERTSFORS</t>
        </is>
      </c>
      <c r="I395" t="n">
        <v>10.5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45610</v>
      </c>
      <c r="E396" s="1" t="n">
        <v>46225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SCA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36139-2023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46225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27586-2024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46225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57646-2023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45246</v>
      </c>
      <c r="E399" s="1" t="n">
        <v>46225</v>
      </c>
      <c r="F399" t="inlineStr">
        <is>
          <t>VÄSTERBOTTENS LÄN</t>
        </is>
      </c>
      <c r="G399" t="inlineStr">
        <is>
          <t>ROBERTSFORS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24468-2024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45458</v>
      </c>
      <c r="E400" s="1" t="n">
        <v>46225</v>
      </c>
      <c r="F400" t="inlineStr">
        <is>
          <t>VÄSTERBOTTENS LÄN</t>
        </is>
      </c>
      <c r="G400" t="inlineStr">
        <is>
          <t>ROBERTSFORS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73557-2021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44551</v>
      </c>
      <c r="E401" s="1" t="n">
        <v>46225</v>
      </c>
      <c r="F401" t="inlineStr">
        <is>
          <t>VÄSTERBOTTENS LÄN</t>
        </is>
      </c>
      <c r="G401" t="inlineStr">
        <is>
          <t>ROBERTSFORS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45484</v>
      </c>
      <c r="E402" s="1" t="n">
        <v>46225</v>
      </c>
      <c r="F402" t="inlineStr">
        <is>
          <t>VÄSTERBOTTENS LÄN</t>
        </is>
      </c>
      <c r="G402" t="inlineStr">
        <is>
          <t>ROBERTSFORS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46225</v>
      </c>
      <c r="F403" t="inlineStr">
        <is>
          <t>VÄSTERBOTTENS LÄN</t>
        </is>
      </c>
      <c r="G403" t="inlineStr">
        <is>
          <t>ROBERTSFORS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46225</v>
      </c>
      <c r="F404" t="inlineStr">
        <is>
          <t>VÄSTERBOTTENS LÄN</t>
        </is>
      </c>
      <c r="G404" t="inlineStr">
        <is>
          <t>ROBERTSFORS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45583</v>
      </c>
      <c r="E405" s="1" t="n">
        <v>46225</v>
      </c>
      <c r="F405" t="inlineStr">
        <is>
          <t>VÄSTERBOTTENS LÄN</t>
        </is>
      </c>
      <c r="G405" t="inlineStr">
        <is>
          <t>ROBERTSFORS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15888-2024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45405</v>
      </c>
      <c r="E406" s="1" t="n">
        <v>46225</v>
      </c>
      <c r="F406" t="inlineStr">
        <is>
          <t>VÄSTERBOTTENS LÄN</t>
        </is>
      </c>
      <c r="G406" t="inlineStr">
        <is>
          <t>ROBERTSFORS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45005</v>
      </c>
      <c r="E407" s="1" t="n">
        <v>46225</v>
      </c>
      <c r="F407" t="inlineStr">
        <is>
          <t>VÄSTERBOTTENS LÄN</t>
        </is>
      </c>
      <c r="G407" t="inlineStr">
        <is>
          <t>ROBERTSFORS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45335</v>
      </c>
      <c r="E408" s="1" t="n">
        <v>46225</v>
      </c>
      <c r="F408" t="inlineStr">
        <is>
          <t>VÄSTERBOTTENS LÄN</t>
        </is>
      </c>
      <c r="G408" t="inlineStr">
        <is>
          <t>ROBERTSFORS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25572-2023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45082</v>
      </c>
      <c r="E409" s="1" t="n">
        <v>46225</v>
      </c>
      <c r="F409" t="inlineStr">
        <is>
          <t>VÄSTERBOTTENS LÄN</t>
        </is>
      </c>
      <c r="G409" t="inlineStr">
        <is>
          <t>ROBERTSFORS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45712</v>
      </c>
      <c r="E410" s="1" t="n">
        <v>46225</v>
      </c>
      <c r="F410" t="inlineStr">
        <is>
          <t>VÄSTERBOTTENS LÄN</t>
        </is>
      </c>
      <c r="G410" t="inlineStr">
        <is>
          <t>ROBERTSFORS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45512</v>
      </c>
      <c r="E411" s="1" t="n">
        <v>46225</v>
      </c>
      <c r="F411" t="inlineStr">
        <is>
          <t>VÄSTERBOTTENS LÄN</t>
        </is>
      </c>
      <c r="G411" t="inlineStr">
        <is>
          <t>ROBERTSFORS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46225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43095-2023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46225</v>
      </c>
      <c r="F413" t="inlineStr">
        <is>
          <t>VÄSTERBOTTENS LÄN</t>
        </is>
      </c>
      <c r="G413" t="inlineStr">
        <is>
          <t>ROBERTSFORS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45553</v>
      </c>
      <c r="E414" s="1" t="n">
        <v>46225</v>
      </c>
      <c r="F414" t="inlineStr">
        <is>
          <t>VÄSTERBOTTENS LÄN</t>
        </is>
      </c>
      <c r="G414" t="inlineStr">
        <is>
          <t>ROBERTSFORS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46225</v>
      </c>
      <c r="F415" t="inlineStr">
        <is>
          <t>VÄSTERBOTTENS LÄN</t>
        </is>
      </c>
      <c r="G415" t="inlineStr">
        <is>
          <t>ROBERTSFORS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46225</v>
      </c>
      <c r="F416" t="inlineStr">
        <is>
          <t>VÄSTERBOTTENS LÄN</t>
        </is>
      </c>
      <c r="G416" t="inlineStr">
        <is>
          <t>ROBERTSFORS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44580</v>
      </c>
      <c r="E417" s="1" t="n">
        <v>46225</v>
      </c>
      <c r="F417" t="inlineStr">
        <is>
          <t>VÄSTERBOTTENS LÄN</t>
        </is>
      </c>
      <c r="G417" t="inlineStr">
        <is>
          <t>ROBERTSFORS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52835-2024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46225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SCA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44683</v>
      </c>
      <c r="E419" s="1" t="n">
        <v>46225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45625</v>
      </c>
      <c r="E420" s="1" t="n">
        <v>46225</v>
      </c>
      <c r="F420" t="inlineStr">
        <is>
          <t>VÄSTERBOTTENS LÄN</t>
        </is>
      </c>
      <c r="G420" t="inlineStr">
        <is>
          <t>ROBERTSFORS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46225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46225</v>
      </c>
      <c r="F422" t="inlineStr">
        <is>
          <t>VÄSTERBOTTENS LÄN</t>
        </is>
      </c>
      <c r="G422" t="inlineStr">
        <is>
          <t>ROBERTSFORS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45687</v>
      </c>
      <c r="E423" s="1" t="n">
        <v>46225</v>
      </c>
      <c r="F423" t="inlineStr">
        <is>
          <t>VÄSTERBOTTENS LÄN</t>
        </is>
      </c>
      <c r="G423" t="inlineStr">
        <is>
          <t>ROBERTSFORS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45708</v>
      </c>
      <c r="E424" s="1" t="n">
        <v>46225</v>
      </c>
      <c r="F424" t="inlineStr">
        <is>
          <t>VÄSTERBOTTENS LÄN</t>
        </is>
      </c>
      <c r="G424" t="inlineStr">
        <is>
          <t>ROBERTSFORS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44588</v>
      </c>
      <c r="E425" s="1" t="n">
        <v>46225</v>
      </c>
      <c r="F425" t="inlineStr">
        <is>
          <t>VÄSTERBOTTENS LÄN</t>
        </is>
      </c>
      <c r="G425" t="inlineStr">
        <is>
          <t>ROBERTSFORS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10173-2022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44622</v>
      </c>
      <c r="E426" s="1" t="n">
        <v>46225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45653</v>
      </c>
      <c r="E427" s="1" t="n">
        <v>46225</v>
      </c>
      <c r="F427" t="inlineStr">
        <is>
          <t>VÄSTERBOTTENS LÄN</t>
        </is>
      </c>
      <c r="G427" t="inlineStr">
        <is>
          <t>ROBERTSFORS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45664</v>
      </c>
      <c r="E428" s="1" t="n">
        <v>46225</v>
      </c>
      <c r="F428" t="inlineStr">
        <is>
          <t>VÄSTERBOTTENS LÄN</t>
        </is>
      </c>
      <c r="G428" t="inlineStr">
        <is>
          <t>ROBERTSFORS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46225</v>
      </c>
      <c r="F429" t="inlineStr">
        <is>
          <t>VÄSTERBOTTENS LÄN</t>
        </is>
      </c>
      <c r="G429" t="inlineStr">
        <is>
          <t>ROBERTSFORS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45659</v>
      </c>
      <c r="E430" s="1" t="n">
        <v>46225</v>
      </c>
      <c r="F430" t="inlineStr">
        <is>
          <t>VÄSTERBOTTENS LÄN</t>
        </is>
      </c>
      <c r="G430" t="inlineStr">
        <is>
          <t>ROBERTSFORS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45611</v>
      </c>
      <c r="E431" s="1" t="n">
        <v>46225</v>
      </c>
      <c r="F431" t="inlineStr">
        <is>
          <t>VÄSTERBOTTENS LÄN</t>
        </is>
      </c>
      <c r="G431" t="inlineStr">
        <is>
          <t>ROBERTSFORS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45670</v>
      </c>
      <c r="E432" s="1" t="n">
        <v>46225</v>
      </c>
      <c r="F432" t="inlineStr">
        <is>
          <t>VÄSTERBOTTENS LÄN</t>
        </is>
      </c>
      <c r="G432" t="inlineStr">
        <is>
          <t>ROBERTSFORS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44838</v>
      </c>
      <c r="E433" s="1" t="n">
        <v>46225</v>
      </c>
      <c r="F433" t="inlineStr">
        <is>
          <t>VÄSTERBOTTENS LÄN</t>
        </is>
      </c>
      <c r="G433" t="inlineStr">
        <is>
          <t>ROBERTSFORS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45446</v>
      </c>
      <c r="E434" s="1" t="n">
        <v>46225</v>
      </c>
      <c r="F434" t="inlineStr">
        <is>
          <t>VÄSTERBOTTENS LÄN</t>
        </is>
      </c>
      <c r="G434" t="inlineStr">
        <is>
          <t>ROBERTSFORS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45700</v>
      </c>
      <c r="E435" s="1" t="n">
        <v>46225</v>
      </c>
      <c r="F435" t="inlineStr">
        <is>
          <t>VÄSTERBOTTENS LÄN</t>
        </is>
      </c>
      <c r="G435" t="inlineStr">
        <is>
          <t>ROBERTSFORS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45202</v>
      </c>
      <c r="E436" s="1" t="n">
        <v>46225</v>
      </c>
      <c r="F436" t="inlineStr">
        <is>
          <t>VÄSTERBOTTENS LÄN</t>
        </is>
      </c>
      <c r="G436" t="inlineStr">
        <is>
          <t>ROBERTSFORS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46225</v>
      </c>
      <c r="F437" t="inlineStr">
        <is>
          <t>VÄSTERBOTTENS LÄN</t>
        </is>
      </c>
      <c r="G437" t="inlineStr">
        <is>
          <t>ROBERTSFORS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45756</v>
      </c>
      <c r="E438" s="1" t="n">
        <v>46225</v>
      </c>
      <c r="F438" t="inlineStr">
        <is>
          <t>VÄSTERBOTTENS LÄN</t>
        </is>
      </c>
      <c r="G438" t="inlineStr">
        <is>
          <t>ROBERTSFORS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46225</v>
      </c>
      <c r="F439" t="inlineStr">
        <is>
          <t>VÄSTERBOTTENS LÄN</t>
        </is>
      </c>
      <c r="G439" t="inlineStr">
        <is>
          <t>ROBERTSFORS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46225</v>
      </c>
      <c r="F440" t="inlineStr">
        <is>
          <t>VÄSTERBOTTENS LÄN</t>
        </is>
      </c>
      <c r="G440" t="inlineStr">
        <is>
          <t>ROBERTSFORS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46225</v>
      </c>
      <c r="F441" t="inlineStr">
        <is>
          <t>VÄSTERBOTTENS LÄN</t>
        </is>
      </c>
      <c r="G441" t="inlineStr">
        <is>
          <t>ROBERTSFORS</t>
        </is>
      </c>
      <c r="I441" t="n">
        <v>8.800000000000001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46225</v>
      </c>
      <c r="F442" t="inlineStr">
        <is>
          <t>VÄSTERBOTTENS LÄN</t>
        </is>
      </c>
      <c r="G442" t="inlineStr">
        <is>
          <t>ROBERTSFORS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36477-2024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45537</v>
      </c>
      <c r="E443" s="1" t="n">
        <v>46225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46225</v>
      </c>
      <c r="F444" t="inlineStr">
        <is>
          <t>VÄSTERBOTTENS LÄN</t>
        </is>
      </c>
      <c r="G444" t="inlineStr">
        <is>
          <t>ROBERTSFORS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45261</v>
      </c>
      <c r="E445" s="1" t="n">
        <v>46225</v>
      </c>
      <c r="F445" t="inlineStr">
        <is>
          <t>VÄSTERBOTTENS LÄN</t>
        </is>
      </c>
      <c r="G445" t="inlineStr">
        <is>
          <t>ROBERTSFORS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45468</v>
      </c>
      <c r="E446" s="1" t="n">
        <v>46225</v>
      </c>
      <c r="F446" t="inlineStr">
        <is>
          <t>VÄSTERBOTTENS LÄN</t>
        </is>
      </c>
      <c r="G446" t="inlineStr">
        <is>
          <t>ROBERTSFORS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60882-2024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46225</v>
      </c>
      <c r="F447" t="inlineStr">
        <is>
          <t>VÄSTERBOTTENS LÄN</t>
        </is>
      </c>
      <c r="G447" t="inlineStr">
        <is>
          <t>ROBERTSFORS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45510</v>
      </c>
      <c r="E448" s="1" t="n">
        <v>46225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46225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45671</v>
      </c>
      <c r="E450" s="1" t="n">
        <v>46225</v>
      </c>
      <c r="F450" t="inlineStr">
        <is>
          <t>VÄSTERBOTTENS LÄN</t>
        </is>
      </c>
      <c r="G450" t="inlineStr">
        <is>
          <t>ROBERTSFORS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46225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45581</v>
      </c>
      <c r="E452" s="1" t="n">
        <v>46225</v>
      </c>
      <c r="F452" t="inlineStr">
        <is>
          <t>VÄSTERBOTTENS LÄN</t>
        </is>
      </c>
      <c r="G452" t="inlineStr">
        <is>
          <t>ROBERTSFORS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45548</v>
      </c>
      <c r="E453" s="1" t="n">
        <v>46225</v>
      </c>
      <c r="F453" t="inlineStr">
        <is>
          <t>VÄSTERBOTTENS LÄN</t>
        </is>
      </c>
      <c r="G453" t="inlineStr">
        <is>
          <t>ROBERTSFORS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65772-2021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44516</v>
      </c>
      <c r="E454" s="1" t="n">
        <v>46225</v>
      </c>
      <c r="F454" t="inlineStr">
        <is>
          <t>VÄSTERBOTTENS LÄN</t>
        </is>
      </c>
      <c r="G454" t="inlineStr">
        <is>
          <t>ROBERTSFORS</t>
        </is>
      </c>
      <c r="I454" t="n">
        <v>18.2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45033</v>
      </c>
      <c r="E455" s="1" t="n">
        <v>46225</v>
      </c>
      <c r="F455" t="inlineStr">
        <is>
          <t>VÄSTERBOTTENS LÄN</t>
        </is>
      </c>
      <c r="G455" t="inlineStr">
        <is>
          <t>ROBERTSFORS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45048</v>
      </c>
      <c r="E456" s="1" t="n">
        <v>46225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46225</v>
      </c>
      <c r="F457" t="inlineStr">
        <is>
          <t>VÄSTERBOTTENS LÄN</t>
        </is>
      </c>
      <c r="G457" t="inlineStr">
        <is>
          <t>ROBERTSFORS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45432</v>
      </c>
      <c r="E458" s="1" t="n">
        <v>46225</v>
      </c>
      <c r="F458" t="inlineStr">
        <is>
          <t>VÄSTERBOTTENS LÄN</t>
        </is>
      </c>
      <c r="G458" t="inlineStr">
        <is>
          <t>ROBERTSFORS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38092-2022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44811</v>
      </c>
      <c r="E459" s="1" t="n">
        <v>46225</v>
      </c>
      <c r="F459" t="inlineStr">
        <is>
          <t>VÄSTERBOTTENS LÄN</t>
        </is>
      </c>
      <c r="G459" t="inlineStr">
        <is>
          <t>ROBERTSFORS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44919</v>
      </c>
      <c r="E460" s="1" t="n">
        <v>46225</v>
      </c>
      <c r="F460" t="inlineStr">
        <is>
          <t>VÄSTERBOTTENS LÄN</t>
        </is>
      </c>
      <c r="G460" t="inlineStr">
        <is>
          <t>ROBERTSFORS</t>
        </is>
      </c>
      <c r="I460" t="n">
        <v>64.7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46225</v>
      </c>
      <c r="F461" t="inlineStr">
        <is>
          <t>VÄSTERBOTTENS LÄN</t>
        </is>
      </c>
      <c r="G461" t="inlineStr">
        <is>
          <t>ROBERTSFORS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62187-2021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44502</v>
      </c>
      <c r="E462" s="1" t="n">
        <v>46225</v>
      </c>
      <c r="F462" t="inlineStr">
        <is>
          <t>VÄSTERBOTTENS LÄN</t>
        </is>
      </c>
      <c r="G462" t="inlineStr">
        <is>
          <t>ROBERTSFORS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44580</v>
      </c>
      <c r="E463" s="1" t="n">
        <v>46225</v>
      </c>
      <c r="F463" t="inlineStr">
        <is>
          <t>VÄSTERBOTTENS LÄN</t>
        </is>
      </c>
      <c r="G463" t="inlineStr">
        <is>
          <t>ROBERTSFORS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53271-2021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44467</v>
      </c>
      <c r="E464" s="1" t="n">
        <v>46225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45580</v>
      </c>
      <c r="E465" s="1" t="n">
        <v>46225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45620</v>
      </c>
      <c r="E466" s="1" t="n">
        <v>46225</v>
      </c>
      <c r="F466" t="inlineStr">
        <is>
          <t>VÄSTERBOTTENS LÄN</t>
        </is>
      </c>
      <c r="G466" t="inlineStr">
        <is>
          <t>ROBERTSFORS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26894-2024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45470</v>
      </c>
      <c r="E467" s="1" t="n">
        <v>46225</v>
      </c>
      <c r="F467" t="inlineStr">
        <is>
          <t>VÄSTERBOTTENS LÄN</t>
        </is>
      </c>
      <c r="G467" t="inlineStr">
        <is>
          <t>ROBERTSFORS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46225</v>
      </c>
      <c r="F468" t="inlineStr">
        <is>
          <t>VÄSTERBOTTENS LÄN</t>
        </is>
      </c>
      <c r="G468" t="inlineStr">
        <is>
          <t>ROBERTSFORS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44952</v>
      </c>
      <c r="E469" s="1" t="n">
        <v>46225</v>
      </c>
      <c r="F469" t="inlineStr">
        <is>
          <t>VÄSTERBOTTENS LÄN</t>
        </is>
      </c>
      <c r="G469" t="inlineStr">
        <is>
          <t>ROBERTSFORS</t>
        </is>
      </c>
      <c r="I469" t="n">
        <v>16.1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26038-2022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44734</v>
      </c>
      <c r="E470" s="1" t="n">
        <v>46225</v>
      </c>
      <c r="F470" t="inlineStr">
        <is>
          <t>VÄSTERBOTTENS LÄN</t>
        </is>
      </c>
      <c r="G470" t="inlineStr">
        <is>
          <t>ROBERTSFORS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45076</v>
      </c>
      <c r="E471" s="1" t="n">
        <v>46225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45129</v>
      </c>
      <c r="E472" s="1" t="n">
        <v>46225</v>
      </c>
      <c r="F472" t="inlineStr">
        <is>
          <t>VÄSTERBOTTENS LÄN</t>
        </is>
      </c>
      <c r="G472" t="inlineStr">
        <is>
          <t>ROBERTSFORS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45160</v>
      </c>
      <c r="E473" s="1" t="n">
        <v>46225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55469-2021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44475</v>
      </c>
      <c r="E474" s="1" t="n">
        <v>46225</v>
      </c>
      <c r="F474" t="inlineStr">
        <is>
          <t>VÄSTERBOTTENS LÄN</t>
        </is>
      </c>
      <c r="G474" t="inlineStr">
        <is>
          <t>ROBERTSFORS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26797-2023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46225</v>
      </c>
      <c r="F475" t="inlineStr">
        <is>
          <t>VÄSTERBOTTENS LÄN</t>
        </is>
      </c>
      <c r="G475" t="inlineStr">
        <is>
          <t>ROBERTSFORS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46225</v>
      </c>
      <c r="F476" t="inlineStr">
        <is>
          <t>VÄSTERBOTTENS LÄN</t>
        </is>
      </c>
      <c r="G476" t="inlineStr">
        <is>
          <t>ROBERTSFORS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45530</v>
      </c>
      <c r="E477" s="1" t="n">
        <v>46225</v>
      </c>
      <c r="F477" t="inlineStr">
        <is>
          <t>VÄSTERBOTTENS LÄN</t>
        </is>
      </c>
      <c r="G477" t="inlineStr">
        <is>
          <t>ROBERTSFORS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46225</v>
      </c>
      <c r="F478" t="inlineStr">
        <is>
          <t>VÄSTERBOTTENS LÄN</t>
        </is>
      </c>
      <c r="G478" t="inlineStr">
        <is>
          <t>ROBERTSFORS</t>
        </is>
      </c>
      <c r="I478" t="n">
        <v>12.1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46388-2023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45197</v>
      </c>
      <c r="E479" s="1" t="n">
        <v>46225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45664</v>
      </c>
      <c r="E480" s="1" t="n">
        <v>46225</v>
      </c>
      <c r="F480" t="inlineStr">
        <is>
          <t>VÄSTERBOTTENS LÄN</t>
        </is>
      </c>
      <c r="G480" t="inlineStr">
        <is>
          <t>ROBERTSFORS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45659</v>
      </c>
      <c r="E481" s="1" t="n">
        <v>46225</v>
      </c>
      <c r="F481" t="inlineStr">
        <is>
          <t>VÄSTERBOTTENS LÄN</t>
        </is>
      </c>
      <c r="G481" t="inlineStr">
        <is>
          <t>ROBERTSFORS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58526-2023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45251</v>
      </c>
      <c r="E482" s="1" t="n">
        <v>46225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45148</v>
      </c>
      <c r="E483" s="1" t="n">
        <v>46225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46225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46225</v>
      </c>
      <c r="F485" t="inlineStr">
        <is>
          <t>VÄSTERBOTTENS LÄN</t>
        </is>
      </c>
      <c r="G485" t="inlineStr">
        <is>
          <t>ROBERTSFORS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45365</v>
      </c>
      <c r="E486" s="1" t="n">
        <v>46225</v>
      </c>
      <c r="F486" t="inlineStr">
        <is>
          <t>VÄSTERBOTTENS LÄN</t>
        </is>
      </c>
      <c r="G486" t="inlineStr">
        <is>
          <t>ROBERTSFORS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45365</v>
      </c>
      <c r="E487" s="1" t="n">
        <v>46225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52832-2024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46225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SCA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46225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46225</v>
      </c>
      <c r="F490" t="inlineStr">
        <is>
          <t>VÄSTERBOTTENS LÄN</t>
        </is>
      </c>
      <c r="G490" t="inlineStr">
        <is>
          <t>ROBERTSFORS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45687</v>
      </c>
      <c r="E491" s="1" t="n">
        <v>46225</v>
      </c>
      <c r="F491" t="inlineStr">
        <is>
          <t>VÄSTERBOTTENS LÄN</t>
        </is>
      </c>
      <c r="G491" t="inlineStr">
        <is>
          <t>ROBERTSFORS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46225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45635</v>
      </c>
      <c r="E493" s="1" t="n">
        <v>46225</v>
      </c>
      <c r="F493" t="inlineStr">
        <is>
          <t>VÄSTERBOTTENS LÄN</t>
        </is>
      </c>
      <c r="G493" t="inlineStr">
        <is>
          <t>ROBERTSFORS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46225</v>
      </c>
      <c r="F494" t="inlineStr">
        <is>
          <t>VÄSTERBOTTENS LÄN</t>
        </is>
      </c>
      <c r="G494" t="inlineStr">
        <is>
          <t>ROBERTSFORS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45251</v>
      </c>
      <c r="E495" s="1" t="n">
        <v>46225</v>
      </c>
      <c r="F495" t="inlineStr">
        <is>
          <t>VÄSTERBOTTENS LÄN</t>
        </is>
      </c>
      <c r="G495" t="inlineStr">
        <is>
          <t>ROBERTSFORS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46225</v>
      </c>
      <c r="F496" t="inlineStr">
        <is>
          <t>VÄSTERBOTTENS LÄN</t>
        </is>
      </c>
      <c r="G496" t="inlineStr">
        <is>
          <t>ROBERTSFORS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57008-2024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45628</v>
      </c>
      <c r="E497" s="1" t="n">
        <v>46225</v>
      </c>
      <c r="F497" t="inlineStr">
        <is>
          <t>VÄSTERBOTTENS LÄN</t>
        </is>
      </c>
      <c r="G497" t="inlineStr">
        <is>
          <t>ROBERTSFORS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45160</v>
      </c>
      <c r="E498" s="1" t="n">
        <v>46225</v>
      </c>
      <c r="F498" t="inlineStr">
        <is>
          <t>VÄSTERBOTTENS LÄN</t>
        </is>
      </c>
      <c r="G498" t="inlineStr">
        <is>
          <t>ROBERTSFORS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38352-2023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45161</v>
      </c>
      <c r="E499" s="1" t="n">
        <v>46225</v>
      </c>
      <c r="F499" t="inlineStr">
        <is>
          <t>VÄSTERBOTTENS LÄN</t>
        </is>
      </c>
      <c r="G499" t="inlineStr">
        <is>
          <t>ROBERTSFORS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46225</v>
      </c>
      <c r="F500" t="inlineStr">
        <is>
          <t>VÄSTERBOTTENS LÄN</t>
        </is>
      </c>
      <c r="G500" t="inlineStr">
        <is>
          <t>ROBERTSFORS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46225</v>
      </c>
      <c r="F501" t="inlineStr">
        <is>
          <t>VÄSTERBOTTENS LÄN</t>
        </is>
      </c>
      <c r="G501" t="inlineStr">
        <is>
          <t>ROBERTSFORS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46225</v>
      </c>
      <c r="F502" t="inlineStr">
        <is>
          <t>VÄSTERBOTTENS LÄN</t>
        </is>
      </c>
      <c r="G502" t="inlineStr">
        <is>
          <t>ROBERTSFORS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30643-2024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45495</v>
      </c>
      <c r="E503" s="1" t="n">
        <v>46225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46225</v>
      </c>
      <c r="F504" t="inlineStr">
        <is>
          <t>VÄSTERBOTTENS LÄN</t>
        </is>
      </c>
      <c r="G504" t="inlineStr">
        <is>
          <t>ROBERTSFORS</t>
        </is>
      </c>
      <c r="I504" t="n">
        <v>10.1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45792</v>
      </c>
      <c r="E505" s="1" t="n">
        <v>46225</v>
      </c>
      <c r="F505" t="inlineStr">
        <is>
          <t>VÄSTERBOTTENS LÄN</t>
        </is>
      </c>
      <c r="G505" t="inlineStr">
        <is>
          <t>ROBERTSFORS</t>
        </is>
      </c>
      <c r="I505" t="n">
        <v>11.3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45792</v>
      </c>
      <c r="E506" s="1" t="n">
        <v>46225</v>
      </c>
      <c r="F506" t="inlineStr">
        <is>
          <t>VÄSTERBOTTENS LÄN</t>
        </is>
      </c>
      <c r="G506" t="inlineStr">
        <is>
          <t>ROBERTSFORS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44372-2023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45188</v>
      </c>
      <c r="E507" s="1" t="n">
        <v>46225</v>
      </c>
      <c r="F507" t="inlineStr">
        <is>
          <t>VÄSTERBOTTENS LÄN</t>
        </is>
      </c>
      <c r="G507" t="inlineStr">
        <is>
          <t>ROBERTSFORS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23961-2025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45794</v>
      </c>
      <c r="E508" s="1" t="n">
        <v>46225</v>
      </c>
      <c r="F508" t="inlineStr">
        <is>
          <t>VÄSTERBOTTENS LÄN</t>
        </is>
      </c>
      <c r="G508" t="inlineStr">
        <is>
          <t>ROBERTSFORS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46225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2849-2022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44707</v>
      </c>
      <c r="E510" s="1" t="n">
        <v>46225</v>
      </c>
      <c r="F510" t="inlineStr">
        <is>
          <t>VÄSTERBOTTENS LÄN</t>
        </is>
      </c>
      <c r="G510" t="inlineStr">
        <is>
          <t>ROBERTSFORS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8592-2021</t>
        </is>
      </c>
      <c r="B511" t="inlineStr">
        <is>
          <t>samrådsanmälan</t>
        </is>
      </c>
      <c r="C511" t="inlineStr">
        <is>
          <t>Skogsbilväg</t>
        </is>
      </c>
      <c r="D511" s="1" t="n">
        <v>44501</v>
      </c>
      <c r="E511" s="1" t="n">
        <v>46225</v>
      </c>
      <c r="F511" t="inlineStr">
        <is>
          <t>VÄSTERBOTTENS LÄN</t>
        </is>
      </c>
      <c r="G511" t="inlineStr">
        <is>
          <t>ROBERTSFORS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1034-2025</t>
        </is>
      </c>
      <c r="B512" t="inlineStr">
        <is>
          <t>samrådsanmälan</t>
        </is>
      </c>
      <c r="C512" t="inlineStr">
        <is>
          <t>Skogsgödsling</t>
        </is>
      </c>
      <c r="D512" s="1" t="n">
        <v>45747</v>
      </c>
      <c r="E512" s="1" t="n">
        <v>46225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Sveaskog</t>
        </is>
      </c>
      <c r="I512" t="n">
        <v>14.9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1249-2025</t>
        </is>
      </c>
      <c r="B513" t="inlineStr">
        <is>
          <t>samrådsanmälan</t>
        </is>
      </c>
      <c r="C513" t="inlineStr">
        <is>
          <t>Askåterföring</t>
        </is>
      </c>
      <c r="D513" s="1" t="n">
        <v>45762</v>
      </c>
      <c r="E513" s="1" t="n">
        <v>46225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175.8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702-2026</t>
        </is>
      </c>
      <c r="B514" t="inlineStr">
        <is>
          <t>samrådsanmälan</t>
        </is>
      </c>
      <c r="C514" t="inlineStr">
        <is>
          <t>Skogsgödsling</t>
        </is>
      </c>
      <c r="D514" s="1" t="n">
        <v>46092</v>
      </c>
      <c r="E514" s="1" t="n">
        <v>46225</v>
      </c>
      <c r="F514" t="inlineStr">
        <is>
          <t>VÄSTERBOTTENS LÄN</t>
        </is>
      </c>
      <c r="G514" t="inlineStr">
        <is>
          <t>ROBERTSFORS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1273-2026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46147</v>
      </c>
      <c r="E515" s="1" t="n">
        <v>46225</v>
      </c>
      <c r="F515" t="inlineStr">
        <is>
          <t>VÄSTERBOTTENS LÄN</t>
        </is>
      </c>
      <c r="G515" t="inlineStr">
        <is>
          <t>ROBERTSFORS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1322-2026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46149</v>
      </c>
      <c r="E516" s="1" t="n">
        <v>46225</v>
      </c>
      <c r="F516" t="inlineStr">
        <is>
          <t>VÄSTERBOTTENS LÄN</t>
        </is>
      </c>
      <c r="G516" t="inlineStr">
        <is>
          <t>ROBERTSFORS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1416-2026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46155</v>
      </c>
      <c r="E517" s="1" t="n">
        <v>46225</v>
      </c>
      <c r="F517" t="inlineStr">
        <is>
          <t>VÄSTERBOTTENS LÄN</t>
        </is>
      </c>
      <c r="G517" t="inlineStr">
        <is>
          <t>ROBERTSFORS</t>
        </is>
      </c>
      <c r="I517" t="n">
        <v>32.7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2026-07-22T01:35:22Z</dcterms:created>
  <dcterms:modified xmlns:dcterms="http://purl.org/dc/terms/" xmlns:xsi="http://www.w3.org/2001/XMLSchema-instance" xsi:type="dcterms:W3CDTF">2026-07-22T01:35:23Z</dcterms:modified>
</cp:coreProperties>
</file>