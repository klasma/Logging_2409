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46236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46236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46236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46236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46236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46236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20377-2026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46139</v>
      </c>
      <c r="E14" s="1" t="n">
        <v>46236</v>
      </c>
      <c r="F14" t="inlineStr">
        <is>
          <t>VÄSTERBOTTENS LÄN</t>
        </is>
      </c>
      <c r="G14" t="inlineStr">
        <is>
          <t>ROBERTSFORS</t>
        </is>
      </c>
      <c r="I14" t="n">
        <v>2.1</v>
      </c>
      <c r="J14" t="n">
        <v>3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Tretåig hackspett
Nästlav
Tjäder</t>
        </is>
      </c>
      <c r="W14">
        <f>HYPERLINK("https://klasma.github.io/Logging_2409/artfynd/A 20377-2026 artfynd.xlsx", "A 20377-2026")</f>
        <v/>
      </c>
      <c r="X14">
        <f>HYPERLINK("https://klasma.github.io/Logging_2409/kartor/A 20377-2026 karta.png", "A 20377-2026")</f>
        <v/>
      </c>
      <c r="Y14">
        <f>HYPERLINK("https://klasma.github.io/Logging_2409/kartor_geotiff/A 20377-2026 georefererad karta.tif", "A 20377-2026")</f>
        <v/>
      </c>
      <c r="Z14">
        <f>HYPERLINK("https://klasma.github.io/Logging_2409/knärot/A 20377-2026 karta knärot.png", "A 20377-2026")</f>
        <v/>
      </c>
      <c r="AA14">
        <f>HYPERLINK("https://klasma.github.io/Logging_2409/klagomål/A 20377-2026 FSC-klagomål.docx", "A 20377-2026")</f>
        <v/>
      </c>
      <c r="AB14">
        <f>HYPERLINK("https://klasma.github.io/Logging_2409/klagomålsmail/A 20377-2026 FSC-klagomål mail.docx", "A 20377-2026")</f>
        <v/>
      </c>
      <c r="AC14">
        <f>HYPERLINK("https://klasma.github.io/Logging_2409/tillsyn/A 20377-2026 tillsynsbegäran.docx", "A 20377-2026")</f>
        <v/>
      </c>
      <c r="AD14">
        <f>HYPERLINK("https://klasma.github.io/Logging_2409/tillsynsmail/A 20377-2026 tillsynsbegäran mail.docx", "A 20377-2026")</f>
        <v/>
      </c>
      <c r="AE14">
        <f>HYPERLINK("https://klasma.github.io/Logging_2409/fåglar/A 20377-2026 prioriterade fågelarter.docx", "A 20377-2026")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46236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46236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46236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46236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46236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46236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46236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46236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46236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46236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46236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46236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46236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46236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46236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46236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42891-2023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46236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3.8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42891-2023 artfynd.xlsx", "A 42891-2023")</f>
        <v/>
      </c>
      <c r="X44">
        <f>HYPERLINK("https://klasma.github.io/Logging_2409/kartor/A 42891-2023 karta.png", "A 42891-2023")</f>
        <v/>
      </c>
      <c r="Y44">
        <f>HYPERLINK("https://klasma.github.io/Logging_2409/kartor_geotiff/A 42891-2023 georefererad karta.tif", "A 42891-2023")</f>
        <v/>
      </c>
      <c r="AA44">
        <f>HYPERLINK("https://klasma.github.io/Logging_2409/klagomål/A 42891-2023 FSC-klagomål.docx", "A 42891-2023")</f>
        <v/>
      </c>
      <c r="AB44">
        <f>HYPERLINK("https://klasma.github.io/Logging_2409/klagomålsmail/A 42891-2023 FSC-klagomål mail.docx", "A 42891-2023")</f>
        <v/>
      </c>
      <c r="AC44">
        <f>HYPERLINK("https://klasma.github.io/Logging_2409/tillsyn/A 42891-2023 tillsynsbegäran.docx", "A 42891-2023")</f>
        <v/>
      </c>
      <c r="AD44">
        <f>HYPERLINK("https://klasma.github.io/Logging_2409/tillsynsmail/A 42891-2023 tillsynsbegäran mail.docx", "A 42891-2023")</f>
        <v/>
      </c>
    </row>
    <row r="45" ht="15" customHeight="1">
      <c r="A45" t="inlineStr">
        <is>
          <t>A 35551-2025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46236</v>
      </c>
      <c r="F45" t="inlineStr">
        <is>
          <t>VÄSTERBOTTENS LÄN</t>
        </is>
      </c>
      <c r="G45" t="inlineStr">
        <is>
          <t>ROBERTSFORS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HYPERLINK("https://klasma.github.io/Logging_2409/artfynd/A 35551-2025 artfynd.xlsx", "A 35551-2025")</f>
        <v/>
      </c>
      <c r="X45">
        <f>HYPERLINK("https://klasma.github.io/Logging_2409/kartor/A 35551-2025 karta.png", "A 35551-2025")</f>
        <v/>
      </c>
      <c r="Y45">
        <f>HYPERLINK("https://klasma.github.io/Logging_2409/kartor_geotiff/A 35551-2025 georefererad karta.tif", "A 35551-2025")</f>
        <v/>
      </c>
      <c r="AA45">
        <f>HYPERLINK("https://klasma.github.io/Logging_2409/klagomål/A 35551-2025 FSC-klagomål.docx", "A 35551-2025")</f>
        <v/>
      </c>
      <c r="AB45">
        <f>HYPERLINK("https://klasma.github.io/Logging_2409/klagomålsmail/A 35551-2025 FSC-klagomål mail.docx", "A 35551-2025")</f>
        <v/>
      </c>
      <c r="AC45">
        <f>HYPERLINK("https://klasma.github.io/Logging_2409/tillsyn/A 35551-2025 tillsynsbegäran.docx", "A 35551-2025")</f>
        <v/>
      </c>
      <c r="AD45">
        <f>HYPERLINK("https://klasma.github.io/Logging_2409/tillsynsmail/A 35551-2025 tillsynsbegäran mail.docx", "A 35551-2025")</f>
        <v/>
      </c>
      <c r="AE45">
        <f>HYPERLINK("https://klasma.github.io/Logging_2409/fåglar/A 35551-2025 prioriterade fågelarter.docx", "A 35551-2025")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46236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10145-2025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46236</v>
      </c>
      <c r="F47" t="inlineStr">
        <is>
          <t>VÄSTERBOTTENS LÄN</t>
        </is>
      </c>
      <c r="G47" t="inlineStr">
        <is>
          <t>ROBERTSFORS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HYPERLINK("https://klasma.github.io/Logging_2409/artfynd/A 10145-2025 artfynd.xlsx", "A 10145-2025")</f>
        <v/>
      </c>
      <c r="X47">
        <f>HYPERLINK("https://klasma.github.io/Logging_2409/kartor/A 10145-2025 karta.png", "A 10145-2025")</f>
        <v/>
      </c>
      <c r="Y47">
        <f>HYPERLINK("https://klasma.github.io/Logging_2409/kartor_geotiff/A 10145-2025 georefererad karta.tif", "A 10145-2025")</f>
        <v/>
      </c>
      <c r="AA47">
        <f>HYPERLINK("https://klasma.github.io/Logging_2409/klagomål/A 10145-2025 FSC-klagomål.docx", "A 10145-2025")</f>
        <v/>
      </c>
      <c r="AB47">
        <f>HYPERLINK("https://klasma.github.io/Logging_2409/klagomålsmail/A 10145-2025 FSC-klagomål mail.docx", "A 10145-2025")</f>
        <v/>
      </c>
      <c r="AC47">
        <f>HYPERLINK("https://klasma.github.io/Logging_2409/tillsyn/A 10145-2025 tillsynsbegäran.docx", "A 10145-2025")</f>
        <v/>
      </c>
      <c r="AD47">
        <f>HYPERLINK("https://klasma.github.io/Logging_2409/tillsynsmail/A 10145-2025 tillsynsbegäran mail.docx", "A 10145-2025")</f>
        <v/>
      </c>
    </row>
    <row r="48" ht="15" customHeight="1">
      <c r="A48" t="inlineStr">
        <is>
          <t>A 57270-2023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46236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57270-2023 artfynd.xlsx", "A 57270-2023")</f>
        <v/>
      </c>
      <c r="X48">
        <f>HYPERLINK("https://klasma.github.io/Logging_2409/kartor/A 57270-2023 karta.png", "A 57270-2023")</f>
        <v/>
      </c>
      <c r="Y48">
        <f>HYPERLINK("https://klasma.github.io/Logging_2409/kartor_geotiff/A 57270-2023 georefererad karta.tif", "A 57270-2023")</f>
        <v/>
      </c>
      <c r="AA48">
        <f>HYPERLINK("https://klasma.github.io/Logging_2409/klagomål/A 57270-2023 FSC-klagomål.docx", "A 57270-2023")</f>
        <v/>
      </c>
      <c r="AB48">
        <f>HYPERLINK("https://klasma.github.io/Logging_2409/klagomålsmail/A 57270-2023 FSC-klagomål mail.docx", "A 57270-2023")</f>
        <v/>
      </c>
      <c r="AC48">
        <f>HYPERLINK("https://klasma.github.io/Logging_2409/tillsyn/A 57270-2023 tillsynsbegäran.docx", "A 57270-2023")</f>
        <v/>
      </c>
      <c r="AD48">
        <f>HYPERLINK("https://klasma.github.io/Logging_2409/tillsynsmail/A 57270-2023 tillsynsbegäran mail.docx", "A 57270-2023")</f>
        <v/>
      </c>
    </row>
    <row r="49" ht="15" customHeight="1">
      <c r="A49" t="inlineStr">
        <is>
          <t>A 28224-2026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46236</v>
      </c>
      <c r="F49" t="inlineStr">
        <is>
          <t>VÄSTERBOTTENS LÄN</t>
        </is>
      </c>
      <c r="G49" t="inlineStr">
        <is>
          <t>ROBERTSFORS</t>
        </is>
      </c>
      <c r="I49" t="n">
        <v>9.800000000000001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6</v>
      </c>
      <c r="U49" t="n">
        <v>0</v>
      </c>
      <c r="V49" s="2" t="inlineStr">
        <is>
          <t>Garnlav</t>
        </is>
      </c>
      <c r="W49">
        <f>HYPERLINK("https://klasma.github.io/Logging_2409/artfynd/A 28224-2026 artfynd.xlsx", "A 28224-2026")</f>
        <v/>
      </c>
      <c r="X49">
        <f>HYPERLINK("https://klasma.github.io/Logging_2409/kartor/A 28224-2026 karta.png", "A 28224-2026")</f>
        <v/>
      </c>
      <c r="Y49">
        <f>HYPERLINK("https://klasma.github.io/Logging_2409/kartor_geotiff/A 28224-2026 georefererad karta.tif", "A 28224-2026")</f>
        <v/>
      </c>
      <c r="AA49">
        <f>HYPERLINK("https://klasma.github.io/Logging_2409/klagomål/A 28224-2026 FSC-klagomål.docx", "A 28224-2026")</f>
        <v/>
      </c>
      <c r="AB49">
        <f>HYPERLINK("https://klasma.github.io/Logging_2409/klagomålsmail/A 28224-2026 FSC-klagomål mail.docx", "A 28224-2026")</f>
        <v/>
      </c>
      <c r="AC49">
        <f>HYPERLINK("https://klasma.github.io/Logging_2409/tillsyn/A 28224-2026 tillsynsbegäran.docx", "A 28224-2026")</f>
        <v/>
      </c>
      <c r="AD49">
        <f>HYPERLINK("https://klasma.github.io/Logging_2409/tillsynsmail/A 28224-2026 tillsynsbegäran mail.docx", "A 28224-2026")</f>
        <v/>
      </c>
    </row>
    <row r="50" ht="15" customHeight="1">
      <c r="A50" t="inlineStr">
        <is>
          <t>A 28750-2026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46236</v>
      </c>
      <c r="F50" t="inlineStr">
        <is>
          <t>VÄSTERBOTTENS LÄN</t>
        </is>
      </c>
      <c r="G50" t="inlineStr">
        <is>
          <t>ROBERTSFORS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28750-2026 artfynd.xlsx", "A 28750-2026")</f>
        <v/>
      </c>
      <c r="X50">
        <f>HYPERLINK("https://klasma.github.io/Logging_2409/kartor/A 28750-2026 karta.png", "A 28750-2026")</f>
        <v/>
      </c>
      <c r="Y50">
        <f>HYPERLINK("https://klasma.github.io/Logging_2409/kartor_geotiff/A 28750-2026 georefererad karta.tif", "A 28750-2026")</f>
        <v/>
      </c>
      <c r="AA50">
        <f>HYPERLINK("https://klasma.github.io/Logging_2409/klagomål/A 28750-2026 FSC-klagomål.docx", "A 28750-2026")</f>
        <v/>
      </c>
      <c r="AB50">
        <f>HYPERLINK("https://klasma.github.io/Logging_2409/klagomålsmail/A 28750-2026 FSC-klagomål mail.docx", "A 28750-2026")</f>
        <v/>
      </c>
      <c r="AC50">
        <f>HYPERLINK("https://klasma.github.io/Logging_2409/tillsyn/A 28750-2026 tillsynsbegäran.docx", "A 28750-2026")</f>
        <v/>
      </c>
      <c r="AD50">
        <f>HYPERLINK("https://klasma.github.io/Logging_2409/tillsynsmail/A 28750-2026 tillsynsbegäran mail.docx", "A 28750-2026")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46236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46236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29583-2026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46236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SCA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Björksplintborre</t>
        </is>
      </c>
      <c r="W53">
        <f>HYPERLINK("https://klasma.github.io/Logging_2409/artfynd/A 29583-2026 artfynd.xlsx", "A 29583-2026")</f>
        <v/>
      </c>
      <c r="X53">
        <f>HYPERLINK("https://klasma.github.io/Logging_2409/kartor/A 29583-2026 karta.png", "A 29583-2026")</f>
        <v/>
      </c>
      <c r="Y53">
        <f>HYPERLINK("https://klasma.github.io/Logging_2409/kartor_geotiff/A 29583-2026 georefererad karta.tif", "A 29583-2026")</f>
        <v/>
      </c>
      <c r="AA53">
        <f>HYPERLINK("https://klasma.github.io/Logging_2409/klagomål/A 29583-2026 FSC-klagomål.docx", "A 29583-2026")</f>
        <v/>
      </c>
      <c r="AB53">
        <f>HYPERLINK("https://klasma.github.io/Logging_2409/klagomålsmail/A 29583-2026 FSC-klagomål mail.docx", "A 29583-2026")</f>
        <v/>
      </c>
      <c r="AC53">
        <f>HYPERLINK("https://klasma.github.io/Logging_2409/tillsyn/A 29583-2026 tillsynsbegäran.docx", "A 29583-2026")</f>
        <v/>
      </c>
      <c r="AD53">
        <f>HYPERLINK("https://klasma.github.io/Logging_2409/tillsynsmail/A 29583-2026 tillsynsbegäran mail.docx", "A 29583-2026")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46236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46236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40600-2022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46236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HYPERLINK("https://klasma.github.io/Logging_2409/artfynd/A 40600-2022 artfynd.xlsx", "A 40600-2022")</f>
        <v/>
      </c>
      <c r="X56">
        <f>HYPERLINK("https://klasma.github.io/Logging_2409/kartor/A 40600-2022 karta.png", "A 40600-2022")</f>
        <v/>
      </c>
      <c r="Y56">
        <f>HYPERLINK("https://klasma.github.io/Logging_2409/kartor_geotiff/A 40600-2022 georefererad karta.tif", "A 40600-2022")</f>
        <v/>
      </c>
      <c r="AA56">
        <f>HYPERLINK("https://klasma.github.io/Logging_2409/klagomål/A 40600-2022 FSC-klagomål.docx", "A 40600-2022")</f>
        <v/>
      </c>
      <c r="AB56">
        <f>HYPERLINK("https://klasma.github.io/Logging_2409/klagomålsmail/A 40600-2022 FSC-klagomål mail.docx", "A 40600-2022")</f>
        <v/>
      </c>
      <c r="AC56">
        <f>HYPERLINK("https://klasma.github.io/Logging_2409/tillsyn/A 40600-2022 tillsynsbegäran.docx", "A 40600-2022")</f>
        <v/>
      </c>
      <c r="AD56">
        <f>HYPERLINK("https://klasma.github.io/Logging_2409/tillsynsmail/A 40600-2022 tillsynsbegäran mail.docx", "A 40600-2022")</f>
        <v/>
      </c>
      <c r="AE56">
        <f>HYPERLINK("https://klasma.github.io/Logging_2409/fåglar/A 40600-2022 prioriterade fågelarter.docx", "A 40600-2022")</f>
        <v/>
      </c>
    </row>
    <row r="57" ht="15" customHeight="1">
      <c r="A57" t="inlineStr">
        <is>
          <t>A 54484-2023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45233</v>
      </c>
      <c r="E57" s="1" t="n">
        <v>46236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Dropptaggsvamp</t>
        </is>
      </c>
      <c r="W57">
        <f>HYPERLINK("https://klasma.github.io/Logging_2409/artfynd/A 54484-2023 artfynd.xlsx", "A 54484-2023")</f>
        <v/>
      </c>
      <c r="X57">
        <f>HYPERLINK("https://klasma.github.io/Logging_2409/kartor/A 54484-2023 karta.png", "A 54484-2023")</f>
        <v/>
      </c>
      <c r="Y57">
        <f>HYPERLINK("https://klasma.github.io/Logging_2409/kartor_geotiff/A 54484-2023 georefererad karta.tif", "A 54484-2023")</f>
        <v/>
      </c>
      <c r="AA57">
        <f>HYPERLINK("https://klasma.github.io/Logging_2409/klagomål/A 54484-2023 FSC-klagomål.docx", "A 54484-2023")</f>
        <v/>
      </c>
      <c r="AB57">
        <f>HYPERLINK("https://klasma.github.io/Logging_2409/klagomålsmail/A 54484-2023 FSC-klagomål mail.docx", "A 54484-2023")</f>
        <v/>
      </c>
      <c r="AC57">
        <f>HYPERLINK("https://klasma.github.io/Logging_2409/tillsyn/A 54484-2023 tillsynsbegäran.docx", "A 54484-2023")</f>
        <v/>
      </c>
      <c r="AD57">
        <f>HYPERLINK("https://klasma.github.io/Logging_2409/tillsynsmail/A 54484-2023 tillsynsbegäran mail.docx", "A 54484-2023")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46236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46236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46236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5285-2026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46236</v>
      </c>
      <c r="F61" t="inlineStr">
        <is>
          <t>VÄSTERBOTTENS LÄN</t>
        </is>
      </c>
      <c r="G61" t="inlineStr">
        <is>
          <t>ROBERTSFORS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HYPERLINK("https://klasma.github.io/Logging_2409/artfynd/A 5285-2026 artfynd.xlsx", "A 5285-2026")</f>
        <v/>
      </c>
      <c r="X61">
        <f>HYPERLINK("https://klasma.github.io/Logging_2409/kartor/A 5285-2026 karta.png", "A 5285-2026")</f>
        <v/>
      </c>
      <c r="Y61">
        <f>HYPERLINK("https://klasma.github.io/Logging_2409/kartor_geotiff/A 5285-2026 georefererad karta.tif", "A 5285-2026")</f>
        <v/>
      </c>
      <c r="AA61">
        <f>HYPERLINK("https://klasma.github.io/Logging_2409/klagomål/A 5285-2026 FSC-klagomål.docx", "A 5285-2026")</f>
        <v/>
      </c>
      <c r="AB61">
        <f>HYPERLINK("https://klasma.github.io/Logging_2409/klagomålsmail/A 5285-2026 FSC-klagomål mail.docx", "A 5285-2026")</f>
        <v/>
      </c>
      <c r="AC61">
        <f>HYPERLINK("https://klasma.github.io/Logging_2409/tillsyn/A 5285-2026 tillsynsbegäran.docx", "A 5285-2026")</f>
        <v/>
      </c>
      <c r="AD61">
        <f>HYPERLINK("https://klasma.github.io/Logging_2409/tillsynsmail/A 5285-2026 tillsynsbegäran mail.docx", "A 5285-2026")</f>
        <v/>
      </c>
      <c r="AE61">
        <f>HYPERLINK("https://klasma.github.io/Logging_2409/fåglar/A 5285-2026 prioriterade fågelarter.docx", "A 5285-2026")</f>
        <v/>
      </c>
    </row>
    <row r="62" ht="15" customHeight="1">
      <c r="A62" t="inlineStr">
        <is>
          <t>A 5284-2026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46236</v>
      </c>
      <c r="F62" t="inlineStr">
        <is>
          <t>VÄSTERBOTTENS LÄN</t>
        </is>
      </c>
      <c r="G62" t="inlineStr">
        <is>
          <t>ROBERTSFORS</t>
        </is>
      </c>
      <c r="I62" t="n">
        <v>3.1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HYPERLINK("https://klasma.github.io/Logging_2409/artfynd/A 5284-2026 artfynd.xlsx", "A 5284-2026")</f>
        <v/>
      </c>
      <c r="X62">
        <f>HYPERLINK("https://klasma.github.io/Logging_2409/kartor/A 5284-2026 karta.png", "A 5284-2026")</f>
        <v/>
      </c>
      <c r="Y62">
        <f>HYPERLINK("https://klasma.github.io/Logging_2409/kartor_geotiff/A 5284-2026 georefererad karta.tif", "A 5284-2026")</f>
        <v/>
      </c>
      <c r="AA62">
        <f>HYPERLINK("https://klasma.github.io/Logging_2409/klagomål/A 5284-2026 FSC-klagomål.docx", "A 5284-2026")</f>
        <v/>
      </c>
      <c r="AB62">
        <f>HYPERLINK("https://klasma.github.io/Logging_2409/klagomålsmail/A 5284-2026 FSC-klagomål mail.docx", "A 5284-2026")</f>
        <v/>
      </c>
      <c r="AC62">
        <f>HYPERLINK("https://klasma.github.io/Logging_2409/tillsyn/A 5284-2026 tillsynsbegäran.docx", "A 5284-2026")</f>
        <v/>
      </c>
      <c r="AD62">
        <f>HYPERLINK("https://klasma.github.io/Logging_2409/tillsynsmail/A 5284-2026 tillsynsbegäran mail.docx", "A 5284-2026")</f>
        <v/>
      </c>
      <c r="AE62">
        <f>HYPERLINK("https://klasma.github.io/Logging_2409/fåglar/A 5284-2026 prioriterade fågelarter.docx", "A 5284-2026")</f>
        <v/>
      </c>
    </row>
    <row r="63" ht="15" customHeight="1">
      <c r="A63" t="inlineStr">
        <is>
          <t>A 5289-2026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46050</v>
      </c>
      <c r="E63" s="1" t="n">
        <v>46236</v>
      </c>
      <c r="F63" t="inlineStr">
        <is>
          <t>VÄSTERBOTTENS LÄN</t>
        </is>
      </c>
      <c r="G63" t="inlineStr">
        <is>
          <t>ROBERTSFORS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Björktrast</t>
        </is>
      </c>
      <c r="W63">
        <f>HYPERLINK("https://klasma.github.io/Logging_2409/artfynd/A 5289-2026 artfynd.xlsx", "A 5289-2026")</f>
        <v/>
      </c>
      <c r="X63">
        <f>HYPERLINK("https://klasma.github.io/Logging_2409/kartor/A 5289-2026 karta.png", "A 5289-2026")</f>
        <v/>
      </c>
      <c r="Y63">
        <f>HYPERLINK("https://klasma.github.io/Logging_2409/kartor_geotiff/A 5289-2026 georefererad karta.tif", "A 5289-2026")</f>
        <v/>
      </c>
      <c r="AA63">
        <f>HYPERLINK("https://klasma.github.io/Logging_2409/klagomål/A 5289-2026 FSC-klagomål.docx", "A 5289-2026")</f>
        <v/>
      </c>
      <c r="AB63">
        <f>HYPERLINK("https://klasma.github.io/Logging_2409/klagomålsmail/A 5289-2026 FSC-klagomål mail.docx", "A 5289-2026")</f>
        <v/>
      </c>
      <c r="AC63">
        <f>HYPERLINK("https://klasma.github.io/Logging_2409/tillsyn/A 5289-2026 tillsynsbegäran.docx", "A 5289-2026")</f>
        <v/>
      </c>
      <c r="AD63">
        <f>HYPERLINK("https://klasma.github.io/Logging_2409/tillsynsmail/A 5289-2026 tillsynsbegäran mail.docx", "A 5289-2026")</f>
        <v/>
      </c>
      <c r="AE63">
        <f>HYPERLINK("https://klasma.github.io/Logging_2409/fåglar/A 5289-2026 prioriterade fågelarter.docx", "A 5289-2026")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46236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57284-2023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45245</v>
      </c>
      <c r="E65" s="1" t="n">
        <v>46236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6.8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HYPERLINK("https://klasma.github.io/Logging_2409/artfynd/A 57284-2023 artfynd.xlsx", "A 57284-2023")</f>
        <v/>
      </c>
      <c r="X65">
        <f>HYPERLINK("https://klasma.github.io/Logging_2409/kartor/A 57284-2023 karta.png", "A 57284-2023")</f>
        <v/>
      </c>
      <c r="Y65">
        <f>HYPERLINK("https://klasma.github.io/Logging_2409/kartor_geotiff/A 57284-2023 georefererad karta.tif", "A 57284-2023")</f>
        <v/>
      </c>
      <c r="AA65">
        <f>HYPERLINK("https://klasma.github.io/Logging_2409/klagomål/A 57284-2023 FSC-klagomål.docx", "A 57284-2023")</f>
        <v/>
      </c>
      <c r="AB65">
        <f>HYPERLINK("https://klasma.github.io/Logging_2409/klagomålsmail/A 57284-2023 FSC-klagomål mail.docx", "A 57284-2023")</f>
        <v/>
      </c>
      <c r="AC65">
        <f>HYPERLINK("https://klasma.github.io/Logging_2409/tillsyn/A 57284-2023 tillsynsbegäran.docx", "A 57284-2023")</f>
        <v/>
      </c>
      <c r="AD65">
        <f>HYPERLINK("https://klasma.github.io/Logging_2409/tillsynsmail/A 57284-2023 tillsynsbegäran mail.docx", "A 57284-2023")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46236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46236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46236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46236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46236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46236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46236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46236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46236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46236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46236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46236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46236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46236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46236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46236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46236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46236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46236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46236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46236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46236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46236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46236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46236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46236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46236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46236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46236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46236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46236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46236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46236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46236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46236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46236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46236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46236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46236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46236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46236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46236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44580</v>
      </c>
      <c r="E112" s="1" t="n">
        <v>46236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46236</v>
      </c>
      <c r="F113" t="inlineStr">
        <is>
          <t>VÄSTERBOTTENS LÄN</t>
        </is>
      </c>
      <c r="G113" t="inlineStr">
        <is>
          <t>ROBERTSFORS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46236</v>
      </c>
      <c r="F114" t="inlineStr">
        <is>
          <t>VÄSTERBOTTENS LÄN</t>
        </is>
      </c>
      <c r="G114" t="inlineStr">
        <is>
          <t>ROBERTSFORS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46236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46236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46236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44841</v>
      </c>
      <c r="E118" s="1" t="n">
        <v>46236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46236</v>
      </c>
      <c r="F119" t="inlineStr">
        <is>
          <t>VÄSTERBOTTENS LÄN</t>
        </is>
      </c>
      <c r="G119" t="inlineStr">
        <is>
          <t>ROBERTSFORS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45458</v>
      </c>
      <c r="E120" s="1" t="n">
        <v>46236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65772-2021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46236</v>
      </c>
      <c r="F121" t="inlineStr">
        <is>
          <t>VÄSTERBOTTENS LÄN</t>
        </is>
      </c>
      <c r="G121" t="inlineStr">
        <is>
          <t>ROBERTSFORS</t>
        </is>
      </c>
      <c r="I121" t="n">
        <v>18.2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46236</v>
      </c>
      <c r="F122" t="inlineStr">
        <is>
          <t>VÄSTERBOTTENS LÄN</t>
        </is>
      </c>
      <c r="G122" t="inlineStr">
        <is>
          <t>ROBERTSFORS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46236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SCA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46236</v>
      </c>
      <c r="F124" t="inlineStr">
        <is>
          <t>VÄSTERBOTTENS LÄN</t>
        </is>
      </c>
      <c r="G124" t="inlineStr">
        <is>
          <t>ROBERTSFORS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46236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44824</v>
      </c>
      <c r="E126" s="1" t="n">
        <v>46236</v>
      </c>
      <c r="F126" t="inlineStr">
        <is>
          <t>VÄSTERBOTTENS LÄN</t>
        </is>
      </c>
      <c r="G126" t="inlineStr">
        <is>
          <t>ROBERTSFORS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46236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46236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46236</v>
      </c>
      <c r="F129" t="inlineStr">
        <is>
          <t>VÄSTERBOTTENS LÄN</t>
        </is>
      </c>
      <c r="G129" t="inlineStr">
        <is>
          <t>ROBERTSFORS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55484-2021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46236</v>
      </c>
      <c r="F130" t="inlineStr">
        <is>
          <t>VÄSTERBOTTENS LÄN</t>
        </is>
      </c>
      <c r="G130" t="inlineStr">
        <is>
          <t>ROBERTSFORS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46236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46236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46236</v>
      </c>
      <c r="F133" t="inlineStr">
        <is>
          <t>VÄSTERBOTTENS LÄN</t>
        </is>
      </c>
      <c r="G133" t="inlineStr">
        <is>
          <t>ROBERTSFORS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46236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46236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45496</v>
      </c>
      <c r="E136" s="1" t="n">
        <v>46236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46236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46236</v>
      </c>
      <c r="F138" t="inlineStr">
        <is>
          <t>VÄSTERBOTTENS LÄN</t>
        </is>
      </c>
      <c r="G138" t="inlineStr">
        <is>
          <t>ROBERTSFORS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46236</v>
      </c>
      <c r="F139" t="inlineStr">
        <is>
          <t>VÄSTERBOTTENS LÄN</t>
        </is>
      </c>
      <c r="G139" t="inlineStr">
        <is>
          <t>ROBERTSFORS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46236</v>
      </c>
      <c r="F140" t="inlineStr">
        <is>
          <t>VÄSTERBOTTENS LÄN</t>
        </is>
      </c>
      <c r="G140" t="inlineStr">
        <is>
          <t>ROBERTSFORS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46236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46236</v>
      </c>
      <c r="F142" t="inlineStr">
        <is>
          <t>VÄSTERBOTTENS LÄN</t>
        </is>
      </c>
      <c r="G142" t="inlineStr">
        <is>
          <t>ROBERTSFORS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44919</v>
      </c>
      <c r="E143" s="1" t="n">
        <v>46236</v>
      </c>
      <c r="F143" t="inlineStr">
        <is>
          <t>VÄSTERBOTTENS LÄN</t>
        </is>
      </c>
      <c r="G143" t="inlineStr">
        <is>
          <t>ROBERTSFORS</t>
        </is>
      </c>
      <c r="I143" t="n">
        <v>64.7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46236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46236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46236</v>
      </c>
      <c r="F146" t="inlineStr">
        <is>
          <t>VÄSTERBOTTENS LÄN</t>
        </is>
      </c>
      <c r="G146" t="inlineStr">
        <is>
          <t>ROBERTSFORS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44913</v>
      </c>
      <c r="E147" s="1" t="n">
        <v>46236</v>
      </c>
      <c r="F147" t="inlineStr">
        <is>
          <t>VÄSTERBOTTENS LÄN</t>
        </is>
      </c>
      <c r="G147" t="inlineStr">
        <is>
          <t>ROBERTSFORS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46236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46236</v>
      </c>
      <c r="F149" t="inlineStr">
        <is>
          <t>VÄSTERBOTTENS LÄN</t>
        </is>
      </c>
      <c r="G149" t="inlineStr">
        <is>
          <t>ROBERTSFORS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46236</v>
      </c>
      <c r="F150" t="inlineStr">
        <is>
          <t>VÄSTERBOTTENS LÄN</t>
        </is>
      </c>
      <c r="G150" t="inlineStr">
        <is>
          <t>ROBERTSFORS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46236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44502</v>
      </c>
      <c r="E152" s="1" t="n">
        <v>46236</v>
      </c>
      <c r="F152" t="inlineStr">
        <is>
          <t>VÄSTERBOTTENS LÄN</t>
        </is>
      </c>
      <c r="G152" t="inlineStr">
        <is>
          <t>ROBERTSFORS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46236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46236</v>
      </c>
      <c r="F154" t="inlineStr">
        <is>
          <t>VÄSTERBOTTENS LÄN</t>
        </is>
      </c>
      <c r="G154" t="inlineStr">
        <is>
          <t>ROBERTSFORS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46236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44901</v>
      </c>
      <c r="E156" s="1" t="n">
        <v>46236</v>
      </c>
      <c r="F156" t="inlineStr">
        <is>
          <t>VÄSTERBOTTENS LÄN</t>
        </is>
      </c>
      <c r="G156" t="inlineStr">
        <is>
          <t>ROBERTSFORS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9135-2024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45357</v>
      </c>
      <c r="E157" s="1" t="n">
        <v>46236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46236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54366-2024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46236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44945</v>
      </c>
      <c r="E160" s="1" t="n">
        <v>46236</v>
      </c>
      <c r="F160" t="inlineStr">
        <is>
          <t>VÄSTERBOTTENS LÄN</t>
        </is>
      </c>
      <c r="G160" t="inlineStr">
        <is>
          <t>ROBERTSFORS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45526</v>
      </c>
      <c r="E161" s="1" t="n">
        <v>46236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45461</v>
      </c>
      <c r="E162" s="1" t="n">
        <v>46236</v>
      </c>
      <c r="F162" t="inlineStr">
        <is>
          <t>VÄSTERBOTTENS LÄN</t>
        </is>
      </c>
      <c r="G162" t="inlineStr">
        <is>
          <t>ROBERTSFORS</t>
        </is>
      </c>
      <c r="I162" t="n">
        <v>14.3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46236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46236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46236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46236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46236</v>
      </c>
      <c r="F167" t="inlineStr">
        <is>
          <t>VÄSTERBOTTENS LÄN</t>
        </is>
      </c>
      <c r="G167" t="inlineStr">
        <is>
          <t>ROBERTSFORS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46236</v>
      </c>
      <c r="F168" t="inlineStr">
        <is>
          <t>VÄSTERBOTTENS LÄN</t>
        </is>
      </c>
      <c r="G168" t="inlineStr">
        <is>
          <t>ROBERTSFORS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46236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46236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46236</v>
      </c>
      <c r="F171" t="inlineStr">
        <is>
          <t>VÄSTERBOTTENS LÄN</t>
        </is>
      </c>
      <c r="G171" t="inlineStr">
        <is>
          <t>ROBERTSFORS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46236</v>
      </c>
      <c r="F172" t="inlineStr">
        <is>
          <t>VÄSTERBOTTENS LÄN</t>
        </is>
      </c>
      <c r="G172" t="inlineStr">
        <is>
          <t>ROBERTSFORS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44413</v>
      </c>
      <c r="E173" s="1" t="n">
        <v>46236</v>
      </c>
      <c r="F173" t="inlineStr">
        <is>
          <t>VÄSTERBOTTENS LÄN</t>
        </is>
      </c>
      <c r="G173" t="inlineStr">
        <is>
          <t>ROBERTSFORS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46236</v>
      </c>
      <c r="F174" t="inlineStr">
        <is>
          <t>VÄSTERBOTTENS LÄN</t>
        </is>
      </c>
      <c r="G174" t="inlineStr">
        <is>
          <t>ROBERTSFORS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45496</v>
      </c>
      <c r="E175" s="1" t="n">
        <v>46236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46236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46236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46236</v>
      </c>
      <c r="F178" t="inlineStr">
        <is>
          <t>VÄSTERBOTTENS LÄN</t>
        </is>
      </c>
      <c r="G178" t="inlineStr">
        <is>
          <t>ROBERTSFORS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46236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46236</v>
      </c>
      <c r="F180" t="inlineStr">
        <is>
          <t>VÄSTERBOTTENS LÄN</t>
        </is>
      </c>
      <c r="G180" t="inlineStr">
        <is>
          <t>ROBERTSFORS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45404</v>
      </c>
      <c r="E181" s="1" t="n">
        <v>46236</v>
      </c>
      <c r="F181" t="inlineStr">
        <is>
          <t>VÄSTERBOTTENS LÄN</t>
        </is>
      </c>
      <c r="G181" t="inlineStr">
        <is>
          <t>ROBERTSFORS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46236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46236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45627</v>
      </c>
      <c r="E185" s="1" t="n">
        <v>46236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46236</v>
      </c>
      <c r="F186" t="inlineStr">
        <is>
          <t>VÄSTERBOTTENS LÄN</t>
        </is>
      </c>
      <c r="G186" t="inlineStr">
        <is>
          <t>ROBERTSFORS</t>
        </is>
      </c>
      <c r="I186" t="n">
        <v>12.7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46236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46236</v>
      </c>
      <c r="F188" t="inlineStr">
        <is>
          <t>VÄSTERBOTTENS LÄN</t>
        </is>
      </c>
      <c r="G188" t="inlineStr">
        <is>
          <t>ROBERTSFORS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46236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46236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46236</v>
      </c>
      <c r="F191" t="inlineStr">
        <is>
          <t>VÄSTERBOTTENS LÄN</t>
        </is>
      </c>
      <c r="G191" t="inlineStr">
        <is>
          <t>ROBERTSFORS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45915</v>
      </c>
      <c r="E192" s="1" t="n">
        <v>46236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46236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46236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46236</v>
      </c>
      <c r="F195" t="inlineStr">
        <is>
          <t>VÄSTERBOTTENS LÄN</t>
        </is>
      </c>
      <c r="G195" t="inlineStr">
        <is>
          <t>ROBERTSFORS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46236</v>
      </c>
      <c r="F196" t="inlineStr">
        <is>
          <t>VÄSTERBOTTENS LÄN</t>
        </is>
      </c>
      <c r="G196" t="inlineStr">
        <is>
          <t>ROBERTSFORS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46236</v>
      </c>
      <c r="F197" t="inlineStr">
        <is>
          <t>VÄSTERBOTTENS LÄN</t>
        </is>
      </c>
      <c r="G197" t="inlineStr">
        <is>
          <t>ROBERTSFORS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46236</v>
      </c>
      <c r="F198" t="inlineStr">
        <is>
          <t>VÄSTERBOTTENS LÄN</t>
        </is>
      </c>
      <c r="G198" t="inlineStr">
        <is>
          <t>ROBERTSFORS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46236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46236</v>
      </c>
      <c r="F200" t="inlineStr">
        <is>
          <t>VÄSTERBOTTENS LÄN</t>
        </is>
      </c>
      <c r="G200" t="inlineStr">
        <is>
          <t>ROBERTSFORS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46236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46236</v>
      </c>
      <c r="F202" t="inlineStr">
        <is>
          <t>VÄSTERBOTTENS LÄN</t>
        </is>
      </c>
      <c r="G202" t="inlineStr">
        <is>
          <t>ROBERTSFORS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46168-2025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46236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46236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46236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46236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46236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46236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46236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46236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46236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46236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46236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46236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46236</v>
      </c>
      <c r="F215" t="inlineStr">
        <is>
          <t>VÄSTERBOTTENS LÄN</t>
        </is>
      </c>
      <c r="G215" t="inlineStr">
        <is>
          <t>ROBERTSFORS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46236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46236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Sveaskog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46236</v>
      </c>
      <c r="F218" t="inlineStr">
        <is>
          <t>VÄSTERBOTTENS LÄN</t>
        </is>
      </c>
      <c r="G218" t="inlineStr">
        <is>
          <t>ROBERTSFORS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46236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46236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46236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65771-2021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46236</v>
      </c>
      <c r="F222" t="inlineStr">
        <is>
          <t>VÄSTERBOTTENS LÄN</t>
        </is>
      </c>
      <c r="G222" t="inlineStr">
        <is>
          <t>ROBERTSFORS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46236</v>
      </c>
      <c r="F223" t="inlineStr">
        <is>
          <t>VÄSTERBOTTENS LÄN</t>
        </is>
      </c>
      <c r="G223" t="inlineStr">
        <is>
          <t>ROBERTSFORS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45205</v>
      </c>
      <c r="E224" s="1" t="n">
        <v>46236</v>
      </c>
      <c r="F224" t="inlineStr">
        <is>
          <t>VÄSTERBOTTENS LÄN</t>
        </is>
      </c>
      <c r="G224" t="inlineStr">
        <is>
          <t>ROBERTSFORS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46236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46236</v>
      </c>
      <c r="F226" t="inlineStr">
        <is>
          <t>VÄSTERBOTTENS LÄN</t>
        </is>
      </c>
      <c r="G226" t="inlineStr">
        <is>
          <t>ROBERTSFORS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46236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46236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46236</v>
      </c>
      <c r="F229" t="inlineStr">
        <is>
          <t>VÄSTERBOTTENS LÄN</t>
        </is>
      </c>
      <c r="G229" t="inlineStr">
        <is>
          <t>ROBERTSFORS</t>
        </is>
      </c>
      <c r="I229" t="n">
        <v>16.1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46236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46236</v>
      </c>
      <c r="F231" t="inlineStr">
        <is>
          <t>VÄSTERBOTTENS LÄN</t>
        </is>
      </c>
      <c r="G231" t="inlineStr">
        <is>
          <t>ROBERTSFORS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46236</v>
      </c>
      <c r="F232" t="inlineStr">
        <is>
          <t>VÄSTERBOTTENS LÄN</t>
        </is>
      </c>
      <c r="G232" t="inlineStr">
        <is>
          <t>ROBERTSFORS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46236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46236</v>
      </c>
      <c r="F234" t="inlineStr">
        <is>
          <t>VÄSTERBOTTENS LÄN</t>
        </is>
      </c>
      <c r="G234" t="inlineStr">
        <is>
          <t>ROBERTSFORS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46236</v>
      </c>
      <c r="F235" t="inlineStr">
        <is>
          <t>VÄSTERBOTTENS LÄN</t>
        </is>
      </c>
      <c r="G235" t="inlineStr">
        <is>
          <t>ROBERTSFORS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46236</v>
      </c>
      <c r="F236" t="inlineStr">
        <is>
          <t>VÄSTERBOTTENS LÄN</t>
        </is>
      </c>
      <c r="G236" t="inlineStr">
        <is>
          <t>ROBERTSFORS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46236</v>
      </c>
      <c r="F237" t="inlineStr">
        <is>
          <t>VÄSTERBOTTENS LÄN</t>
        </is>
      </c>
      <c r="G237" t="inlineStr">
        <is>
          <t>ROBERTSFORS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46236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46236</v>
      </c>
      <c r="F239" t="inlineStr">
        <is>
          <t>VÄSTERBOTTENS LÄN</t>
        </is>
      </c>
      <c r="G239" t="inlineStr">
        <is>
          <t>ROBERTSFORS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46236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46236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45129</v>
      </c>
      <c r="E242" s="1" t="n">
        <v>46236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46236</v>
      </c>
      <c r="F243" t="inlineStr">
        <is>
          <t>VÄSTERBOTTENS LÄN</t>
        </is>
      </c>
      <c r="G243" t="inlineStr">
        <is>
          <t>ROBERTSFORS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46236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45661</v>
      </c>
      <c r="E245" s="1" t="n">
        <v>46236</v>
      </c>
      <c r="F245" t="inlineStr">
        <is>
          <t>VÄSTERBOTTENS LÄN</t>
        </is>
      </c>
      <c r="G245" t="inlineStr">
        <is>
          <t>ROBERTSFORS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46236</v>
      </c>
      <c r="F246" t="inlineStr">
        <is>
          <t>VÄSTERBOTTENS LÄN</t>
        </is>
      </c>
      <c r="G246" t="inlineStr">
        <is>
          <t>ROBERTSFORS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46236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46236</v>
      </c>
      <c r="F248" t="inlineStr">
        <is>
          <t>VÄSTERBOTTENS LÄN</t>
        </is>
      </c>
      <c r="G248" t="inlineStr">
        <is>
          <t>ROBERTSFORS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46236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16995-2023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45033</v>
      </c>
      <c r="E250" s="1" t="n">
        <v>46236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46236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46236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46236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46236</v>
      </c>
      <c r="F254" t="inlineStr">
        <is>
          <t>VÄSTERBOTTENS LÄN</t>
        </is>
      </c>
      <c r="G254" t="inlineStr">
        <is>
          <t>ROBERTSFORS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53320-2025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45959</v>
      </c>
      <c r="E255" s="1" t="n">
        <v>46236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46236</v>
      </c>
      <c r="F256" t="inlineStr">
        <is>
          <t>VÄSTERBOTTENS LÄN</t>
        </is>
      </c>
      <c r="G256" t="inlineStr">
        <is>
          <t>ROBERTSFORS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45458</v>
      </c>
      <c r="E257" s="1" t="n">
        <v>46236</v>
      </c>
      <c r="F257" t="inlineStr">
        <is>
          <t>VÄSTERBOTTENS LÄN</t>
        </is>
      </c>
      <c r="G257" t="inlineStr">
        <is>
          <t>ROBERTSFORS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46236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46236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46236</v>
      </c>
      <c r="F260" t="inlineStr">
        <is>
          <t>VÄSTERBOTTENS LÄN</t>
        </is>
      </c>
      <c r="G260" t="inlineStr">
        <is>
          <t>ROBERTSFORS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46236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46236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46236</v>
      </c>
      <c r="F263" t="inlineStr">
        <is>
          <t>VÄSTERBOTTENS LÄN</t>
        </is>
      </c>
      <c r="G263" t="inlineStr">
        <is>
          <t>ROBERTSFORS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46236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46236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45692</v>
      </c>
      <c r="E266" s="1" t="n">
        <v>46236</v>
      </c>
      <c r="F266" t="inlineStr">
        <is>
          <t>VÄSTERBOTTENS LÄN</t>
        </is>
      </c>
      <c r="G266" t="inlineStr">
        <is>
          <t>ROBERTSFORS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45182</v>
      </c>
      <c r="E267" s="1" t="n">
        <v>46236</v>
      </c>
      <c r="F267" t="inlineStr">
        <is>
          <t>VÄSTERBOTTENS LÄN</t>
        </is>
      </c>
      <c r="G267" t="inlineStr">
        <is>
          <t>ROBERTSFORS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46236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46236</v>
      </c>
      <c r="F269" t="inlineStr">
        <is>
          <t>VÄSTERBOTTENS LÄN</t>
        </is>
      </c>
      <c r="G269" t="inlineStr">
        <is>
          <t>ROBERTSFORS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46236</v>
      </c>
      <c r="F270" t="inlineStr">
        <is>
          <t>VÄSTERBOTTENS LÄN</t>
        </is>
      </c>
      <c r="G270" t="inlineStr">
        <is>
          <t>ROBERTSFORS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46236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46236</v>
      </c>
      <c r="F272" t="inlineStr">
        <is>
          <t>VÄSTERBOTTENS LÄN</t>
        </is>
      </c>
      <c r="G272" t="inlineStr">
        <is>
          <t>ROBERTSFORS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46236</v>
      </c>
      <c r="F273" t="inlineStr">
        <is>
          <t>VÄSTERBOTTENS LÄN</t>
        </is>
      </c>
      <c r="G273" t="inlineStr">
        <is>
          <t>ROBERTSFORS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46236</v>
      </c>
      <c r="F274" t="inlineStr">
        <is>
          <t>VÄSTERBOTTENS LÄN</t>
        </is>
      </c>
      <c r="G274" t="inlineStr">
        <is>
          <t>ROBERTSFORS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46236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46236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45687</v>
      </c>
      <c r="E277" s="1" t="n">
        <v>46236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46236</v>
      </c>
      <c r="F278" t="inlineStr">
        <is>
          <t>VÄSTERBOTTENS LÄN</t>
        </is>
      </c>
      <c r="G278" t="inlineStr">
        <is>
          <t>ROBERTSFORS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45005</v>
      </c>
      <c r="E279" s="1" t="n">
        <v>46236</v>
      </c>
      <c r="F279" t="inlineStr">
        <is>
          <t>VÄSTERBOTTENS LÄN</t>
        </is>
      </c>
      <c r="G279" t="inlineStr">
        <is>
          <t>ROBERTSFORS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46236</v>
      </c>
      <c r="F280" t="inlineStr">
        <is>
          <t>VÄSTERBOTTENS LÄN</t>
        </is>
      </c>
      <c r="G280" t="inlineStr">
        <is>
          <t>ROBERTSFORS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46236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SCA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46236</v>
      </c>
      <c r="F283" t="inlineStr">
        <is>
          <t>VÄSTERBOTTENS LÄN</t>
        </is>
      </c>
      <c r="G283" t="inlineStr">
        <is>
          <t>ROBERTSFORS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46236</v>
      </c>
      <c r="F284" t="inlineStr">
        <is>
          <t>VÄSTERBOTTENS LÄN</t>
        </is>
      </c>
      <c r="G284" t="inlineStr">
        <is>
          <t>ROBERTSFORS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46236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46236</v>
      </c>
      <c r="F286" t="inlineStr">
        <is>
          <t>VÄSTERBOTTENS LÄN</t>
        </is>
      </c>
      <c r="G286" t="inlineStr">
        <is>
          <t>ROBERTSFORS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46236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46236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46236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46236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46236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45987</v>
      </c>
      <c r="E292" s="1" t="n">
        <v>46236</v>
      </c>
      <c r="F292" t="inlineStr">
        <is>
          <t>VÄSTERBOTTENS LÄN</t>
        </is>
      </c>
      <c r="G292" t="inlineStr">
        <is>
          <t>ROBERTSFORS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46236</v>
      </c>
      <c r="F293" t="inlineStr">
        <is>
          <t>VÄSTERBOTTENS LÄN</t>
        </is>
      </c>
      <c r="G293" t="inlineStr">
        <is>
          <t>ROBERTSFORS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46236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46236</v>
      </c>
      <c r="F295" t="inlineStr">
        <is>
          <t>VÄSTERBOTTENS LÄN</t>
        </is>
      </c>
      <c r="G295" t="inlineStr">
        <is>
          <t>ROBERTSFORS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45996</v>
      </c>
      <c r="E296" s="1" t="n">
        <v>46236</v>
      </c>
      <c r="F296" t="inlineStr">
        <is>
          <t>VÄSTERBOTTENS LÄN</t>
        </is>
      </c>
      <c r="G296" t="inlineStr">
        <is>
          <t>ROBERTSFORS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46236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Sveaskog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46236</v>
      </c>
      <c r="F299" t="inlineStr">
        <is>
          <t>VÄSTERBOTTENS LÄN</t>
        </is>
      </c>
      <c r="G299" t="inlineStr">
        <is>
          <t>ROBERTSFORS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46236</v>
      </c>
      <c r="F300" t="inlineStr">
        <is>
          <t>VÄSTERBOTTENS LÄN</t>
        </is>
      </c>
      <c r="G300" t="inlineStr">
        <is>
          <t>ROBERTSFORS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46236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46236</v>
      </c>
      <c r="F302" t="inlineStr">
        <is>
          <t>VÄSTERBOTTENS LÄN</t>
        </is>
      </c>
      <c r="G302" t="inlineStr">
        <is>
          <t>ROBERTSFORS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44475</v>
      </c>
      <c r="E303" s="1" t="n">
        <v>46236</v>
      </c>
      <c r="F303" t="inlineStr">
        <is>
          <t>VÄSTERBOTTENS LÄN</t>
        </is>
      </c>
      <c r="G303" t="inlineStr">
        <is>
          <t>ROBERTSFORS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46236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46236</v>
      </c>
      <c r="F305" t="inlineStr">
        <is>
          <t>VÄSTERBOTTENS LÄN</t>
        </is>
      </c>
      <c r="G305" t="inlineStr">
        <is>
          <t>ROBERTSFORS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46236</v>
      </c>
      <c r="F306" t="inlineStr">
        <is>
          <t>VÄSTERBOTTENS LÄN</t>
        </is>
      </c>
      <c r="G306" t="inlineStr">
        <is>
          <t>ROBERTSFORS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46236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46236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44904</v>
      </c>
      <c r="E309" s="1" t="n">
        <v>46236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45135</v>
      </c>
      <c r="E310" s="1" t="n">
        <v>46236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46236</v>
      </c>
      <c r="F311" t="inlineStr">
        <is>
          <t>VÄSTERBOTTENS LÄN</t>
        </is>
      </c>
      <c r="G311" t="inlineStr">
        <is>
          <t>ROBERTSFORS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46236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46236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46236</v>
      </c>
      <c r="F314" t="inlineStr">
        <is>
          <t>VÄSTERBOTTENS LÄN</t>
        </is>
      </c>
      <c r="G314" t="inlineStr">
        <is>
          <t>ROBERTSFORS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46236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45530</v>
      </c>
      <c r="E316" s="1" t="n">
        <v>46236</v>
      </c>
      <c r="F316" t="inlineStr">
        <is>
          <t>VÄSTERBOTTENS LÄN</t>
        </is>
      </c>
      <c r="G316" t="inlineStr">
        <is>
          <t>ROBERTSFORS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46236</v>
      </c>
      <c r="F317" t="inlineStr">
        <is>
          <t>VÄSTERBOTTENS LÄN</t>
        </is>
      </c>
      <c r="G317" t="inlineStr">
        <is>
          <t>ROBERTSFORS</t>
        </is>
      </c>
      <c r="I317" t="n">
        <v>12.1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24647-2026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46171</v>
      </c>
      <c r="E318" s="1" t="n">
        <v>46236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46236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45664</v>
      </c>
      <c r="E320" s="1" t="n">
        <v>46236</v>
      </c>
      <c r="F320" t="inlineStr">
        <is>
          <t>VÄSTERBOTTENS LÄN</t>
        </is>
      </c>
      <c r="G320" t="inlineStr">
        <is>
          <t>ROBERTSFORS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44953</v>
      </c>
      <c r="E321" s="1" t="n">
        <v>46236</v>
      </c>
      <c r="F321" t="inlineStr">
        <is>
          <t>VÄSTERBOTTENS LÄN</t>
        </is>
      </c>
      <c r="G321" t="inlineStr">
        <is>
          <t>ROBERTSFORS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46236</v>
      </c>
      <c r="F322" t="inlineStr">
        <is>
          <t>VÄSTERBOTTENS LÄN</t>
        </is>
      </c>
      <c r="G322" t="inlineStr">
        <is>
          <t>ROBERTSFORS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45659</v>
      </c>
      <c r="E323" s="1" t="n">
        <v>46236</v>
      </c>
      <c r="F323" t="inlineStr">
        <is>
          <t>VÄSTERBOTTENS LÄN</t>
        </is>
      </c>
      <c r="G323" t="inlineStr">
        <is>
          <t>ROBERTSFORS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46236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46236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46236</v>
      </c>
      <c r="F326" t="inlineStr">
        <is>
          <t>VÄSTERBOTTENS LÄN</t>
        </is>
      </c>
      <c r="G326" t="inlineStr">
        <is>
          <t>ROBERTSFORS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46236</v>
      </c>
      <c r="F327" t="inlineStr">
        <is>
          <t>VÄSTERBOTTENS LÄN</t>
        </is>
      </c>
      <c r="G327" t="inlineStr">
        <is>
          <t>ROBERTSFORS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44901</v>
      </c>
      <c r="E328" s="1" t="n">
        <v>46236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46236</v>
      </c>
      <c r="F329" t="inlineStr">
        <is>
          <t>VÄSTERBOTTENS LÄN</t>
        </is>
      </c>
      <c r="G329" t="inlineStr">
        <is>
          <t>ROBERTSFORS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15294-2023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45019</v>
      </c>
      <c r="E330" s="1" t="n">
        <v>46236</v>
      </c>
      <c r="F330" t="inlineStr">
        <is>
          <t>VÄSTERBOTTENS LÄN</t>
        </is>
      </c>
      <c r="G330" t="inlineStr">
        <is>
          <t>ROBERTSFORS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46236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45572</v>
      </c>
      <c r="E332" s="1" t="n">
        <v>46236</v>
      </c>
      <c r="F332" t="inlineStr">
        <is>
          <t>VÄSTERBOTTENS LÄN</t>
        </is>
      </c>
      <c r="G332" t="inlineStr">
        <is>
          <t>ROBERTSFORS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46236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46236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45020</v>
      </c>
      <c r="E335" s="1" t="n">
        <v>46236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46236</v>
      </c>
      <c r="F336" t="inlineStr">
        <is>
          <t>VÄSTERBOTTENS LÄN</t>
        </is>
      </c>
      <c r="G336" t="inlineStr">
        <is>
          <t>ROBERTSFORS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45480</v>
      </c>
      <c r="E337" s="1" t="n">
        <v>46236</v>
      </c>
      <c r="F337" t="inlineStr">
        <is>
          <t>VÄSTERBOTTENS LÄN</t>
        </is>
      </c>
      <c r="G337" t="inlineStr">
        <is>
          <t>ROBERTSFORS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46236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46236</v>
      </c>
      <c r="F339" t="inlineStr">
        <is>
          <t>VÄSTERBOTTENS LÄN</t>
        </is>
      </c>
      <c r="G339" t="inlineStr">
        <is>
          <t>ROBERTSFORS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46236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46236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45468</v>
      </c>
      <c r="E342" s="1" t="n">
        <v>46236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46236</v>
      </c>
      <c r="F343" t="inlineStr">
        <is>
          <t>VÄSTERBOTTENS LÄN</t>
        </is>
      </c>
      <c r="G343" t="inlineStr">
        <is>
          <t>ROBERTSFORS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45475</v>
      </c>
      <c r="E344" s="1" t="n">
        <v>46236</v>
      </c>
      <c r="F344" t="inlineStr">
        <is>
          <t>VÄSTERBOTTENS LÄN</t>
        </is>
      </c>
      <c r="G344" t="inlineStr">
        <is>
          <t>ROBERTSFORS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46236</v>
      </c>
      <c r="F345" t="inlineStr">
        <is>
          <t>VÄSTERBOTTENS LÄN</t>
        </is>
      </c>
      <c r="G345" t="inlineStr">
        <is>
          <t>ROBERTSFORS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46236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46236</v>
      </c>
      <c r="F347" t="inlineStr">
        <is>
          <t>VÄSTERBOTTENS LÄN</t>
        </is>
      </c>
      <c r="G347" t="inlineStr">
        <is>
          <t>ROBERTSFORS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46236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46236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46236</v>
      </c>
      <c r="F350" t="inlineStr">
        <is>
          <t>VÄSTERBOTTENS LÄN</t>
        </is>
      </c>
      <c r="G350" t="inlineStr">
        <is>
          <t>ROBERTSFORS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46236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45458</v>
      </c>
      <c r="E352" s="1" t="n">
        <v>46236</v>
      </c>
      <c r="F352" t="inlineStr">
        <is>
          <t>VÄSTERBOTTENS LÄN</t>
        </is>
      </c>
      <c r="G352" t="inlineStr">
        <is>
          <t>ROBERTSFORS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46236</v>
      </c>
      <c r="F353" t="inlineStr">
        <is>
          <t>VÄSTERBOTTENS LÄN</t>
        </is>
      </c>
      <c r="G353" t="inlineStr">
        <is>
          <t>ROBERTSFORS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46236</v>
      </c>
      <c r="F354" t="inlineStr">
        <is>
          <t>VÄSTERBOTTENS LÄN</t>
        </is>
      </c>
      <c r="G354" t="inlineStr">
        <is>
          <t>ROBERTSFORS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46236</v>
      </c>
      <c r="F355" t="inlineStr">
        <is>
          <t>VÄSTERBOTTENS LÄN</t>
        </is>
      </c>
      <c r="G355" t="inlineStr">
        <is>
          <t>ROBERTSFORS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46236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73557-2021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44551</v>
      </c>
      <c r="E357" s="1" t="n">
        <v>46236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46236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46225</v>
      </c>
      <c r="E359" s="1" t="n">
        <v>46236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46225</v>
      </c>
      <c r="E360" s="1" t="n">
        <v>46236</v>
      </c>
      <c r="F360" t="inlineStr">
        <is>
          <t>VÄSTERBOTTENS LÄN</t>
        </is>
      </c>
      <c r="G360" t="inlineStr">
        <is>
          <t>ROBERTSFORS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46236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45041</v>
      </c>
      <c r="E362" s="1" t="n">
        <v>46236</v>
      </c>
      <c r="F362" t="inlineStr">
        <is>
          <t>VÄSTERBOTTENS LÄN</t>
        </is>
      </c>
      <c r="G362" t="inlineStr">
        <is>
          <t>ROBERTSFORS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46236</v>
      </c>
      <c r="F363" t="inlineStr">
        <is>
          <t>VÄSTERBOTTENS LÄN</t>
        </is>
      </c>
      <c r="G363" t="inlineStr">
        <is>
          <t>ROBERTSFORS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46225</v>
      </c>
      <c r="E364" s="1" t="n">
        <v>46236</v>
      </c>
      <c r="F364" t="inlineStr">
        <is>
          <t>VÄSTERBOTTENS LÄN</t>
        </is>
      </c>
      <c r="G364" t="inlineStr">
        <is>
          <t>ROBERTSFORS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46236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46236</v>
      </c>
      <c r="F366" t="inlineStr">
        <is>
          <t>VÄSTERBOTTENS LÄN</t>
        </is>
      </c>
      <c r="G366" t="inlineStr">
        <is>
          <t>ROBERTSFORS</t>
        </is>
      </c>
      <c r="I366" t="n">
        <v>9.6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46236</v>
      </c>
      <c r="F367" t="inlineStr">
        <is>
          <t>VÄSTERBOTTENS LÄN</t>
        </is>
      </c>
      <c r="G367" t="inlineStr">
        <is>
          <t>ROBERTSFORS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46236</v>
      </c>
      <c r="F368" t="inlineStr">
        <is>
          <t>VÄSTERBOTTENS LÄN</t>
        </is>
      </c>
      <c r="G368" t="inlineStr">
        <is>
          <t>ROBERTSFORS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46236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46236</v>
      </c>
      <c r="F370" t="inlineStr">
        <is>
          <t>VÄSTERBOTTENS LÄN</t>
        </is>
      </c>
      <c r="G370" t="inlineStr">
        <is>
          <t>ROBERTSFORS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46185</v>
      </c>
      <c r="E371" s="1" t="n">
        <v>46236</v>
      </c>
      <c r="F371" t="inlineStr">
        <is>
          <t>VÄSTERBOTTENS LÄN</t>
        </is>
      </c>
      <c r="G371" t="inlineStr">
        <is>
          <t>ROBERTSFORS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46185</v>
      </c>
      <c r="E372" s="1" t="n">
        <v>46236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46236</v>
      </c>
      <c r="F373" t="inlineStr">
        <is>
          <t>VÄSTERBOTTENS LÄN</t>
        </is>
      </c>
      <c r="G373" t="inlineStr">
        <is>
          <t>ROBERTSFORS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46236</v>
      </c>
      <c r="F374" t="inlineStr">
        <is>
          <t>VÄSTERBOTTENS LÄN</t>
        </is>
      </c>
      <c r="G374" t="inlineStr">
        <is>
          <t>ROBERTSFORS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46236</v>
      </c>
      <c r="F375" t="inlineStr">
        <is>
          <t>VÄSTERBOTTENS LÄN</t>
        </is>
      </c>
      <c r="G375" t="inlineStr">
        <is>
          <t>ROBERTSFORS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46236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46236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46236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46236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45335</v>
      </c>
      <c r="E380" s="1" t="n">
        <v>46236</v>
      </c>
      <c r="F380" t="inlineStr">
        <is>
          <t>VÄSTERBOTTENS LÄN</t>
        </is>
      </c>
      <c r="G380" t="inlineStr">
        <is>
          <t>ROBERTSFORS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25572-2023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45082</v>
      </c>
      <c r="E381" s="1" t="n">
        <v>46236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45712</v>
      </c>
      <c r="E382" s="1" t="n">
        <v>46236</v>
      </c>
      <c r="F382" t="inlineStr">
        <is>
          <t>VÄSTERBOTTENS LÄN</t>
        </is>
      </c>
      <c r="G382" t="inlineStr">
        <is>
          <t>ROBERTSFORS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46236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45512</v>
      </c>
      <c r="E384" s="1" t="n">
        <v>46236</v>
      </c>
      <c r="F384" t="inlineStr">
        <is>
          <t>VÄSTERBOTTENS LÄN</t>
        </is>
      </c>
      <c r="G384" t="inlineStr">
        <is>
          <t>ROBERTSFORS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46236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46236</v>
      </c>
      <c r="F386" t="inlineStr">
        <is>
          <t>VÄSTERBOTTENS LÄN</t>
        </is>
      </c>
      <c r="G386" t="inlineStr">
        <is>
          <t>ROBERTSFORS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46236</v>
      </c>
      <c r="F387" t="inlineStr">
        <is>
          <t>VÄSTERBOTTENS LÄN</t>
        </is>
      </c>
      <c r="G387" t="inlineStr">
        <is>
          <t>ROBERTSFORS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46236</v>
      </c>
      <c r="F388" t="inlineStr">
        <is>
          <t>VÄSTERBOTTENS LÄN</t>
        </is>
      </c>
      <c r="G388" t="inlineStr">
        <is>
          <t>ROBERTSFORS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46236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46236</v>
      </c>
      <c r="F390" t="inlineStr">
        <is>
          <t>VÄSTERBOTTENS LÄN</t>
        </is>
      </c>
      <c r="G390" t="inlineStr">
        <is>
          <t>ROBERTSFORS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45553</v>
      </c>
      <c r="E391" s="1" t="n">
        <v>46236</v>
      </c>
      <c r="F391" t="inlineStr">
        <is>
          <t>VÄSTERBOTTENS LÄN</t>
        </is>
      </c>
      <c r="G391" t="inlineStr">
        <is>
          <t>ROBERTSFORS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46236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46236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46236</v>
      </c>
      <c r="F394" t="inlineStr">
        <is>
          <t>VÄSTERBOTTENS LÄN</t>
        </is>
      </c>
      <c r="G394" t="inlineStr">
        <is>
          <t>ROBERTSFORS</t>
        </is>
      </c>
      <c r="I394" t="n">
        <v>10.8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46236</v>
      </c>
      <c r="F395" t="inlineStr">
        <is>
          <t>VÄSTERBOTTENS LÄN</t>
        </is>
      </c>
      <c r="G395" t="inlineStr">
        <is>
          <t>ROBERTSFORS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46236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45620</v>
      </c>
      <c r="E397" s="1" t="n">
        <v>46236</v>
      </c>
      <c r="F397" t="inlineStr">
        <is>
          <t>VÄSTERBOTTENS LÄN</t>
        </is>
      </c>
      <c r="G397" t="inlineStr">
        <is>
          <t>ROBERTSFORS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46236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46236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SCA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17848-2022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44683</v>
      </c>
      <c r="E400" s="1" t="n">
        <v>46236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46236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46236</v>
      </c>
      <c r="F402" t="inlineStr">
        <is>
          <t>VÄSTERBOTTENS LÄN</t>
        </is>
      </c>
      <c r="G402" t="inlineStr">
        <is>
          <t>ROBERTSFORS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46236</v>
      </c>
      <c r="F403" t="inlineStr">
        <is>
          <t>VÄSTERBOTTENS LÄN</t>
        </is>
      </c>
      <c r="G403" t="inlineStr">
        <is>
          <t>ROBERTSFORS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56502-2024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45625</v>
      </c>
      <c r="E404" s="1" t="n">
        <v>46236</v>
      </c>
      <c r="F404" t="inlineStr">
        <is>
          <t>VÄSTERBOTTENS LÄN</t>
        </is>
      </c>
      <c r="G404" t="inlineStr">
        <is>
          <t>ROBERTSFORS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45365</v>
      </c>
      <c r="E405" s="1" t="n">
        <v>46236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46236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10334-2023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46236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46236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46236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46236</v>
      </c>
      <c r="F410" t="inlineStr">
        <is>
          <t>VÄSTERBOTTENS LÄN</t>
        </is>
      </c>
      <c r="G410" t="inlineStr">
        <is>
          <t>ROBERTSFORS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46236</v>
      </c>
      <c r="F411" t="inlineStr">
        <is>
          <t>VÄSTERBOTTENS LÄN</t>
        </is>
      </c>
      <c r="G411" t="inlineStr">
        <is>
          <t>ROBERTSFORS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46236</v>
      </c>
      <c r="F412" t="inlineStr">
        <is>
          <t>VÄSTERBOTTENS LÄN</t>
        </is>
      </c>
      <c r="G412" t="inlineStr">
        <is>
          <t>ROBERTSFORS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10173-2022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44622</v>
      </c>
      <c r="E413" s="1" t="n">
        <v>46236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45653</v>
      </c>
      <c r="E414" s="1" t="n">
        <v>46236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46236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46236</v>
      </c>
      <c r="F416" t="inlineStr">
        <is>
          <t>VÄSTERBOTTENS LÄN</t>
        </is>
      </c>
      <c r="G416" t="inlineStr">
        <is>
          <t>ROBERTSFORS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46236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44699</v>
      </c>
      <c r="E418" s="1" t="n">
        <v>46236</v>
      </c>
      <c r="F418" t="inlineStr">
        <is>
          <t>VÄSTERBOTTENS LÄN</t>
        </is>
      </c>
      <c r="G418" t="inlineStr">
        <is>
          <t>ROBERTSFORS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45687</v>
      </c>
      <c r="E419" s="1" t="n">
        <v>46236</v>
      </c>
      <c r="F419" t="inlineStr">
        <is>
          <t>VÄSTERBOTTENS LÄN</t>
        </is>
      </c>
      <c r="G419" t="inlineStr">
        <is>
          <t>ROBERTSFORS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46236</v>
      </c>
      <c r="F420" t="inlineStr">
        <is>
          <t>VÄSTERBOTTENS LÄN</t>
        </is>
      </c>
      <c r="G420" t="inlineStr">
        <is>
          <t>ROBERTSFORS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46236</v>
      </c>
      <c r="F421" t="inlineStr">
        <is>
          <t>VÄSTERBOTTENS LÄN</t>
        </is>
      </c>
      <c r="G421" t="inlineStr">
        <is>
          <t>ROBERTSFORS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46236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46236</v>
      </c>
      <c r="F423" t="inlineStr">
        <is>
          <t>VÄSTERBOTTENS LÄN</t>
        </is>
      </c>
      <c r="G423" t="inlineStr">
        <is>
          <t>ROBERTSFORS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46236</v>
      </c>
      <c r="F424" t="inlineStr">
        <is>
          <t>VÄSTERBOTTENS LÄN</t>
        </is>
      </c>
      <c r="G424" t="inlineStr">
        <is>
          <t>ROBERTSFORS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46236</v>
      </c>
      <c r="F425" t="inlineStr">
        <is>
          <t>VÄSTERBOTTENS LÄN</t>
        </is>
      </c>
      <c r="G425" t="inlineStr">
        <is>
          <t>ROBERTSFORS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46236</v>
      </c>
      <c r="F426" t="inlineStr">
        <is>
          <t>VÄSTERBOTTENS LÄN</t>
        </is>
      </c>
      <c r="G426" t="inlineStr">
        <is>
          <t>ROBERTSFORS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46236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46236</v>
      </c>
      <c r="F428" t="inlineStr">
        <is>
          <t>VÄSTERBOTTENS LÄN</t>
        </is>
      </c>
      <c r="G428" t="inlineStr">
        <is>
          <t>ROBERTSFORS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46236</v>
      </c>
      <c r="F429" t="inlineStr">
        <is>
          <t>VÄSTERBOTTENS LÄN</t>
        </is>
      </c>
      <c r="G429" t="inlineStr">
        <is>
          <t>ROBERTSFORS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46236</v>
      </c>
      <c r="F430" t="inlineStr">
        <is>
          <t>VÄSTERBOTTENS LÄN</t>
        </is>
      </c>
      <c r="G430" t="inlineStr">
        <is>
          <t>ROBERTSFORS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44838</v>
      </c>
      <c r="E431" s="1" t="n">
        <v>46236</v>
      </c>
      <c r="F431" t="inlineStr">
        <is>
          <t>VÄSTERBOTTENS LÄN</t>
        </is>
      </c>
      <c r="G431" t="inlineStr">
        <is>
          <t>ROBERTSFORS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46236</v>
      </c>
      <c r="F432" t="inlineStr">
        <is>
          <t>VÄSTERBOTTENS LÄN</t>
        </is>
      </c>
      <c r="G432" t="inlineStr">
        <is>
          <t>ROBERTSFORS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46236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46236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46236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46236</v>
      </c>
      <c r="F436" t="inlineStr">
        <is>
          <t>VÄSTERBOTTENS LÄN</t>
        </is>
      </c>
      <c r="G436" t="inlineStr">
        <is>
          <t>ROBERTSFORS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46236</v>
      </c>
      <c r="F437" t="inlineStr">
        <is>
          <t>VÄSTERBOTTENS LÄN</t>
        </is>
      </c>
      <c r="G437" t="inlineStr">
        <is>
          <t>ROBERTSFORS</t>
        </is>
      </c>
      <c r="I437" t="n">
        <v>12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46236</v>
      </c>
      <c r="F438" t="inlineStr">
        <is>
          <t>VÄSTERBOTTENS LÄN</t>
        </is>
      </c>
      <c r="G438" t="inlineStr">
        <is>
          <t>ROBERTSFORS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46236</v>
      </c>
      <c r="F439" t="inlineStr">
        <is>
          <t>VÄSTERBOTTENS LÄN</t>
        </is>
      </c>
      <c r="G439" t="inlineStr">
        <is>
          <t>ROBERTSFORS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58579-2023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45246</v>
      </c>
      <c r="E440" s="1" t="n">
        <v>46236</v>
      </c>
      <c r="F440" t="inlineStr">
        <is>
          <t>VÄSTERBOTTENS LÄN</t>
        </is>
      </c>
      <c r="G440" t="inlineStr">
        <is>
          <t>ROBERTSFORS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46236</v>
      </c>
      <c r="F441" t="inlineStr">
        <is>
          <t>VÄSTERBOTTENS LÄN</t>
        </is>
      </c>
      <c r="G441" t="inlineStr">
        <is>
          <t>ROBERTSFORS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46236</v>
      </c>
      <c r="F442" t="inlineStr">
        <is>
          <t>VÄSTERBOTTENS LÄN</t>
        </is>
      </c>
      <c r="G442" t="inlineStr">
        <is>
          <t>ROBERTSFORS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46236</v>
      </c>
      <c r="F443" t="inlineStr">
        <is>
          <t>VÄSTERBOTTENS LÄN</t>
        </is>
      </c>
      <c r="G443" t="inlineStr">
        <is>
          <t>ROBERTSFORS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46236</v>
      </c>
      <c r="F444" t="inlineStr">
        <is>
          <t>VÄSTERBOTTENS LÄN</t>
        </is>
      </c>
      <c r="G444" t="inlineStr">
        <is>
          <t>ROBERTSFORS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46236</v>
      </c>
      <c r="F445" t="inlineStr">
        <is>
          <t>VÄSTERBOTTENS LÄN</t>
        </is>
      </c>
      <c r="G445" t="inlineStr">
        <is>
          <t>ROBERTSFORS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46236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46236</v>
      </c>
      <c r="F447" t="inlineStr">
        <is>
          <t>VÄSTERBOTTENS LÄN</t>
        </is>
      </c>
      <c r="G447" t="inlineStr">
        <is>
          <t>ROBERTSFORS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46236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46236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46236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46236</v>
      </c>
      <c r="F451" t="inlineStr">
        <is>
          <t>VÄSTERBOTTENS LÄN</t>
        </is>
      </c>
      <c r="G451" t="inlineStr">
        <is>
          <t>ROBERTSFORS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46236</v>
      </c>
      <c r="F452" t="inlineStr">
        <is>
          <t>VÄSTERBOTTENS LÄN</t>
        </is>
      </c>
      <c r="G452" t="inlineStr">
        <is>
          <t>ROBERTSFORS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45756</v>
      </c>
      <c r="E453" s="1" t="n">
        <v>46236</v>
      </c>
      <c r="F453" t="inlineStr">
        <is>
          <t>VÄSTERBOTTENS LÄN</t>
        </is>
      </c>
      <c r="G453" t="inlineStr">
        <is>
          <t>ROBERTSFORS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44783</v>
      </c>
      <c r="E454" s="1" t="n">
        <v>46236</v>
      </c>
      <c r="F454" t="inlineStr">
        <is>
          <t>VÄSTERBOTTENS LÄN</t>
        </is>
      </c>
      <c r="G454" t="inlineStr">
        <is>
          <t>ROBERTSFORS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45463</v>
      </c>
      <c r="E455" s="1" t="n">
        <v>46236</v>
      </c>
      <c r="F455" t="inlineStr">
        <is>
          <t>VÄSTERBOTTENS LÄN</t>
        </is>
      </c>
      <c r="G455" t="inlineStr">
        <is>
          <t>ROBERTSFORS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46236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46236</v>
      </c>
      <c r="F457" t="inlineStr">
        <is>
          <t>VÄSTERBOTTENS LÄN</t>
        </is>
      </c>
      <c r="G457" t="inlineStr">
        <is>
          <t>ROBERTSFORS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46236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46236</v>
      </c>
      <c r="F459" t="inlineStr">
        <is>
          <t>VÄSTERBOTTENS LÄN</t>
        </is>
      </c>
      <c r="G459" t="inlineStr">
        <is>
          <t>ROBERTSFORS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46236</v>
      </c>
      <c r="F460" t="inlineStr">
        <is>
          <t>VÄSTERBOTTENS LÄN</t>
        </is>
      </c>
      <c r="G460" t="inlineStr">
        <is>
          <t>ROBERTSFORS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14671-2023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45013</v>
      </c>
      <c r="E461" s="1" t="n">
        <v>46236</v>
      </c>
      <c r="F461" t="inlineStr">
        <is>
          <t>VÄSTERBOTTENS LÄN</t>
        </is>
      </c>
      <c r="G461" t="inlineStr">
        <is>
          <t>ROBERTSFORS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46236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46236</v>
      </c>
      <c r="F463" t="inlineStr">
        <is>
          <t>VÄSTERBOTTENS LÄN</t>
        </is>
      </c>
      <c r="G463" t="inlineStr">
        <is>
          <t>ROBERTSFORS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44413</v>
      </c>
      <c r="E464" s="1" t="n">
        <v>46236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45901</v>
      </c>
      <c r="E465" s="1" t="n">
        <v>46236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46236</v>
      </c>
      <c r="F466" t="inlineStr">
        <is>
          <t>VÄSTERBOTTENS LÄN</t>
        </is>
      </c>
      <c r="G466" t="inlineStr">
        <is>
          <t>ROBERTSFORS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46236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46236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45495</v>
      </c>
      <c r="E469" s="1" t="n">
        <v>46236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46236</v>
      </c>
      <c r="F470" t="inlineStr">
        <is>
          <t>VÄSTERBOTTENS LÄN</t>
        </is>
      </c>
      <c r="G470" t="inlineStr">
        <is>
          <t>ROBERTSFORS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45792</v>
      </c>
      <c r="E471" s="1" t="n">
        <v>46236</v>
      </c>
      <c r="F471" t="inlineStr">
        <is>
          <t>VÄSTERBOTTENS LÄN</t>
        </is>
      </c>
      <c r="G471" t="inlineStr">
        <is>
          <t>ROBERTSFORS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46236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45792</v>
      </c>
      <c r="E473" s="1" t="n">
        <v>46236</v>
      </c>
      <c r="F473" t="inlineStr">
        <is>
          <t>VÄSTERBOTTENS LÄN</t>
        </is>
      </c>
      <c r="G473" t="inlineStr">
        <is>
          <t>ROBERTSFORS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45468</v>
      </c>
      <c r="E474" s="1" t="n">
        <v>46236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44372-2023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45188</v>
      </c>
      <c r="E475" s="1" t="n">
        <v>46236</v>
      </c>
      <c r="F475" t="inlineStr">
        <is>
          <t>VÄSTERBOTTENS LÄN</t>
        </is>
      </c>
      <c r="G475" t="inlineStr">
        <is>
          <t>ROBERTSFORS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60882-2024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46236</v>
      </c>
      <c r="F476" t="inlineStr">
        <is>
          <t>VÄSTERBOTTENS LÄN</t>
        </is>
      </c>
      <c r="G476" t="inlineStr">
        <is>
          <t>ROBERTSFORS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45794</v>
      </c>
      <c r="E477" s="1" t="n">
        <v>46236</v>
      </c>
      <c r="F477" t="inlineStr">
        <is>
          <t>VÄSTERBOTTENS LÄN</t>
        </is>
      </c>
      <c r="G477" t="inlineStr">
        <is>
          <t>ROBERTSFORS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45510</v>
      </c>
      <c r="E478" s="1" t="n">
        <v>46236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46236</v>
      </c>
      <c r="F479" t="inlineStr">
        <is>
          <t>VÄSTERBOTTENS LÄN</t>
        </is>
      </c>
      <c r="G479" t="inlineStr">
        <is>
          <t>ROBERTSFORS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46236</v>
      </c>
      <c r="F480" t="inlineStr">
        <is>
          <t>VÄSTERBOTTENS LÄN</t>
        </is>
      </c>
      <c r="G480" t="inlineStr">
        <is>
          <t>ROBERTSFORS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46236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45581</v>
      </c>
      <c r="E482" s="1" t="n">
        <v>46236</v>
      </c>
      <c r="F482" t="inlineStr">
        <is>
          <t>VÄSTERBOTTENS LÄN</t>
        </is>
      </c>
      <c r="G482" t="inlineStr">
        <is>
          <t>ROBERTSFORS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45548</v>
      </c>
      <c r="E483" s="1" t="n">
        <v>46236</v>
      </c>
      <c r="F483" t="inlineStr">
        <is>
          <t>VÄSTERBOTTENS LÄN</t>
        </is>
      </c>
      <c r="G483" t="inlineStr">
        <is>
          <t>ROBERTSFORS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46236</v>
      </c>
      <c r="F484" t="inlineStr">
        <is>
          <t>VÄSTERBOTTENS LÄN</t>
        </is>
      </c>
      <c r="G484" t="inlineStr">
        <is>
          <t>ROBERTSFORS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46236</v>
      </c>
      <c r="F485" t="inlineStr">
        <is>
          <t>VÄSTERBOTTENS LÄN</t>
        </is>
      </c>
      <c r="G485" t="inlineStr">
        <is>
          <t>ROBERTSFORS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45800</v>
      </c>
      <c r="E486" s="1" t="n">
        <v>46236</v>
      </c>
      <c r="F486" t="inlineStr">
        <is>
          <t>VÄSTERBOTTENS LÄN</t>
        </is>
      </c>
      <c r="G486" t="inlineStr">
        <is>
          <t>ROBERTSFORS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46236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45803</v>
      </c>
      <c r="E488" s="1" t="n">
        <v>46236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46236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45687</v>
      </c>
      <c r="E490" s="1" t="n">
        <v>46236</v>
      </c>
      <c r="F490" t="inlineStr">
        <is>
          <t>VÄSTERBOTTENS LÄN</t>
        </is>
      </c>
      <c r="G490" t="inlineStr">
        <is>
          <t>ROBERTSFORS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46236</v>
      </c>
      <c r="F491" t="inlineStr">
        <is>
          <t>VÄSTERBOTTENS LÄN</t>
        </is>
      </c>
      <c r="G491" t="inlineStr">
        <is>
          <t>ROBERTSFORS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46236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45813</v>
      </c>
      <c r="E493" s="1" t="n">
        <v>46236</v>
      </c>
      <c r="F493" t="inlineStr">
        <is>
          <t>VÄSTERBOTTENS LÄN</t>
        </is>
      </c>
      <c r="G493" t="inlineStr">
        <is>
          <t>ROBERTSFORS</t>
        </is>
      </c>
      <c r="I493" t="n">
        <v>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28330-2025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45818</v>
      </c>
      <c r="E494" s="1" t="n">
        <v>46236</v>
      </c>
      <c r="F494" t="inlineStr">
        <is>
          <t>VÄSTERBOTTENS LÄN</t>
        </is>
      </c>
      <c r="G494" t="inlineStr">
        <is>
          <t>ROBERTSFORS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31110-2025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46236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46236</v>
      </c>
      <c r="F496" t="inlineStr">
        <is>
          <t>VÄSTERBOTTENS LÄN</t>
        </is>
      </c>
      <c r="G496" t="inlineStr">
        <is>
          <t>ROBERTSFORS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45838</v>
      </c>
      <c r="E497" s="1" t="n">
        <v>46236</v>
      </c>
      <c r="F497" t="inlineStr">
        <is>
          <t>VÄSTERBOTTENS LÄN</t>
        </is>
      </c>
      <c r="G497" t="inlineStr">
        <is>
          <t>ROBERTSFORS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46236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46236</v>
      </c>
      <c r="F499" t="inlineStr">
        <is>
          <t>VÄSTERBOTTENS LÄN</t>
        </is>
      </c>
      <c r="G499" t="inlineStr">
        <is>
          <t>ROBERTSFORS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45839</v>
      </c>
      <c r="E500" s="1" t="n">
        <v>46236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46236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46236</v>
      </c>
      <c r="F502" t="inlineStr">
        <is>
          <t>VÄSTERBOTTENS LÄN</t>
        </is>
      </c>
      <c r="G502" t="inlineStr">
        <is>
          <t>ROBERTSFORS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46236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46236</v>
      </c>
      <c r="F504" t="inlineStr">
        <is>
          <t>VÄSTERBOTTENS LÄN</t>
        </is>
      </c>
      <c r="G504" t="inlineStr">
        <is>
          <t>ROBERTSFORS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33368-2025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45841</v>
      </c>
      <c r="E505" s="1" t="n">
        <v>46236</v>
      </c>
      <c r="F505" t="inlineStr">
        <is>
          <t>VÄSTERBOTTENS LÄN</t>
        </is>
      </c>
      <c r="G505" t="inlineStr">
        <is>
          <t>ROBERTSFORS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45841</v>
      </c>
      <c r="E506" s="1" t="n">
        <v>46236</v>
      </c>
      <c r="F506" t="inlineStr">
        <is>
          <t>VÄSTERBOTTENS LÄN</t>
        </is>
      </c>
      <c r="G506" t="inlineStr">
        <is>
          <t>ROBERTSFORS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45856</v>
      </c>
      <c r="E507" s="1" t="n">
        <v>46236</v>
      </c>
      <c r="F507" t="inlineStr">
        <is>
          <t>VÄSTERBOTTENS LÄN</t>
        </is>
      </c>
      <c r="G507" t="inlineStr">
        <is>
          <t>ROBERTSFORS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46236</v>
      </c>
      <c r="F508" t="inlineStr">
        <is>
          <t>VÄSTERBOTTENS LÄN</t>
        </is>
      </c>
      <c r="G508" t="inlineStr">
        <is>
          <t>ROBERTSFORS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46236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46236</v>
      </c>
      <c r="F510" t="inlineStr">
        <is>
          <t>VÄSTERBOTTENS LÄN</t>
        </is>
      </c>
      <c r="G510" t="inlineStr">
        <is>
          <t>ROBERTSFORS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36594-2025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45870</v>
      </c>
      <c r="E511" s="1" t="n">
        <v>46236</v>
      </c>
      <c r="F511" t="inlineStr">
        <is>
          <t>VÄSTERBOTTENS LÄN</t>
        </is>
      </c>
      <c r="G511" t="inlineStr">
        <is>
          <t>ROBERTSFORS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45873</v>
      </c>
      <c r="E512" s="1" t="n">
        <v>46236</v>
      </c>
      <c r="F512" t="inlineStr">
        <is>
          <t>VÄSTERBOTTENS LÄN</t>
        </is>
      </c>
      <c r="G512" t="inlineStr">
        <is>
          <t>ROBERTSFORS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46236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46236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46236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46236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46236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46236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46236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46236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2026-08-02T01:52:22Z</dcterms:created>
  <dcterms:modified xmlns:dcterms="http://purl.org/dc/terms/" xmlns:xsi="http://www.w3.org/2001/XMLSchema-instance" xsi:type="dcterms:W3CDTF">2026-08-02T01:52:22Z</dcterms:modified>
</cp:coreProperties>
</file>