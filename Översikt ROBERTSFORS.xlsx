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46313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46313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46313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46313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46313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46313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46313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46313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46313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46313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46313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46313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46313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46313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46313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46313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46313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46313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46313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46313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46313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flugsnappare
Ärtsångare</t>
        </is>
      </c>
      <c r="W32">
        <f>HYPERLINK("https://klasma.github.io/Logging_2409/artfynd/A 43094-2023 artfynd.xlsx", "A 43094-2023")</f>
        <v/>
      </c>
      <c r="X32">
        <f>HYPERLINK("https://klasma.github.io/Logging_2409/kartor/A 43094-2023 karta.png", "A 43094-2023")</f>
        <v/>
      </c>
      <c r="Y32">
        <f>HYPERLINK("https://klasma.github.io/Logging_2409/kartor_geotiff/A 43094-2023 georefererad karta.tif", "A 43094-2023")</f>
        <v/>
      </c>
      <c r="AA32">
        <f>HYPERLINK("https://klasma.github.io/Logging_2409/klagomål/A 43094-2023 FSC-klagomål.docx", "A 43094-2023")</f>
        <v/>
      </c>
      <c r="AB32">
        <f>HYPERLINK("https://klasma.github.io/Logging_2409/klagomålsmail/A 43094-2023 FSC-klagomål mail.docx", "A 43094-2023")</f>
        <v/>
      </c>
      <c r="AC32">
        <f>HYPERLINK("https://klasma.github.io/Logging_2409/tillsyn/A 43094-2023 tillsynsbegäran.docx", "A 43094-2023")</f>
        <v/>
      </c>
      <c r="AD32">
        <f>HYPERLINK("https://klasma.github.io/Logging_2409/tillsynsmail/A 43094-2023 tillsynsbegäran mail.docx", "A 43094-2023")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46313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46313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46313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46313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46313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46313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46313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46313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46313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35551-2025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46313</v>
      </c>
      <c r="F44" t="inlineStr">
        <is>
          <t>VÄSTERBOTTENS LÄN</t>
        </is>
      </c>
      <c r="G44" t="inlineStr">
        <is>
          <t>ROBERTSFORS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HYPERLINK("https://klasma.github.io/Logging_2409/artfynd/A 35551-2025 artfynd.xlsx", "A 35551-2025")</f>
        <v/>
      </c>
      <c r="X44">
        <f>HYPERLINK("https://klasma.github.io/Logging_2409/kartor/A 35551-2025 karta.png", "A 35551-2025")</f>
        <v/>
      </c>
      <c r="Y44">
        <f>HYPERLINK("https://klasma.github.io/Logging_2409/kartor_geotiff/A 35551-2025 georefererad karta.tif", "A 35551-2025")</f>
        <v/>
      </c>
      <c r="AA44">
        <f>HYPERLINK("https://klasma.github.io/Logging_2409/klagomål/A 35551-2025 FSC-klagomål.docx", "A 35551-2025")</f>
        <v/>
      </c>
      <c r="AB44">
        <f>HYPERLINK("https://klasma.github.io/Logging_2409/klagomålsmail/A 35551-2025 FSC-klagomål mail.docx", "A 35551-2025")</f>
        <v/>
      </c>
      <c r="AC44">
        <f>HYPERLINK("https://klasma.github.io/Logging_2409/tillsyn/A 35551-2025 tillsynsbegäran.docx", "A 35551-2025")</f>
        <v/>
      </c>
      <c r="AD44">
        <f>HYPERLINK("https://klasma.github.io/Logging_2409/tillsynsmail/A 35551-2025 tillsynsbegäran mail.docx", "A 35551-2025")</f>
        <v/>
      </c>
      <c r="AE44">
        <f>HYPERLINK("https://klasma.github.io/Logging_2409/fåglar/A 35551-2025 prioriterade fågelarter.docx", "A 35551-2025")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46313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42891-2023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46313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HYPERLINK("https://klasma.github.io/Logging_2409/artfynd/A 42891-2023 artfynd.xlsx", "A 42891-2023")</f>
        <v/>
      </c>
      <c r="X46">
        <f>HYPERLINK("https://klasma.github.io/Logging_2409/kartor/A 42891-2023 karta.png", "A 42891-2023")</f>
        <v/>
      </c>
      <c r="Y46">
        <f>HYPERLINK("https://klasma.github.io/Logging_2409/kartor_geotiff/A 42891-2023 georefererad karta.tif", "A 42891-2023")</f>
        <v/>
      </c>
      <c r="AA46">
        <f>HYPERLINK("https://klasma.github.io/Logging_2409/klagomål/A 42891-2023 FSC-klagomål.docx", "A 42891-2023")</f>
        <v/>
      </c>
      <c r="AB46">
        <f>HYPERLINK("https://klasma.github.io/Logging_2409/klagomålsmail/A 42891-2023 FSC-klagomål mail.docx", "A 42891-2023")</f>
        <v/>
      </c>
      <c r="AC46">
        <f>HYPERLINK("https://klasma.github.io/Logging_2409/tillsyn/A 42891-2023 tillsynsbegäran.docx", "A 42891-2023")</f>
        <v/>
      </c>
      <c r="AD46">
        <f>HYPERLINK("https://klasma.github.io/Logging_2409/tillsynsmail/A 42891-2023 tillsynsbegäran mail.docx", "A 42891-2023")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46313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46313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46313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46313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46313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46313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HYPERLINK("https://klasma.github.io/Logging_2409/artfynd/A 38777-2023 artfynd.xlsx", "A 38777-2023")</f>
        <v/>
      </c>
      <c r="X52">
        <f>HYPERLINK("https://klasma.github.io/Logging_2409/kartor/A 38777-2023 karta.png", "A 38777-2023")</f>
        <v/>
      </c>
      <c r="Y52">
        <f>HYPERLINK("https://klasma.github.io/Logging_2409/kartor_geotiff/A 38777-2023 georefererad karta.tif", "A 38777-2023")</f>
        <v/>
      </c>
      <c r="AA52">
        <f>HYPERLINK("https://klasma.github.io/Logging_2409/klagomål/A 38777-2023 FSC-klagomål.docx", "A 38777-2023")</f>
        <v/>
      </c>
      <c r="AB52">
        <f>HYPERLINK("https://klasma.github.io/Logging_2409/klagomålsmail/A 38777-2023 FSC-klagomål mail.docx", "A 38777-2023")</f>
        <v/>
      </c>
      <c r="AC52">
        <f>HYPERLINK("https://klasma.github.io/Logging_2409/tillsyn/A 38777-2023 tillsynsbegäran.docx", "A 38777-2023")</f>
        <v/>
      </c>
      <c r="AD52">
        <f>HYPERLINK("https://klasma.github.io/Logging_2409/tillsynsmail/A 38777-2023 tillsynsbegäran mail.docx", "A 38777-2023")</f>
        <v/>
      </c>
      <c r="AE52">
        <f>HYPERLINK("https://klasma.github.io/Logging_2409/fåglar/A 38777-2023 prioriterade fågelarter.docx", "A 38777-2023")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46313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52723-2025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46313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HYPERLINK("https://klasma.github.io/Logging_2409/artfynd/A 52723-2025 artfynd.xlsx", "A 52723-2025")</f>
        <v/>
      </c>
      <c r="X54">
        <f>HYPERLINK("https://klasma.github.io/Logging_2409/kartor/A 52723-2025 karta.png", "A 52723-2025")</f>
        <v/>
      </c>
      <c r="Y54">
        <f>HYPERLINK("https://klasma.github.io/Logging_2409/kartor_geotiff/A 52723-2025 georefererad karta.tif", "A 52723-2025")</f>
        <v/>
      </c>
      <c r="AA54">
        <f>HYPERLINK("https://klasma.github.io/Logging_2409/klagomål/A 52723-2025 FSC-klagomål.docx", "A 52723-2025")</f>
        <v/>
      </c>
      <c r="AB54">
        <f>HYPERLINK("https://klasma.github.io/Logging_2409/klagomålsmail/A 52723-2025 FSC-klagomål mail.docx", "A 52723-2025")</f>
        <v/>
      </c>
      <c r="AC54">
        <f>HYPERLINK("https://klasma.github.io/Logging_2409/tillsyn/A 52723-2025 tillsynsbegäran.docx", "A 52723-2025")</f>
        <v/>
      </c>
      <c r="AD54">
        <f>HYPERLINK("https://klasma.github.io/Logging_2409/tillsynsmail/A 52723-2025 tillsynsbegäran mail.docx", "A 52723-2025")</f>
        <v/>
      </c>
      <c r="AE54">
        <f>HYPERLINK("https://klasma.github.io/Logging_2409/fåglar/A 52723-2025 prioriterade fågelarter.docx", "A 52723-2025")</f>
        <v/>
      </c>
    </row>
    <row r="55" ht="15" customHeight="1">
      <c r="A55" t="inlineStr">
        <is>
          <t>A 5285-2026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46313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HYPERLINK("https://klasma.github.io/Logging_2409/artfynd/A 5285-2026 artfynd.xlsx", "A 5285-2026")</f>
        <v/>
      </c>
      <c r="X55">
        <f>HYPERLINK("https://klasma.github.io/Logging_2409/kartor/A 5285-2026 karta.png", "A 5285-2026")</f>
        <v/>
      </c>
      <c r="Y55">
        <f>HYPERLINK("https://klasma.github.io/Logging_2409/kartor_geotiff/A 5285-2026 georefererad karta.tif", "A 5285-2026")</f>
        <v/>
      </c>
      <c r="AA55">
        <f>HYPERLINK("https://klasma.github.io/Logging_2409/klagomål/A 5285-2026 FSC-klagomål.docx", "A 5285-2026")</f>
        <v/>
      </c>
      <c r="AB55">
        <f>HYPERLINK("https://klasma.github.io/Logging_2409/klagomålsmail/A 5285-2026 FSC-klagomål mail.docx", "A 5285-2026")</f>
        <v/>
      </c>
      <c r="AC55">
        <f>HYPERLINK("https://klasma.github.io/Logging_2409/tillsyn/A 5285-2026 tillsynsbegäran.docx", "A 5285-2026")</f>
        <v/>
      </c>
      <c r="AD55">
        <f>HYPERLINK("https://klasma.github.io/Logging_2409/tillsynsmail/A 5285-2026 tillsynsbegäran mail.docx", "A 5285-2026")</f>
        <v/>
      </c>
      <c r="AE55">
        <f>HYPERLINK("https://klasma.github.io/Logging_2409/fåglar/A 5285-2026 prioriterade fågelarter.docx", "A 5285-2026")</f>
        <v/>
      </c>
    </row>
    <row r="56" ht="15" customHeight="1">
      <c r="A56" t="inlineStr">
        <is>
          <t>A 5289-2026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46313</v>
      </c>
      <c r="F56" t="inlineStr">
        <is>
          <t>VÄSTERBOTTENS LÄN</t>
        </is>
      </c>
      <c r="G56" t="inlineStr">
        <is>
          <t>ROBERTSFORS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HYPERLINK("https://klasma.github.io/Logging_2409/artfynd/A 5289-2026 artfynd.xlsx", "A 5289-2026")</f>
        <v/>
      </c>
      <c r="X56">
        <f>HYPERLINK("https://klasma.github.io/Logging_2409/kartor/A 5289-2026 karta.png", "A 5289-2026")</f>
        <v/>
      </c>
      <c r="Y56">
        <f>HYPERLINK("https://klasma.github.io/Logging_2409/kartor_geotiff/A 5289-2026 georefererad karta.tif", "A 5289-2026")</f>
        <v/>
      </c>
      <c r="AA56">
        <f>HYPERLINK("https://klasma.github.io/Logging_2409/klagomål/A 5289-2026 FSC-klagomål.docx", "A 5289-2026")</f>
        <v/>
      </c>
      <c r="AB56">
        <f>HYPERLINK("https://klasma.github.io/Logging_2409/klagomålsmail/A 5289-2026 FSC-klagomål mail.docx", "A 5289-2026")</f>
        <v/>
      </c>
      <c r="AC56">
        <f>HYPERLINK("https://klasma.github.io/Logging_2409/tillsyn/A 5289-2026 tillsynsbegäran.docx", "A 5289-2026")</f>
        <v/>
      </c>
      <c r="AD56">
        <f>HYPERLINK("https://klasma.github.io/Logging_2409/tillsynsmail/A 5289-2026 tillsynsbegäran mail.docx", "A 5289-2026")</f>
        <v/>
      </c>
      <c r="AE56">
        <f>HYPERLINK("https://klasma.github.io/Logging_2409/fåglar/A 5289-2026 prioriterade fågelarter.docx", "A 5289-2026")</f>
        <v/>
      </c>
    </row>
    <row r="57" ht="15" customHeight="1">
      <c r="A57" t="inlineStr">
        <is>
          <t>A 5284-2026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46313</v>
      </c>
      <c r="F57" t="inlineStr">
        <is>
          <t>VÄSTERBOTTENS LÄN</t>
        </is>
      </c>
      <c r="G57" t="inlineStr">
        <is>
          <t>ROBERTSFORS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HYPERLINK("https://klasma.github.io/Logging_2409/artfynd/A 5284-2026 artfynd.xlsx", "A 5284-2026")</f>
        <v/>
      </c>
      <c r="X57">
        <f>HYPERLINK("https://klasma.github.io/Logging_2409/kartor/A 5284-2026 karta.png", "A 5284-2026")</f>
        <v/>
      </c>
      <c r="Y57">
        <f>HYPERLINK("https://klasma.github.io/Logging_2409/kartor_geotiff/A 5284-2026 georefererad karta.tif", "A 5284-2026")</f>
        <v/>
      </c>
      <c r="AA57">
        <f>HYPERLINK("https://klasma.github.io/Logging_2409/klagomål/A 5284-2026 FSC-klagomål.docx", "A 5284-2026")</f>
        <v/>
      </c>
      <c r="AB57">
        <f>HYPERLINK("https://klasma.github.io/Logging_2409/klagomålsmail/A 5284-2026 FSC-klagomål mail.docx", "A 5284-2026")</f>
        <v/>
      </c>
      <c r="AC57">
        <f>HYPERLINK("https://klasma.github.io/Logging_2409/tillsyn/A 5284-2026 tillsynsbegäran.docx", "A 5284-2026")</f>
        <v/>
      </c>
      <c r="AD57">
        <f>HYPERLINK("https://klasma.github.io/Logging_2409/tillsynsmail/A 5284-2026 tillsynsbegäran mail.docx", "A 5284-2026")</f>
        <v/>
      </c>
      <c r="AE57">
        <f>HYPERLINK("https://klasma.github.io/Logging_2409/fåglar/A 5284-2026 prioriterade fågelarter.docx", "A 5284-2026")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46313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46313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46313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46313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46313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41767-2023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46313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0.8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41767-2023 artfynd.xlsx", "A 41767-2023")</f>
        <v/>
      </c>
      <c r="X63">
        <f>HYPERLINK("https://klasma.github.io/Logging_2409/kartor/A 41767-2023 karta.png", "A 41767-2023")</f>
        <v/>
      </c>
      <c r="Y63">
        <f>HYPERLINK("https://klasma.github.io/Logging_2409/kartor_geotiff/A 41767-2023 georefererad karta.tif", "A 41767-2023")</f>
        <v/>
      </c>
      <c r="AA63">
        <f>HYPERLINK("https://klasma.github.io/Logging_2409/klagomål/A 41767-2023 FSC-klagomål.docx", "A 41767-2023")</f>
        <v/>
      </c>
      <c r="AB63">
        <f>HYPERLINK("https://klasma.github.io/Logging_2409/klagomålsmail/A 41767-2023 FSC-klagomål mail.docx", "A 41767-2023")</f>
        <v/>
      </c>
      <c r="AC63">
        <f>HYPERLINK("https://klasma.github.io/Logging_2409/tillsyn/A 41767-2023 tillsynsbegäran.docx", "A 41767-2023")</f>
        <v/>
      </c>
      <c r="AD63">
        <f>HYPERLINK("https://klasma.github.io/Logging_2409/tillsynsmail/A 41767-2023 tillsynsbegäran mail.docx", "A 41767-2023")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46313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46313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46313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A 34007-2025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45844</v>
      </c>
      <c r="E67" s="1" t="n">
        <v>46313</v>
      </c>
      <c r="F67" t="inlineStr">
        <is>
          <t>VÄSTERBOTTENS LÄN</t>
        </is>
      </c>
      <c r="G67" t="inlineStr">
        <is>
          <t>ROBERTSFORS</t>
        </is>
      </c>
      <c r="I67" t="n">
        <v>1.3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Harticka</t>
        </is>
      </c>
      <c r="W67">
        <f>HYPERLINK("https://klasma.github.io/Logging_2409/artfynd/A 34007-2025 artfynd.xlsx", "A 34007-2025")</f>
        <v/>
      </c>
      <c r="X67">
        <f>HYPERLINK("https://klasma.github.io/Logging_2409/kartor/A 34007-2025 karta.png", "A 34007-2025")</f>
        <v/>
      </c>
      <c r="Y67">
        <f>HYPERLINK("https://klasma.github.io/Logging_2409/kartor_geotiff/A 34007-2025 georefererad karta.tif", "A 34007-2025")</f>
        <v/>
      </c>
      <c r="AA67">
        <f>HYPERLINK("https://klasma.github.io/Logging_2409/klagomål/A 34007-2025 FSC-klagomål.docx", "A 34007-2025")</f>
        <v/>
      </c>
      <c r="AB67">
        <f>HYPERLINK("https://klasma.github.io/Logging_2409/klagomålsmail/A 34007-2025 FSC-klagomål mail.docx", "A 34007-2025")</f>
        <v/>
      </c>
      <c r="AC67">
        <f>HYPERLINK("https://klasma.github.io/Logging_2409/tillsyn/A 34007-2025 tillsynsbegäran.docx", "A 34007-2025")</f>
        <v/>
      </c>
      <c r="AD67">
        <f>HYPERLINK("https://klasma.github.io/Logging_2409/tillsynsmail/A 34007-2025 tillsynsbegäran mail.docx", "A 34007-2025")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46313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46313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46313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46313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46313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46313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46313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46313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46313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46313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46313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46313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46313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46313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46313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46313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46313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46313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46313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46313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46313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46313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46313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46313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46313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46313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46313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46313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46313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46313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46313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46313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46313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46313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46313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46313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46313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46313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46313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44641</v>
      </c>
      <c r="E108" s="1" t="n">
        <v>46313</v>
      </c>
      <c r="F108" t="inlineStr">
        <is>
          <t>VÄSTERBOTTENS LÄN</t>
        </is>
      </c>
      <c r="G108" t="inlineStr">
        <is>
          <t>ROBERTSFORS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46313</v>
      </c>
      <c r="F109" t="inlineStr">
        <is>
          <t>VÄSTERBOTTENS LÄN</t>
        </is>
      </c>
      <c r="G109" t="inlineStr">
        <is>
          <t>ROBERTSFORS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46313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46313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46313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46313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46313</v>
      </c>
      <c r="F114" t="inlineStr">
        <is>
          <t>VÄSTERBOTTENS LÄN</t>
        </is>
      </c>
      <c r="G114" t="inlineStr">
        <is>
          <t>ROBERTSFORS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46313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46313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46313</v>
      </c>
      <c r="F117" t="inlineStr">
        <is>
          <t>VÄSTERBOTTENS LÄN</t>
        </is>
      </c>
      <c r="G117" t="inlineStr">
        <is>
          <t>ROBERTSFORS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46313</v>
      </c>
      <c r="F118" t="inlineStr">
        <is>
          <t>VÄSTERBOTTENS LÄN</t>
        </is>
      </c>
      <c r="G118" t="inlineStr">
        <is>
          <t>ROBERTSFORS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45033</v>
      </c>
      <c r="E119" s="1" t="n">
        <v>46313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46313</v>
      </c>
      <c r="F120" t="inlineStr">
        <is>
          <t>VÄSTERBOTTENS LÄN</t>
        </is>
      </c>
      <c r="G120" t="inlineStr">
        <is>
          <t>ROBERTSFORS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46313</v>
      </c>
      <c r="F121" t="inlineStr">
        <is>
          <t>VÄSTERBOTTENS LÄN</t>
        </is>
      </c>
      <c r="G121" t="inlineStr">
        <is>
          <t>ROBERTSFORS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46313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46313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46313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46313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46313</v>
      </c>
      <c r="F126" t="inlineStr">
        <is>
          <t>VÄSTERBOTTENS LÄN</t>
        </is>
      </c>
      <c r="G126" t="inlineStr">
        <is>
          <t>ROBERTSFORS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45197</v>
      </c>
      <c r="E127" s="1" t="n">
        <v>46313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46313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46313</v>
      </c>
      <c r="F129" t="inlineStr">
        <is>
          <t>VÄSTERBOTTENS LÄN</t>
        </is>
      </c>
      <c r="G129" t="inlineStr">
        <is>
          <t>ROBERTSFORS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46313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46313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45019</v>
      </c>
      <c r="E132" s="1" t="n">
        <v>46313</v>
      </c>
      <c r="F132" t="inlineStr">
        <is>
          <t>VÄSTERBOTTENS LÄN</t>
        </is>
      </c>
      <c r="G132" t="inlineStr">
        <is>
          <t>ROBERTSFORS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46313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46313</v>
      </c>
      <c r="F134" t="inlineStr">
        <is>
          <t>VÄSTERBOTTENS LÄN</t>
        </is>
      </c>
      <c r="G134" t="inlineStr">
        <is>
          <t>ROBERTSFORS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45496</v>
      </c>
      <c r="E135" s="1" t="n">
        <v>46313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45617</v>
      </c>
      <c r="E136" s="1" t="n">
        <v>46313</v>
      </c>
      <c r="F136" t="inlineStr">
        <is>
          <t>VÄSTERBOTTENS LÄN</t>
        </is>
      </c>
      <c r="G136" t="inlineStr">
        <is>
          <t>ROBERTSFORS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45484</v>
      </c>
      <c r="E137" s="1" t="n">
        <v>46313</v>
      </c>
      <c r="F137" t="inlineStr">
        <is>
          <t>VÄSTERBOTTENS LÄN</t>
        </is>
      </c>
      <c r="G137" t="inlineStr">
        <is>
          <t>ROBERTSFORS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46313</v>
      </c>
      <c r="F138" t="inlineStr">
        <is>
          <t>VÄSTERBOTTENS LÄN</t>
        </is>
      </c>
      <c r="G138" t="inlineStr">
        <is>
          <t>ROBERTSFORS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46313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46313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46313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46313</v>
      </c>
      <c r="F142" t="inlineStr">
        <is>
          <t>VÄSTERBOTTENS LÄN</t>
        </is>
      </c>
      <c r="G142" t="inlineStr">
        <is>
          <t>ROBERTSFORS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46313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46313</v>
      </c>
      <c r="F144" t="inlineStr">
        <is>
          <t>VÄSTERBOTTENS LÄN</t>
        </is>
      </c>
      <c r="G144" t="inlineStr">
        <is>
          <t>ROBERTSFORS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46313</v>
      </c>
      <c r="F145" t="inlineStr">
        <is>
          <t>VÄSTERBOTTENS LÄN</t>
        </is>
      </c>
      <c r="G145" t="inlineStr">
        <is>
          <t>ROBERTSFORS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46313</v>
      </c>
      <c r="F146" t="inlineStr">
        <is>
          <t>VÄSTERBOTTENS LÄN</t>
        </is>
      </c>
      <c r="G146" t="inlineStr">
        <is>
          <t>ROBERTSFORS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46313</v>
      </c>
      <c r="F147" t="inlineStr">
        <is>
          <t>VÄSTERBOTTENS LÄN</t>
        </is>
      </c>
      <c r="G147" t="inlineStr">
        <is>
          <t>ROBERTSFORS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46313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46313</v>
      </c>
      <c r="F149" t="inlineStr">
        <is>
          <t>VÄSTERBOTTENS LÄN</t>
        </is>
      </c>
      <c r="G149" t="inlineStr">
        <is>
          <t>ROBERTSFORS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46313</v>
      </c>
      <c r="F150" t="inlineStr">
        <is>
          <t>VÄSTERBOTTENS LÄN</t>
        </is>
      </c>
      <c r="G150" t="inlineStr">
        <is>
          <t>ROBERTSFORS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44913</v>
      </c>
      <c r="E151" s="1" t="n">
        <v>46313</v>
      </c>
      <c r="F151" t="inlineStr">
        <is>
          <t>VÄSTERBOTTENS LÄN</t>
        </is>
      </c>
      <c r="G151" t="inlineStr">
        <is>
          <t>ROBERTSFORS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45070</v>
      </c>
      <c r="E152" s="1" t="n">
        <v>46313</v>
      </c>
      <c r="F152" t="inlineStr">
        <is>
          <t>VÄSTERBOTTENS LÄN</t>
        </is>
      </c>
      <c r="G152" t="inlineStr">
        <is>
          <t>ROBERTSFORS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46313</v>
      </c>
      <c r="F153" t="inlineStr">
        <is>
          <t>VÄSTERBOTTENS LÄN</t>
        </is>
      </c>
      <c r="G153" t="inlineStr">
        <is>
          <t>ROBERTSFORS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46313</v>
      </c>
      <c r="F154" t="inlineStr">
        <is>
          <t>VÄSTERBOTTENS LÄN</t>
        </is>
      </c>
      <c r="G154" t="inlineStr">
        <is>
          <t>ROBERTSFORS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46313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46313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46313</v>
      </c>
      <c r="F157" t="inlineStr">
        <is>
          <t>VÄSTERBOTTENS LÄN</t>
        </is>
      </c>
      <c r="G157" t="inlineStr">
        <is>
          <t>ROBERTSFORS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45033</v>
      </c>
      <c r="E158" s="1" t="n">
        <v>46313</v>
      </c>
      <c r="F158" t="inlineStr">
        <is>
          <t>VÄSTERBOTTENS LÄN</t>
        </is>
      </c>
      <c r="G158" t="inlineStr">
        <is>
          <t>ROBERTSFORS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46313</v>
      </c>
      <c r="F159" t="inlineStr">
        <is>
          <t>VÄSTERBOTTENS LÄN</t>
        </is>
      </c>
      <c r="G159" t="inlineStr">
        <is>
          <t>ROBERTSFORS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44805</v>
      </c>
      <c r="E160" s="1" t="n">
        <v>46313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46313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46313</v>
      </c>
      <c r="F162" t="inlineStr">
        <is>
          <t>VÄSTERBOTTENS LÄN</t>
        </is>
      </c>
      <c r="G162" t="inlineStr">
        <is>
          <t>ROBERTSFORS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46313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46313</v>
      </c>
      <c r="F164" t="inlineStr">
        <is>
          <t>VÄSTERBOTTENS LÄN</t>
        </is>
      </c>
      <c r="G164" t="inlineStr">
        <is>
          <t>ROBERTSFORS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46313</v>
      </c>
      <c r="F165" t="inlineStr">
        <is>
          <t>VÄSTERBOTTENS LÄN</t>
        </is>
      </c>
      <c r="G165" t="inlineStr">
        <is>
          <t>ROBERTSFORS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46313</v>
      </c>
      <c r="F166" t="inlineStr">
        <is>
          <t>VÄSTERBOTTENS LÄN</t>
        </is>
      </c>
      <c r="G166" t="inlineStr">
        <is>
          <t>ROBERTSFORS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45149</v>
      </c>
      <c r="E167" s="1" t="n">
        <v>46313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45458</v>
      </c>
      <c r="E168" s="1" t="n">
        <v>46313</v>
      </c>
      <c r="F168" t="inlineStr">
        <is>
          <t>VÄSTERBOTTENS LÄN</t>
        </is>
      </c>
      <c r="G168" t="inlineStr">
        <is>
          <t>ROBERTSFORS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45205</v>
      </c>
      <c r="E169" s="1" t="n">
        <v>46313</v>
      </c>
      <c r="F169" t="inlineStr">
        <is>
          <t>VÄSTERBOTTENS LÄN</t>
        </is>
      </c>
      <c r="G169" t="inlineStr">
        <is>
          <t>ROBERTSFORS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46313</v>
      </c>
      <c r="F170" t="inlineStr">
        <is>
          <t>VÄSTERBOTTENS LÄN</t>
        </is>
      </c>
      <c r="G170" t="inlineStr">
        <is>
          <t>ROBERTSFORS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46313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46313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45458</v>
      </c>
      <c r="E173" s="1" t="n">
        <v>46313</v>
      </c>
      <c r="F173" t="inlineStr">
        <is>
          <t>VÄSTERBOTTENS LÄN</t>
        </is>
      </c>
      <c r="G173" t="inlineStr">
        <is>
          <t>ROBERTSFORS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45635</v>
      </c>
      <c r="E174" s="1" t="n">
        <v>46313</v>
      </c>
      <c r="F174" t="inlineStr">
        <is>
          <t>VÄSTERBOTTENS LÄN</t>
        </is>
      </c>
      <c r="G174" t="inlineStr">
        <is>
          <t>ROBERTSFORS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46313</v>
      </c>
      <c r="F175" t="inlineStr">
        <is>
          <t>VÄSTERBOTTENS LÄN</t>
        </is>
      </c>
      <c r="G175" t="inlineStr">
        <is>
          <t>ROBERTSFORS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65771-2021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46313</v>
      </c>
      <c r="F176" t="inlineStr">
        <is>
          <t>VÄSTERBOTTENS LÄN</t>
        </is>
      </c>
      <c r="G176" t="inlineStr">
        <is>
          <t>ROBERTSFORS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45480</v>
      </c>
      <c r="E177" s="1" t="n">
        <v>46313</v>
      </c>
      <c r="F177" t="inlineStr">
        <is>
          <t>VÄSTERBOTTENS LÄN</t>
        </is>
      </c>
      <c r="G177" t="inlineStr">
        <is>
          <t>ROBERTSFORS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46313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45661</v>
      </c>
      <c r="E179" s="1" t="n">
        <v>46313</v>
      </c>
      <c r="F179" t="inlineStr">
        <is>
          <t>VÄSTERBOTTENS LÄN</t>
        </is>
      </c>
      <c r="G179" t="inlineStr">
        <is>
          <t>ROBERTSFORS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46313</v>
      </c>
      <c r="F180" t="inlineStr">
        <is>
          <t>VÄSTERBOTTENS LÄN</t>
        </is>
      </c>
      <c r="G180" t="inlineStr">
        <is>
          <t>ROBERTSFORS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65772-2021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44516</v>
      </c>
      <c r="E181" s="1" t="n">
        <v>46313</v>
      </c>
      <c r="F181" t="inlineStr">
        <is>
          <t>VÄSTERBOTTENS LÄN</t>
        </is>
      </c>
      <c r="G181" t="inlineStr">
        <is>
          <t>ROBERTSFORS</t>
        </is>
      </c>
      <c r="I181" t="n">
        <v>18.2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46313</v>
      </c>
      <c r="F182" t="inlineStr">
        <is>
          <t>VÄSTERBOTTENS LÄN</t>
        </is>
      </c>
      <c r="G182" t="inlineStr">
        <is>
          <t>ROBERTSFORS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46313</v>
      </c>
      <c r="F183" t="inlineStr">
        <is>
          <t>VÄSTERBOTTENS LÄN</t>
        </is>
      </c>
      <c r="G183" t="inlineStr">
        <is>
          <t>ROBERTSFORS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46313</v>
      </c>
      <c r="F184" t="inlineStr">
        <is>
          <t>VÄSTERBOTTENS LÄN</t>
        </is>
      </c>
      <c r="G184" t="inlineStr">
        <is>
          <t>ROBERTSFORS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46313</v>
      </c>
      <c r="F185" t="inlineStr">
        <is>
          <t>VÄSTERBOTTENS LÄN</t>
        </is>
      </c>
      <c r="G185" t="inlineStr">
        <is>
          <t>ROBERTSFORS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46313</v>
      </c>
      <c r="F186" t="inlineStr">
        <is>
          <t>VÄSTERBOTTENS LÄN</t>
        </is>
      </c>
      <c r="G186" t="inlineStr">
        <is>
          <t>ROBERTSFORS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46313</v>
      </c>
      <c r="F187" t="inlineStr">
        <is>
          <t>VÄSTERBOTTENS LÄN</t>
        </is>
      </c>
      <c r="G187" t="inlineStr">
        <is>
          <t>ROBERTSFORS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45653</v>
      </c>
      <c r="E188" s="1" t="n">
        <v>46313</v>
      </c>
      <c r="F188" t="inlineStr">
        <is>
          <t>VÄSTERBOTTENS LÄN</t>
        </is>
      </c>
      <c r="G188" t="inlineStr">
        <is>
          <t>ROBERTSFORS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46313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46313</v>
      </c>
      <c r="F190" t="inlineStr">
        <is>
          <t>VÄSTERBOTTENS LÄN</t>
        </is>
      </c>
      <c r="G190" t="inlineStr">
        <is>
          <t>ROBERTSFORS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46313</v>
      </c>
      <c r="F191" t="inlineStr">
        <is>
          <t>VÄSTERBOTTENS LÄN</t>
        </is>
      </c>
      <c r="G191" t="inlineStr">
        <is>
          <t>ROBERTSFORS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57979-2021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46313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46313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46313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46313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46313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46313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46313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SCA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46313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46313</v>
      </c>
      <c r="F200" t="inlineStr">
        <is>
          <t>VÄSTERBOTTENS LÄN</t>
        </is>
      </c>
      <c r="G200" t="inlineStr">
        <is>
          <t>ROBERTSFORS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46313</v>
      </c>
      <c r="F201" t="inlineStr">
        <is>
          <t>VÄSTERBOTTENS LÄN</t>
        </is>
      </c>
      <c r="G201" t="inlineStr">
        <is>
          <t>ROBERTSFORS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46313</v>
      </c>
      <c r="F202" t="inlineStr">
        <is>
          <t>VÄSTERBOTTENS LÄN</t>
        </is>
      </c>
      <c r="G202" t="inlineStr">
        <is>
          <t>ROBERTSFORS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46313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46313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46313</v>
      </c>
      <c r="F205" t="inlineStr">
        <is>
          <t>VÄSTERBOTTENS LÄN</t>
        </is>
      </c>
      <c r="G205" t="inlineStr">
        <is>
          <t>ROBERTSFORS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46313</v>
      </c>
      <c r="F206" t="inlineStr">
        <is>
          <t>VÄSTERBOTTENS LÄN</t>
        </is>
      </c>
      <c r="G206" t="inlineStr">
        <is>
          <t>ROBERTSFORS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46313</v>
      </c>
      <c r="F207" t="inlineStr">
        <is>
          <t>VÄSTERBOTTENS LÄN</t>
        </is>
      </c>
      <c r="G207" t="inlineStr">
        <is>
          <t>ROBERTSFORS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46313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45335</v>
      </c>
      <c r="E209" s="1" t="n">
        <v>46313</v>
      </c>
      <c r="F209" t="inlineStr">
        <is>
          <t>VÄSTERBOTTENS LÄN</t>
        </is>
      </c>
      <c r="G209" t="inlineStr">
        <is>
          <t>ROBERTSFORS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45671</v>
      </c>
      <c r="E210" s="1" t="n">
        <v>46313</v>
      </c>
      <c r="F210" t="inlineStr">
        <is>
          <t>VÄSTERBOTTENS LÄN</t>
        </is>
      </c>
      <c r="G210" t="inlineStr">
        <is>
          <t>ROBERTSFORS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46313</v>
      </c>
      <c r="F211" t="inlineStr">
        <is>
          <t>VÄSTERBOTTENS LÄN</t>
        </is>
      </c>
      <c r="G211" t="inlineStr">
        <is>
          <t>ROBERTSFORS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46313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46313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46313</v>
      </c>
      <c r="F214" t="inlineStr">
        <is>
          <t>VÄSTERBOTTENS LÄN</t>
        </is>
      </c>
      <c r="G214" t="inlineStr">
        <is>
          <t>ROBERTSFORS</t>
        </is>
      </c>
      <c r="I214" t="n">
        <v>12.7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46313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46313</v>
      </c>
      <c r="F216" t="inlineStr">
        <is>
          <t>VÄSTERBOTTENS LÄN</t>
        </is>
      </c>
      <c r="G216" t="inlineStr">
        <is>
          <t>ROBERTSFORS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44130-2025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45915</v>
      </c>
      <c r="E217" s="1" t="n">
        <v>46313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46313</v>
      </c>
      <c r="F218" t="inlineStr">
        <is>
          <t>VÄSTERBOTTENS LÄN</t>
        </is>
      </c>
      <c r="G218" t="inlineStr">
        <is>
          <t>ROBERTSFORS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46313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45005</v>
      </c>
      <c r="E220" s="1" t="n">
        <v>46313</v>
      </c>
      <c r="F220" t="inlineStr">
        <is>
          <t>VÄSTERBOTTENS LÄN</t>
        </is>
      </c>
      <c r="G220" t="inlineStr">
        <is>
          <t>ROBERTSFORS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46313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46313</v>
      </c>
      <c r="F222" t="inlineStr">
        <is>
          <t>VÄSTERBOTTENS LÄN</t>
        </is>
      </c>
      <c r="G222" t="inlineStr">
        <is>
          <t>ROBERTSFORS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46313</v>
      </c>
      <c r="F223" t="inlineStr">
        <is>
          <t>VÄSTERBOTTENS LÄN</t>
        </is>
      </c>
      <c r="G223" t="inlineStr">
        <is>
          <t>ROBERTSFORS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46313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46313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46168-2025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46313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46313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46313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46313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46313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46313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46313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46313</v>
      </c>
      <c r="F233" t="inlineStr">
        <is>
          <t>VÄSTERBOTTENS LÄN</t>
        </is>
      </c>
      <c r="G233" t="inlineStr">
        <is>
          <t>ROBERTSFORS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46313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46313</v>
      </c>
      <c r="F235" t="inlineStr">
        <is>
          <t>VÄSTERBOTTENS LÄN</t>
        </is>
      </c>
      <c r="G235" t="inlineStr">
        <is>
          <t>ROBERTSFORS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46313</v>
      </c>
      <c r="F236" t="inlineStr">
        <is>
          <t>VÄSTERBOTTENS LÄN</t>
        </is>
      </c>
      <c r="G236" t="inlineStr">
        <is>
          <t>ROBERTSFORS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46313</v>
      </c>
      <c r="F237" t="inlineStr">
        <is>
          <t>VÄSTERBOTTENS LÄN</t>
        </is>
      </c>
      <c r="G237" t="inlineStr">
        <is>
          <t>ROBERTSFORS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46313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46313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45246</v>
      </c>
      <c r="E240" s="1" t="n">
        <v>46313</v>
      </c>
      <c r="F240" t="inlineStr">
        <is>
          <t>VÄSTERBOTTENS LÄN</t>
        </is>
      </c>
      <c r="G240" t="inlineStr">
        <is>
          <t>ROBERTSFORS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46313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46313</v>
      </c>
      <c r="F242" t="inlineStr">
        <is>
          <t>VÄSTERBOTTENS LÄN</t>
        </is>
      </c>
      <c r="G242" t="inlineStr">
        <is>
          <t>ROBERTSFORS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46313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46313</v>
      </c>
      <c r="F244" t="inlineStr">
        <is>
          <t>VÄSTERBOTTENS LÄN</t>
        </is>
      </c>
      <c r="G244" t="inlineStr">
        <is>
          <t>ROBERTSFORS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46313</v>
      </c>
      <c r="F245" t="inlineStr">
        <is>
          <t>VÄSTERBOTTENS LÄN</t>
        </is>
      </c>
      <c r="G245" t="inlineStr">
        <is>
          <t>ROBERTSFORS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46313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45959</v>
      </c>
      <c r="E247" s="1" t="n">
        <v>46313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9135-2024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45357</v>
      </c>
      <c r="E248" s="1" t="n">
        <v>46313</v>
      </c>
      <c r="F248" t="inlineStr">
        <is>
          <t>VÄSTERBOTTENS LÄN</t>
        </is>
      </c>
      <c r="G248" t="inlineStr">
        <is>
          <t>ROBERTSFORS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46313</v>
      </c>
      <c r="F249" t="inlineStr">
        <is>
          <t>VÄSTERBOTTENS LÄN</t>
        </is>
      </c>
      <c r="G249" t="inlineStr">
        <is>
          <t>ROBERTSFORS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46313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46313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46313</v>
      </c>
      <c r="F252" t="inlineStr">
        <is>
          <t>VÄSTERBOTTENS LÄN</t>
        </is>
      </c>
      <c r="G252" t="inlineStr">
        <is>
          <t>ROBERTSFORS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46313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45587</v>
      </c>
      <c r="E254" s="1" t="n">
        <v>46313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46313</v>
      </c>
      <c r="F255" t="inlineStr">
        <is>
          <t>VÄSTERBOTTENS LÄN</t>
        </is>
      </c>
      <c r="G255" t="inlineStr">
        <is>
          <t>ROBERTSFORS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46313</v>
      </c>
      <c r="F256" t="inlineStr">
        <is>
          <t>VÄSTERBOTTENS LÄN</t>
        </is>
      </c>
      <c r="G256" t="inlineStr">
        <is>
          <t>ROBERTSFORS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46313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46313</v>
      </c>
      <c r="F258" t="inlineStr">
        <is>
          <t>VÄSTERBOTTENS LÄN</t>
        </is>
      </c>
      <c r="G258" t="inlineStr">
        <is>
          <t>ROBERTSFORS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46313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46313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46313</v>
      </c>
      <c r="F261" t="inlineStr">
        <is>
          <t>VÄSTERBOTTENS LÄN</t>
        </is>
      </c>
      <c r="G261" t="inlineStr">
        <is>
          <t>ROBERTSFORS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46160</v>
      </c>
      <c r="E262" s="1" t="n">
        <v>46313</v>
      </c>
      <c r="F262" t="inlineStr">
        <is>
          <t>VÄSTERBOTTENS LÄN</t>
        </is>
      </c>
      <c r="G262" t="inlineStr">
        <is>
          <t>ROBERTSFORS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45013</v>
      </c>
      <c r="E263" s="1" t="n">
        <v>46313</v>
      </c>
      <c r="F263" t="inlineStr">
        <is>
          <t>VÄSTERBOTTENS LÄN</t>
        </is>
      </c>
      <c r="G263" t="inlineStr">
        <is>
          <t>ROBERTSFORS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46313</v>
      </c>
      <c r="F264" t="inlineStr">
        <is>
          <t>VÄSTERBOTTENS LÄN</t>
        </is>
      </c>
      <c r="G264" t="inlineStr">
        <is>
          <t>ROBERTSFORS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46313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45042</v>
      </c>
      <c r="E266" s="1" t="n">
        <v>46313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46313</v>
      </c>
      <c r="F267" t="inlineStr">
        <is>
          <t>VÄSTERBOTTENS LÄN</t>
        </is>
      </c>
      <c r="G267" t="inlineStr">
        <is>
          <t>ROBERTSFORS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46313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46313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46313</v>
      </c>
      <c r="F270" t="inlineStr">
        <is>
          <t>VÄSTERBOTTENS LÄN</t>
        </is>
      </c>
      <c r="G270" t="inlineStr">
        <is>
          <t>ROBERTSFORS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46313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46313</v>
      </c>
      <c r="F272" t="inlineStr">
        <is>
          <t>VÄSTERBOTTENS LÄN</t>
        </is>
      </c>
      <c r="G272" t="inlineStr">
        <is>
          <t>ROBERTSFORS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46313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46313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44936</v>
      </c>
      <c r="E275" s="1" t="n">
        <v>46313</v>
      </c>
      <c r="F275" t="inlineStr">
        <is>
          <t>VÄSTERBOTTENS LÄN</t>
        </is>
      </c>
      <c r="G275" t="inlineStr">
        <is>
          <t>ROBERTSFORS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44734</v>
      </c>
      <c r="E276" s="1" t="n">
        <v>46313</v>
      </c>
      <c r="F276" t="inlineStr">
        <is>
          <t>VÄSTERBOTTENS LÄN</t>
        </is>
      </c>
      <c r="G276" t="inlineStr">
        <is>
          <t>ROBERTSFORS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46313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46313</v>
      </c>
      <c r="F278" t="inlineStr">
        <is>
          <t>VÄSTERBOTTENS LÄN</t>
        </is>
      </c>
      <c r="G278" t="inlineStr">
        <is>
          <t>ROBERTSFORS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46313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45020</v>
      </c>
      <c r="E280" s="1" t="n">
        <v>46313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45996</v>
      </c>
      <c r="E281" s="1" t="n">
        <v>46313</v>
      </c>
      <c r="F281" t="inlineStr">
        <is>
          <t>VÄSTERBOTTENS LÄN</t>
        </is>
      </c>
      <c r="G281" t="inlineStr">
        <is>
          <t>ROBERTSFORS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46313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24647-2026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46171</v>
      </c>
      <c r="E283" s="1" t="n">
        <v>46313</v>
      </c>
      <c r="F283" t="inlineStr">
        <is>
          <t>VÄSTERBOTTENS LÄN</t>
        </is>
      </c>
      <c r="G283" t="inlineStr">
        <is>
          <t>ROBERTSFORS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46313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46313</v>
      </c>
      <c r="F285" t="inlineStr">
        <is>
          <t>VÄSTERBOTTENS LÄN</t>
        </is>
      </c>
      <c r="G285" t="inlineStr">
        <is>
          <t>ROBERTSFORS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46313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46313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45386</v>
      </c>
      <c r="E288" s="1" t="n">
        <v>46313</v>
      </c>
      <c r="F288" t="inlineStr">
        <is>
          <t>VÄSTERBOTTENS LÄN</t>
        </is>
      </c>
      <c r="G288" t="inlineStr">
        <is>
          <t>ROBERTSFORS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46313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46313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46313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46313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45404</v>
      </c>
      <c r="E293" s="1" t="n">
        <v>46313</v>
      </c>
      <c r="F293" t="inlineStr">
        <is>
          <t>VÄSTERBOTTENS LÄN</t>
        </is>
      </c>
      <c r="G293" t="inlineStr">
        <is>
          <t>ROBERTSFORS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46313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46313</v>
      </c>
      <c r="F295" t="inlineStr">
        <is>
          <t>VÄSTERBOTTENS LÄN</t>
        </is>
      </c>
      <c r="G295" t="inlineStr">
        <is>
          <t>ROBERTSFORS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46313</v>
      </c>
      <c r="F296" t="inlineStr">
        <is>
          <t>VÄSTERBOTTENS LÄN</t>
        </is>
      </c>
      <c r="G296" t="inlineStr">
        <is>
          <t>ROBERTSFORS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45475</v>
      </c>
      <c r="E297" s="1" t="n">
        <v>46313</v>
      </c>
      <c r="F297" t="inlineStr">
        <is>
          <t>VÄSTERBOTTENS LÄN</t>
        </is>
      </c>
      <c r="G297" t="inlineStr">
        <is>
          <t>ROBERTSFORS</t>
        </is>
      </c>
      <c r="I297" t="n">
        <v>10.5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46313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45635</v>
      </c>
      <c r="E299" s="1" t="n">
        <v>46313</v>
      </c>
      <c r="F299" t="inlineStr">
        <is>
          <t>VÄSTERBOTTENS LÄN</t>
        </is>
      </c>
      <c r="G299" t="inlineStr">
        <is>
          <t>ROBERTSFORS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45458</v>
      </c>
      <c r="E300" s="1" t="n">
        <v>46313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46313</v>
      </c>
      <c r="F301" t="inlineStr">
        <is>
          <t>VÄSTERBOTTENS LÄN</t>
        </is>
      </c>
      <c r="G301" t="inlineStr">
        <is>
          <t>ROBERTSFORS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46313</v>
      </c>
      <c r="F302" t="inlineStr">
        <is>
          <t>VÄSTERBOTTENS LÄN</t>
        </is>
      </c>
      <c r="G302" t="inlineStr">
        <is>
          <t>ROBERTSFORS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46313</v>
      </c>
      <c r="F303" t="inlineStr">
        <is>
          <t>VÄSTERBOTTENS LÄN</t>
        </is>
      </c>
      <c r="G303" t="inlineStr">
        <is>
          <t>ROBERTSFORS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46313</v>
      </c>
      <c r="F304" t="inlineStr">
        <is>
          <t>VÄSTERBOTTENS LÄN</t>
        </is>
      </c>
      <c r="G304" t="inlineStr">
        <is>
          <t>ROBERTSFORS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46313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46313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46313</v>
      </c>
      <c r="F307" t="inlineStr">
        <is>
          <t>VÄSTERBOTTENS LÄN</t>
        </is>
      </c>
      <c r="G307" t="inlineStr">
        <is>
          <t>ROBERTSFORS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46313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46313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46313</v>
      </c>
      <c r="F310" t="inlineStr">
        <is>
          <t>VÄSTERBOTTENS LÄN</t>
        </is>
      </c>
      <c r="G310" t="inlineStr">
        <is>
          <t>ROBERTSFORS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46313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46313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46313</v>
      </c>
      <c r="F313" t="inlineStr">
        <is>
          <t>VÄSTERBOTTENS LÄN</t>
        </is>
      </c>
      <c r="G313" t="inlineStr">
        <is>
          <t>ROBERTSFORS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46313</v>
      </c>
      <c r="F314" t="inlineStr">
        <is>
          <t>VÄSTERBOTTENS LÄN</t>
        </is>
      </c>
      <c r="G314" t="inlineStr">
        <is>
          <t>ROBERTSFORS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46313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46313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46313</v>
      </c>
      <c r="F317" t="inlineStr">
        <is>
          <t>VÄSTERBOTTENS LÄN</t>
        </is>
      </c>
      <c r="G317" t="inlineStr">
        <is>
          <t>ROBERTSFORS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46313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46313</v>
      </c>
      <c r="F319" t="inlineStr">
        <is>
          <t>VÄSTERBOTTENS LÄN</t>
        </is>
      </c>
      <c r="G319" t="inlineStr">
        <is>
          <t>ROBERTSFORS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46313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45307</v>
      </c>
      <c r="E321" s="1" t="n">
        <v>46313</v>
      </c>
      <c r="F321" t="inlineStr">
        <is>
          <t>VÄSTERBOTTENS LÄN</t>
        </is>
      </c>
      <c r="G321" t="inlineStr">
        <is>
          <t>ROBERTSFORS</t>
        </is>
      </c>
      <c r="I321" t="n">
        <v>12.1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46313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46313</v>
      </c>
      <c r="F323" t="inlineStr">
        <is>
          <t>VÄSTERBOTTENS LÄN</t>
        </is>
      </c>
      <c r="G323" t="inlineStr">
        <is>
          <t>ROBERTSFORS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46313</v>
      </c>
      <c r="F324" t="inlineStr">
        <is>
          <t>VÄSTERBOTTENS LÄN</t>
        </is>
      </c>
      <c r="G324" t="inlineStr">
        <is>
          <t>ROBERTSFORS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46313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46313</v>
      </c>
      <c r="F326" t="inlineStr">
        <is>
          <t>VÄSTERBOTTENS LÄN</t>
        </is>
      </c>
      <c r="G326" t="inlineStr">
        <is>
          <t>ROBERTSFORS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46313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46313</v>
      </c>
      <c r="F328" t="inlineStr">
        <is>
          <t>VÄSTERBOTTENS LÄN</t>
        </is>
      </c>
      <c r="G328" t="inlineStr">
        <is>
          <t>ROBERTSFORS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46313</v>
      </c>
      <c r="F329" t="inlineStr">
        <is>
          <t>VÄSTERBOTTENS LÄN</t>
        </is>
      </c>
      <c r="G329" t="inlineStr">
        <is>
          <t>ROBERTSFORS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46313</v>
      </c>
      <c r="F330" t="inlineStr">
        <is>
          <t>VÄSTERBOTTENS LÄN</t>
        </is>
      </c>
      <c r="G330" t="inlineStr">
        <is>
          <t>ROBERTSFORS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46185</v>
      </c>
      <c r="E331" s="1" t="n">
        <v>46313</v>
      </c>
      <c r="F331" t="inlineStr">
        <is>
          <t>VÄSTERBOTTENS LÄN</t>
        </is>
      </c>
      <c r="G331" t="inlineStr">
        <is>
          <t>ROBERTSFORS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46313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46313</v>
      </c>
      <c r="F333" t="inlineStr">
        <is>
          <t>VÄSTERBOTTENS LÄN</t>
        </is>
      </c>
      <c r="G333" t="inlineStr">
        <is>
          <t>ROBERTSFORS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46313</v>
      </c>
      <c r="F334" t="inlineStr">
        <is>
          <t>VÄSTERBOTTENS LÄN</t>
        </is>
      </c>
      <c r="G334" t="inlineStr">
        <is>
          <t>ROBERTSFORS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46313</v>
      </c>
      <c r="F335" t="inlineStr">
        <is>
          <t>VÄSTERBOTTENS LÄN</t>
        </is>
      </c>
      <c r="G335" t="inlineStr">
        <is>
          <t>ROBERTSFORS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46313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46313</v>
      </c>
      <c r="F337" t="inlineStr">
        <is>
          <t>VÄSTERBOTTENS LÄN</t>
        </is>
      </c>
      <c r="G337" t="inlineStr">
        <is>
          <t>ROBERTSFORS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46313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46313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46313</v>
      </c>
      <c r="F340" t="inlineStr">
        <is>
          <t>VÄSTERBOTTENS LÄN</t>
        </is>
      </c>
      <c r="G340" t="inlineStr">
        <is>
          <t>ROBERTSFORS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46313</v>
      </c>
      <c r="F341" t="inlineStr">
        <is>
          <t>VÄSTERBOTTENS LÄN</t>
        </is>
      </c>
      <c r="G341" t="inlineStr">
        <is>
          <t>ROBERTSFORS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46313</v>
      </c>
      <c r="F342" t="inlineStr">
        <is>
          <t>VÄSTERBOTTENS LÄN</t>
        </is>
      </c>
      <c r="G342" t="inlineStr">
        <is>
          <t>ROBERTSFORS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46313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46313</v>
      </c>
      <c r="F344" t="inlineStr">
        <is>
          <t>VÄSTERBOTTENS LÄN</t>
        </is>
      </c>
      <c r="G344" t="inlineStr">
        <is>
          <t>ROBERTSFORS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46313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46313</v>
      </c>
      <c r="F346" t="inlineStr">
        <is>
          <t>VÄSTERBOTTENS LÄN</t>
        </is>
      </c>
      <c r="G346" t="inlineStr">
        <is>
          <t>ROBERTSFORS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46313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46313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46313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45620</v>
      </c>
      <c r="E350" s="1" t="n">
        <v>46313</v>
      </c>
      <c r="F350" t="inlineStr">
        <is>
          <t>VÄSTERBOTTENS LÄN</t>
        </is>
      </c>
      <c r="G350" t="inlineStr">
        <is>
          <t>ROBERTSFORS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44580</v>
      </c>
      <c r="E351" s="1" t="n">
        <v>46313</v>
      </c>
      <c r="F351" t="inlineStr">
        <is>
          <t>VÄSTERBOTTENS LÄN</t>
        </is>
      </c>
      <c r="G351" t="inlineStr">
        <is>
          <t>ROBERTSFORS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46313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46313</v>
      </c>
      <c r="F353" t="inlineStr">
        <is>
          <t>VÄSTERBOTTENS LÄN</t>
        </is>
      </c>
      <c r="G353" t="inlineStr">
        <is>
          <t>ROBERTSFORS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46313</v>
      </c>
      <c r="F354" t="inlineStr">
        <is>
          <t>VÄSTERBOTTENS LÄN</t>
        </is>
      </c>
      <c r="G354" t="inlineStr">
        <is>
          <t>ROBERTSFORS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45432</v>
      </c>
      <c r="E355" s="1" t="n">
        <v>46313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46313</v>
      </c>
      <c r="F356" t="inlineStr">
        <is>
          <t>VÄSTERBOTTENS LÄN</t>
        </is>
      </c>
      <c r="G356" t="inlineStr">
        <is>
          <t>ROBERTSFORS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46313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46313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46313</v>
      </c>
      <c r="F359" t="inlineStr">
        <is>
          <t>VÄSTERBOTTENS LÄN</t>
        </is>
      </c>
      <c r="G359" t="inlineStr">
        <is>
          <t>ROBERTSFORS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46313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46313</v>
      </c>
      <c r="F361" t="inlineStr">
        <is>
          <t>VÄSTERBOTTENS LÄN</t>
        </is>
      </c>
      <c r="G361" t="inlineStr">
        <is>
          <t>ROBERTSFORS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44876</v>
      </c>
      <c r="E362" s="1" t="n">
        <v>46313</v>
      </c>
      <c r="F362" t="inlineStr">
        <is>
          <t>VÄSTERBOTTENS LÄN</t>
        </is>
      </c>
      <c r="G362" t="inlineStr">
        <is>
          <t>ROBERTSFORS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46313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46313</v>
      </c>
      <c r="F364" t="inlineStr">
        <is>
          <t>VÄSTERBOTTENS LÄN</t>
        </is>
      </c>
      <c r="G364" t="inlineStr">
        <is>
          <t>ROBERTSFORS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45029</v>
      </c>
      <c r="E365" s="1" t="n">
        <v>46313</v>
      </c>
      <c r="F365" t="inlineStr">
        <is>
          <t>VÄSTERBOTTENS LÄN</t>
        </is>
      </c>
      <c r="G365" t="inlineStr">
        <is>
          <t>ROBERTSFORS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46313</v>
      </c>
      <c r="F366" t="inlineStr">
        <is>
          <t>VÄSTERBOTTENS LÄN</t>
        </is>
      </c>
      <c r="G366" t="inlineStr">
        <is>
          <t>ROBERTSFORS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46313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46313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46313</v>
      </c>
      <c r="F369" t="inlineStr">
        <is>
          <t>VÄSTERBOTTENS LÄN</t>
        </is>
      </c>
      <c r="G369" t="inlineStr">
        <is>
          <t>ROBERTSFORS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46313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46313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45565</v>
      </c>
      <c r="E372" s="1" t="n">
        <v>46313</v>
      </c>
      <c r="F372" t="inlineStr">
        <is>
          <t>VÄSTERBOTTENS LÄN</t>
        </is>
      </c>
      <c r="G372" t="inlineStr">
        <is>
          <t>ROBERTSFORS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46313</v>
      </c>
      <c r="F373" t="inlineStr">
        <is>
          <t>VÄSTERBOTTENS LÄN</t>
        </is>
      </c>
      <c r="G373" t="inlineStr">
        <is>
          <t>ROBERTSFORS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45627</v>
      </c>
      <c r="E374" s="1" t="n">
        <v>46313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46313</v>
      </c>
      <c r="F375" t="inlineStr">
        <is>
          <t>VÄSTERBOTTENS LÄN</t>
        </is>
      </c>
      <c r="G375" t="inlineStr">
        <is>
          <t>ROBERTSFORS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46313</v>
      </c>
      <c r="F376" t="inlineStr">
        <is>
          <t>VÄSTERBOTTENS LÄN</t>
        </is>
      </c>
      <c r="G376" t="inlineStr">
        <is>
          <t>ROBERTSFORS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46135</v>
      </c>
      <c r="E377" s="1" t="n">
        <v>46313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46313</v>
      </c>
      <c r="F378" t="inlineStr">
        <is>
          <t>VÄSTERBOTTENS LÄN</t>
        </is>
      </c>
      <c r="G378" t="inlineStr">
        <is>
          <t>ROBERTSFORS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46313</v>
      </c>
      <c r="F379" t="inlineStr">
        <is>
          <t>VÄSTERBOTTENS LÄN</t>
        </is>
      </c>
      <c r="G379" t="inlineStr">
        <is>
          <t>ROBERTSFORS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45502</v>
      </c>
      <c r="E380" s="1" t="n">
        <v>46313</v>
      </c>
      <c r="F380" t="inlineStr">
        <is>
          <t>VÄSTERBOTTENS LÄN</t>
        </is>
      </c>
      <c r="G380" t="inlineStr">
        <is>
          <t>ROBERTSFORS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46313</v>
      </c>
      <c r="F381" t="inlineStr">
        <is>
          <t>VÄSTERBOTTENS LÄN</t>
        </is>
      </c>
      <c r="G381" t="inlineStr">
        <is>
          <t>ROBERTSFORS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58426-2022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44901</v>
      </c>
      <c r="E382" s="1" t="n">
        <v>46313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46313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46313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46313</v>
      </c>
      <c r="F385" t="inlineStr">
        <is>
          <t>VÄSTERBOTTENS LÄN</t>
        </is>
      </c>
      <c r="G385" t="inlineStr">
        <is>
          <t>ROBERTSFORS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46313</v>
      </c>
      <c r="F386" t="inlineStr">
        <is>
          <t>VÄSTERBOTTENS LÄN</t>
        </is>
      </c>
      <c r="G386" t="inlineStr">
        <is>
          <t>ROBERTSFORS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46313</v>
      </c>
      <c r="F387" t="inlineStr">
        <is>
          <t>VÄSTERBOTTENS LÄN</t>
        </is>
      </c>
      <c r="G387" t="inlineStr">
        <is>
          <t>ROBERTSFORS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46313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46313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46313</v>
      </c>
      <c r="F390" t="inlineStr">
        <is>
          <t>VÄSTERBOTTENS LÄN</t>
        </is>
      </c>
      <c r="G390" t="inlineStr">
        <is>
          <t>ROBERTSFORS</t>
        </is>
      </c>
      <c r="I390" t="n">
        <v>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44571</v>
      </c>
      <c r="E391" s="1" t="n">
        <v>46313</v>
      </c>
      <c r="F391" t="inlineStr">
        <is>
          <t>VÄSTERBOTTENS LÄN</t>
        </is>
      </c>
      <c r="G391" t="inlineStr">
        <is>
          <t>ROBERTSFORS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44895</v>
      </c>
      <c r="E392" s="1" t="n">
        <v>46313</v>
      </c>
      <c r="F392" t="inlineStr">
        <is>
          <t>VÄSTERBOTTENS LÄN</t>
        </is>
      </c>
      <c r="G392" t="inlineStr">
        <is>
          <t>ROBERTSFORS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46313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45545</v>
      </c>
      <c r="E394" s="1" t="n">
        <v>46313</v>
      </c>
      <c r="F394" t="inlineStr">
        <is>
          <t>VÄSTERBOTTENS LÄN</t>
        </is>
      </c>
      <c r="G394" t="inlineStr">
        <is>
          <t>ROBERTSFORS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46313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46313</v>
      </c>
      <c r="F396" t="inlineStr">
        <is>
          <t>VÄSTERBOTTENS LÄN</t>
        </is>
      </c>
      <c r="G396" t="inlineStr">
        <is>
          <t>ROBERTSFORS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46313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30733-2024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46313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10173-2022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44622</v>
      </c>
      <c r="E399" s="1" t="n">
        <v>46313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25572-2023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45082</v>
      </c>
      <c r="E400" s="1" t="n">
        <v>46313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46313</v>
      </c>
      <c r="F401" t="inlineStr">
        <is>
          <t>VÄSTERBOTTENS LÄN</t>
        </is>
      </c>
      <c r="G401" t="inlineStr">
        <is>
          <t>ROBERTSFORS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46313</v>
      </c>
      <c r="F402" t="inlineStr">
        <is>
          <t>VÄSTERBOTTENS LÄN</t>
        </is>
      </c>
      <c r="G402" t="inlineStr">
        <is>
          <t>ROBERTSFORS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46313</v>
      </c>
      <c r="F403" t="inlineStr">
        <is>
          <t>VÄSTERBOTTENS LÄN</t>
        </is>
      </c>
      <c r="G403" t="inlineStr">
        <is>
          <t>ROBERTSFORS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46313</v>
      </c>
      <c r="F404" t="inlineStr">
        <is>
          <t>VÄSTERBOTTENS LÄN</t>
        </is>
      </c>
      <c r="G404" t="inlineStr">
        <is>
          <t>ROBERTSFORS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44952</v>
      </c>
      <c r="E405" s="1" t="n">
        <v>46313</v>
      </c>
      <c r="F405" t="inlineStr">
        <is>
          <t>VÄSTERBOTTENS LÄN</t>
        </is>
      </c>
      <c r="G405" t="inlineStr">
        <is>
          <t>ROBERTSFORS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46313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46313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46313</v>
      </c>
      <c r="F408" t="inlineStr">
        <is>
          <t>VÄSTERBOTTENS LÄN</t>
        </is>
      </c>
      <c r="G408" t="inlineStr">
        <is>
          <t>ROBERTSFORS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46273</v>
      </c>
      <c r="E409" s="1" t="n">
        <v>46313</v>
      </c>
      <c r="F409" t="inlineStr">
        <is>
          <t>VÄSTERBOTTENS LÄN</t>
        </is>
      </c>
      <c r="G409" t="inlineStr">
        <is>
          <t>ROBERTSFORS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46313</v>
      </c>
      <c r="F410" t="inlineStr">
        <is>
          <t>VÄSTERBOTTENS LÄN</t>
        </is>
      </c>
      <c r="G410" t="inlineStr">
        <is>
          <t>ROBERTSFORS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46313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46313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46313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46276</v>
      </c>
      <c r="E414" s="1" t="n">
        <v>46313</v>
      </c>
      <c r="F414" t="inlineStr">
        <is>
          <t>VÄSTERBOTTENS LÄN</t>
        </is>
      </c>
      <c r="G414" t="inlineStr">
        <is>
          <t>ROBERTSFORS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46313</v>
      </c>
      <c r="F415" t="inlineStr">
        <is>
          <t>VÄSTERBOTTENS LÄN</t>
        </is>
      </c>
      <c r="G415" t="inlineStr">
        <is>
          <t>ROBERTSFORS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46313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46313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45659</v>
      </c>
      <c r="E418" s="1" t="n">
        <v>46313</v>
      </c>
      <c r="F418" t="inlineStr">
        <is>
          <t>VÄSTERBOTTENS LÄN</t>
        </is>
      </c>
      <c r="G418" t="inlineStr">
        <is>
          <t>ROBERTSFORS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46313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46276</v>
      </c>
      <c r="E420" s="1" t="n">
        <v>46313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46313</v>
      </c>
      <c r="F421" t="inlineStr">
        <is>
          <t>VÄSTERBOTTENS LÄN</t>
        </is>
      </c>
      <c r="G421" t="inlineStr">
        <is>
          <t>ROBERTSFORS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46313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46313</v>
      </c>
      <c r="F423" t="inlineStr">
        <is>
          <t>VÄSTERBOTTENS LÄN</t>
        </is>
      </c>
      <c r="G423" t="inlineStr">
        <is>
          <t>ROBERTSFORS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46280</v>
      </c>
      <c r="E424" s="1" t="n">
        <v>46313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46239</v>
      </c>
      <c r="E425" s="1" t="n">
        <v>46313</v>
      </c>
      <c r="F425" t="inlineStr">
        <is>
          <t>VÄSTERBOTTENS LÄN</t>
        </is>
      </c>
      <c r="G425" t="inlineStr">
        <is>
          <t>ROBERTSFORS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46313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46240</v>
      </c>
      <c r="E427" s="1" t="n">
        <v>46313</v>
      </c>
      <c r="F427" t="inlineStr">
        <is>
          <t>VÄSTERBOTTENS LÄN</t>
        </is>
      </c>
      <c r="G427" t="inlineStr">
        <is>
          <t>ROBERTSFORS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46313</v>
      </c>
      <c r="F428" t="inlineStr">
        <is>
          <t>VÄSTERBOTTENS LÄN</t>
        </is>
      </c>
      <c r="G428" t="inlineStr">
        <is>
          <t>ROBERTSFORS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46313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46282</v>
      </c>
      <c r="E430" s="1" t="n">
        <v>46313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46313</v>
      </c>
      <c r="F431" t="inlineStr">
        <is>
          <t>VÄSTERBOTTENS LÄN</t>
        </is>
      </c>
      <c r="G431" t="inlineStr">
        <is>
          <t>ROBERTSFORS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46313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45135</v>
      </c>
      <c r="E433" s="1" t="n">
        <v>46313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46282</v>
      </c>
      <c r="E434" s="1" t="n">
        <v>46313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46313</v>
      </c>
      <c r="F435" t="inlineStr">
        <is>
          <t>VÄSTERBOTTENS LÄN</t>
        </is>
      </c>
      <c r="G435" t="inlineStr">
        <is>
          <t>ROBERTSFORS</t>
        </is>
      </c>
      <c r="I435" t="n">
        <v>11.3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38519-2026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46283</v>
      </c>
      <c r="E436" s="1" t="n">
        <v>46313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46313</v>
      </c>
      <c r="F437" t="inlineStr">
        <is>
          <t>VÄSTERBOTTENS LÄN</t>
        </is>
      </c>
      <c r="G437" t="inlineStr">
        <is>
          <t>ROBERTSFORS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46313</v>
      </c>
      <c r="F438" t="inlineStr">
        <is>
          <t>VÄSTERBOTTENS LÄN</t>
        </is>
      </c>
      <c r="G438" t="inlineStr">
        <is>
          <t>ROBERTSFORS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46313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46313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46313</v>
      </c>
      <c r="F441" t="inlineStr">
        <is>
          <t>VÄSTERBOTTENS LÄN</t>
        </is>
      </c>
      <c r="G441" t="inlineStr">
        <is>
          <t>ROBERTSFORS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46313</v>
      </c>
      <c r="F442" t="inlineStr">
        <is>
          <t>VÄSTERBOTTENS LÄN</t>
        </is>
      </c>
      <c r="G442" t="inlineStr">
        <is>
          <t>ROBERTSFORS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46313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46313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44683</v>
      </c>
      <c r="E445" s="1" t="n">
        <v>46313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45530</v>
      </c>
      <c r="E446" s="1" t="n">
        <v>46313</v>
      </c>
      <c r="F446" t="inlineStr">
        <is>
          <t>VÄSTERBOTTENS LÄN</t>
        </is>
      </c>
      <c r="G446" t="inlineStr">
        <is>
          <t>ROBERTSFORS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46313</v>
      </c>
      <c r="F447" t="inlineStr">
        <is>
          <t>VÄSTERBOTTENS LÄN</t>
        </is>
      </c>
      <c r="G447" t="inlineStr">
        <is>
          <t>ROBERTSFORS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46313</v>
      </c>
      <c r="F448" t="inlineStr">
        <is>
          <t>VÄSTERBOTTENS LÄN</t>
        </is>
      </c>
      <c r="G448" t="inlineStr">
        <is>
          <t>ROBERTSFORS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46313</v>
      </c>
      <c r="F449" t="inlineStr">
        <is>
          <t>VÄSTERBOTTENS LÄN</t>
        </is>
      </c>
      <c r="G449" t="inlineStr">
        <is>
          <t>ROBERTSFORS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46289</v>
      </c>
      <c r="E450" s="1" t="n">
        <v>46313</v>
      </c>
      <c r="F450" t="inlineStr">
        <is>
          <t>VÄSTERBOTTENS LÄN</t>
        </is>
      </c>
      <c r="G450" t="inlineStr">
        <is>
          <t>ROBERTSFORS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46289</v>
      </c>
      <c r="E451" s="1" t="n">
        <v>46313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39256-2026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46288</v>
      </c>
      <c r="E452" s="1" t="n">
        <v>46313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46313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46313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45659</v>
      </c>
      <c r="E455" s="1" t="n">
        <v>46313</v>
      </c>
      <c r="F455" t="inlineStr">
        <is>
          <t>VÄSTERBOTTENS LÄN</t>
        </is>
      </c>
      <c r="G455" t="inlineStr">
        <is>
          <t>ROBERTSFORS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46313</v>
      </c>
      <c r="F456" t="inlineStr">
        <is>
          <t>VÄSTERBOTTENS LÄN</t>
        </is>
      </c>
      <c r="G456" t="inlineStr">
        <is>
          <t>ROBERTSFORS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46291</v>
      </c>
      <c r="E457" s="1" t="n">
        <v>46313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46313</v>
      </c>
      <c r="F458" t="inlineStr">
        <is>
          <t>VÄSTERBOTTENS LÄN</t>
        </is>
      </c>
      <c r="G458" t="inlineStr">
        <is>
          <t>ROBERTSFORS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45525</v>
      </c>
      <c r="E459" s="1" t="n">
        <v>46313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46313</v>
      </c>
      <c r="F460" t="inlineStr">
        <is>
          <t>VÄSTERBOTTENS LÄN</t>
        </is>
      </c>
      <c r="G460" t="inlineStr">
        <is>
          <t>ROBERTSFORS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46291</v>
      </c>
      <c r="E461" s="1" t="n">
        <v>46313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46313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46313</v>
      </c>
      <c r="F463" t="inlineStr">
        <is>
          <t>VÄSTERBOTTENS LÄN</t>
        </is>
      </c>
      <c r="G463" t="inlineStr">
        <is>
          <t>ROBERTSFORS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73557-2021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44551</v>
      </c>
      <c r="E464" s="1" t="n">
        <v>46313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46313</v>
      </c>
      <c r="F465" t="inlineStr">
        <is>
          <t>VÄSTERBOTTENS LÄN</t>
        </is>
      </c>
      <c r="G465" t="inlineStr">
        <is>
          <t>ROBERTSFORS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46191</v>
      </c>
      <c r="E466" s="1" t="n">
        <v>46313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46313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46313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46313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46313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46313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46313</v>
      </c>
      <c r="F472" t="inlineStr">
        <is>
          <t>VÄSTERBOTTENS LÄN</t>
        </is>
      </c>
      <c r="G472" t="inlineStr">
        <is>
          <t>ROBERTSFORS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46297</v>
      </c>
      <c r="E473" s="1" t="n">
        <v>46313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45687</v>
      </c>
      <c r="E474" s="1" t="n">
        <v>46313</v>
      </c>
      <c r="F474" t="inlineStr">
        <is>
          <t>VÄSTERBOTTENS LÄN</t>
        </is>
      </c>
      <c r="G474" t="inlineStr">
        <is>
          <t>ROBERTSFORS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41025-2026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46297</v>
      </c>
      <c r="E475" s="1" t="n">
        <v>46313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46297</v>
      </c>
      <c r="E476" s="1" t="n">
        <v>46313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46297</v>
      </c>
      <c r="E477" s="1" t="n">
        <v>46313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46313</v>
      </c>
      <c r="F478" t="inlineStr">
        <is>
          <t>VÄSTERBOTTENS LÄN</t>
        </is>
      </c>
      <c r="G478" t="inlineStr">
        <is>
          <t>ROBERTSFORS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46313</v>
      </c>
      <c r="F479" t="inlineStr">
        <is>
          <t>VÄSTERBOTTENS LÄN</t>
        </is>
      </c>
      <c r="G479" t="inlineStr">
        <is>
          <t>ROBERTSFORS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46313</v>
      </c>
      <c r="F480" t="inlineStr">
        <is>
          <t>VÄSTERBOTTENS LÄN</t>
        </is>
      </c>
      <c r="G480" t="inlineStr">
        <is>
          <t>ROBERTSFORS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46313</v>
      </c>
      <c r="F481" t="inlineStr">
        <is>
          <t>VÄSTERBOTTENS LÄN</t>
        </is>
      </c>
      <c r="G481" t="inlineStr">
        <is>
          <t>ROBERTSFORS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46313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46313</v>
      </c>
      <c r="F483" t="inlineStr">
        <is>
          <t>VÄSTERBOTTENS LÄN</t>
        </is>
      </c>
      <c r="G483" t="inlineStr">
        <is>
          <t>ROBERTSFORS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46313</v>
      </c>
      <c r="F484" t="inlineStr">
        <is>
          <t>VÄSTERBOTTENS LÄN</t>
        </is>
      </c>
      <c r="G484" t="inlineStr">
        <is>
          <t>ROBERTSFORS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46313</v>
      </c>
      <c r="F485" t="inlineStr">
        <is>
          <t>VÄSTERBOTTENS LÄN</t>
        </is>
      </c>
      <c r="G485" t="inlineStr">
        <is>
          <t>ROBERTSFORS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45246</v>
      </c>
      <c r="E486" s="1" t="n">
        <v>46313</v>
      </c>
      <c r="F486" t="inlineStr">
        <is>
          <t>VÄSTERBOTTENS LÄN</t>
        </is>
      </c>
      <c r="G486" t="inlineStr">
        <is>
          <t>ROBERTSFORS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45160</v>
      </c>
      <c r="E487" s="1" t="n">
        <v>46313</v>
      </c>
      <c r="F487" t="inlineStr">
        <is>
          <t>VÄSTERBOTTENS LÄN</t>
        </is>
      </c>
      <c r="G487" t="inlineStr">
        <is>
          <t>ROBERTSFORS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46313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45628</v>
      </c>
      <c r="E489" s="1" t="n">
        <v>46313</v>
      </c>
      <c r="F489" t="inlineStr">
        <is>
          <t>VÄSTERBOTTENS LÄN</t>
        </is>
      </c>
      <c r="G489" t="inlineStr">
        <is>
          <t>ROBERTSFORS</t>
        </is>
      </c>
      <c r="I489" t="n">
        <v>12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46259</v>
      </c>
      <c r="E490" s="1" t="n">
        <v>46313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45495</v>
      </c>
      <c r="E491" s="1" t="n">
        <v>46313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46302</v>
      </c>
      <c r="E492" s="1" t="n">
        <v>46313</v>
      </c>
      <c r="F492" t="inlineStr">
        <is>
          <t>VÄSTERBOTTENS LÄN</t>
        </is>
      </c>
      <c r="G492" t="inlineStr">
        <is>
          <t>ROBERTSFORS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45642</v>
      </c>
      <c r="E493" s="1" t="n">
        <v>46313</v>
      </c>
      <c r="F493" t="inlineStr">
        <is>
          <t>VÄSTERBOTTENS LÄN</t>
        </is>
      </c>
      <c r="G493" t="inlineStr">
        <is>
          <t>ROBERTSFORS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44372-2023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45188</v>
      </c>
      <c r="E494" s="1" t="n">
        <v>46313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46313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46303</v>
      </c>
      <c r="E496" s="1" t="n">
        <v>46313</v>
      </c>
      <c r="F496" t="inlineStr">
        <is>
          <t>VÄSTERBOTTENS LÄN</t>
        </is>
      </c>
      <c r="G496" t="inlineStr">
        <is>
          <t>ROBERTSFORS</t>
        </is>
      </c>
      <c r="I496" t="n">
        <v>10.5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46313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46313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46313</v>
      </c>
      <c r="F499" t="inlineStr">
        <is>
          <t>VÄSTERBOTTENS LÄN</t>
        </is>
      </c>
      <c r="G499" t="inlineStr">
        <is>
          <t>ROBERTSFORS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46261</v>
      </c>
      <c r="E500" s="1" t="n">
        <v>46313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46261</v>
      </c>
      <c r="E501" s="1" t="n">
        <v>46313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45794</v>
      </c>
      <c r="E502" s="1" t="n">
        <v>46313</v>
      </c>
      <c r="F502" t="inlineStr">
        <is>
          <t>VÄSTERBOTTENS LÄN</t>
        </is>
      </c>
      <c r="G502" t="inlineStr">
        <is>
          <t>ROBERTSFORS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45761</v>
      </c>
      <c r="E503" s="1" t="n">
        <v>46313</v>
      </c>
      <c r="F503" t="inlineStr">
        <is>
          <t>VÄSTERBOTTENS LÄN</t>
        </is>
      </c>
      <c r="G503" t="inlineStr">
        <is>
          <t>ROBERTSFORS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45800</v>
      </c>
      <c r="E504" s="1" t="n">
        <v>46313</v>
      </c>
      <c r="F504" t="inlineStr">
        <is>
          <t>VÄSTERBOTTENS LÄN</t>
        </is>
      </c>
      <c r="G504" t="inlineStr">
        <is>
          <t>ROBERTSFORS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46313</v>
      </c>
      <c r="F505" t="inlineStr">
        <is>
          <t>VÄSTERBOTTENS LÄN</t>
        </is>
      </c>
      <c r="G505" t="inlineStr">
        <is>
          <t>ROBERTSFORS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46313</v>
      </c>
      <c r="F506" t="inlineStr">
        <is>
          <t>VÄSTERBOTTENS LÄN</t>
        </is>
      </c>
      <c r="G506" t="inlineStr">
        <is>
          <t>ROBERTSFORS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45803</v>
      </c>
      <c r="E507" s="1" t="n">
        <v>46313</v>
      </c>
      <c r="F507" t="inlineStr">
        <is>
          <t>VÄSTERBOTTENS LÄN</t>
        </is>
      </c>
      <c r="G507" t="inlineStr">
        <is>
          <t>ROBERTSFORS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42658-2026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46308</v>
      </c>
      <c r="E508" s="1" t="n">
        <v>46313</v>
      </c>
      <c r="F508" t="inlineStr">
        <is>
          <t>VÄSTERBOTTENS LÄN</t>
        </is>
      </c>
      <c r="G508" t="inlineStr">
        <is>
          <t>ROBERTSFORS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46313</v>
      </c>
      <c r="F509" t="inlineStr">
        <is>
          <t>VÄSTERBOTTENS LÄN</t>
        </is>
      </c>
      <c r="G509" t="inlineStr">
        <is>
          <t>ROBERTSFORS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46313</v>
      </c>
      <c r="F510" t="inlineStr">
        <is>
          <t>VÄSTERBOTTENS LÄN</t>
        </is>
      </c>
      <c r="G510" t="inlineStr">
        <is>
          <t>ROBERTSFORS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46313</v>
      </c>
      <c r="F511" t="inlineStr">
        <is>
          <t>VÄSTERBOTTENS LÄN</t>
        </is>
      </c>
      <c r="G511" t="inlineStr">
        <is>
          <t>ROBERTSFORS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46313</v>
      </c>
      <c r="F512" t="inlineStr">
        <is>
          <t>VÄSTERBOTTENS LÄN</t>
        </is>
      </c>
      <c r="G512" t="inlineStr">
        <is>
          <t>ROBERTSFORS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46313</v>
      </c>
      <c r="F513" t="inlineStr">
        <is>
          <t>VÄSTERBOTTENS LÄN</t>
        </is>
      </c>
      <c r="G513" t="inlineStr">
        <is>
          <t>ROBERTSFORS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46313</v>
      </c>
      <c r="F514" t="inlineStr">
        <is>
          <t>VÄSTERBOTTENS LÄN</t>
        </is>
      </c>
      <c r="G514" t="inlineStr">
        <is>
          <t>ROBERTSFORS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45813</v>
      </c>
      <c r="E515" s="1" t="n">
        <v>46313</v>
      </c>
      <c r="F515" t="inlineStr">
        <is>
          <t>VÄSTERBOTTENS LÄN</t>
        </is>
      </c>
      <c r="G515" t="inlineStr">
        <is>
          <t>ROBERTSFORS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46313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46313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Sveaskog</t>
        </is>
      </c>
      <c r="I517" t="n">
        <v>13.5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28330-2025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46313</v>
      </c>
      <c r="F518" t="inlineStr">
        <is>
          <t>VÄSTERBOTTENS LÄN</t>
        </is>
      </c>
      <c r="G518" t="inlineStr">
        <is>
          <t>ROBERTSFORS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46313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46313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Sveaskog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46313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46313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Sveaskog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46313</v>
      </c>
      <c r="F523" t="inlineStr">
        <is>
          <t>VÄSTERBOTTENS LÄN</t>
        </is>
      </c>
      <c r="G523" t="inlineStr">
        <is>
          <t>ROBERTSFORS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46313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46313</v>
      </c>
      <c r="F525" t="inlineStr">
        <is>
          <t>VÄSTERBOTTENS LÄN</t>
        </is>
      </c>
      <c r="G525" t="inlineStr">
        <is>
          <t>ROBERTSFORS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46313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46313</v>
      </c>
      <c r="F527" t="inlineStr">
        <is>
          <t>VÄSTERBOTTENS LÄN</t>
        </is>
      </c>
      <c r="G527" t="inlineStr">
        <is>
          <t>ROBERTSFORS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46313</v>
      </c>
      <c r="F528" t="inlineStr">
        <is>
          <t>VÄSTERBOTTENS LÄN</t>
        </is>
      </c>
      <c r="G528" t="inlineStr">
        <is>
          <t>ROBERTSFORS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46313</v>
      </c>
      <c r="F529" t="inlineStr">
        <is>
          <t>VÄSTERBOTTENS LÄN</t>
        </is>
      </c>
      <c r="G529" t="inlineStr">
        <is>
          <t>ROBERTSFORS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46313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46313</v>
      </c>
      <c r="F531" t="inlineStr">
        <is>
          <t>VÄSTERBOTTENS LÄN</t>
        </is>
      </c>
      <c r="G531" t="inlineStr">
        <is>
          <t>ROBERTSFORS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45841</v>
      </c>
      <c r="E532" s="1" t="n">
        <v>46313</v>
      </c>
      <c r="F532" t="inlineStr">
        <is>
          <t>VÄSTERBOTTENS LÄN</t>
        </is>
      </c>
      <c r="G532" t="inlineStr">
        <is>
          <t>ROBERTSFORS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33375-2025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46313</v>
      </c>
      <c r="F533" t="inlineStr">
        <is>
          <t>VÄSTERBOTTENS LÄN</t>
        </is>
      </c>
      <c r="G533" t="inlineStr">
        <is>
          <t>ROBERTSFORS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46313</v>
      </c>
      <c r="F534" t="inlineStr">
        <is>
          <t>VÄSTERBOTTENS LÄN</t>
        </is>
      </c>
      <c r="G534" t="inlineStr">
        <is>
          <t>ROBERTSFORS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46313</v>
      </c>
      <c r="F535" t="inlineStr">
        <is>
          <t>VÄSTERBOTTENS LÄN</t>
        </is>
      </c>
      <c r="G535" t="inlineStr">
        <is>
          <t>ROBERTSFORS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46313</v>
      </c>
      <c r="F536" t="inlineStr">
        <is>
          <t>VÄSTERBOTTENS LÄN</t>
        </is>
      </c>
      <c r="G536" t="inlineStr">
        <is>
          <t>ROBERTSFORS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45789</v>
      </c>
      <c r="E537" s="1" t="n">
        <v>46313</v>
      </c>
      <c r="F537" t="inlineStr">
        <is>
          <t>VÄSTERBOTTENS LÄN</t>
        </is>
      </c>
      <c r="G537" t="inlineStr">
        <is>
          <t>ROBERTSFORS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45870</v>
      </c>
      <c r="E538" s="1" t="n">
        <v>46313</v>
      </c>
      <c r="F538" t="inlineStr">
        <is>
          <t>VÄSTERBOTTENS LÄN</t>
        </is>
      </c>
      <c r="G538" t="inlineStr">
        <is>
          <t>ROBERTSFORS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36818-2025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46313</v>
      </c>
      <c r="F539" t="inlineStr">
        <is>
          <t>VÄSTERBOTTENS LÄN</t>
        </is>
      </c>
      <c r="G539" t="inlineStr">
        <is>
          <t>ROBERTSFORS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46313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46313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46313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46313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46313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46313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46313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46313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2026-10-18T08:05:49Z</dcterms:created>
  <dcterms:modified xmlns:dcterms="http://purl.org/dc/terms/" xmlns:xsi="http://www.w3.org/2001/XMLSchema-instance" xsi:type="dcterms:W3CDTF">2026-10-18T08:05:49Z</dcterms:modified>
</cp:coreProperties>
</file>