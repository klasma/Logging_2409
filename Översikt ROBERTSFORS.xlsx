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46248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46248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46248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46248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t="n">
        <v>53</v>
      </c>
      <c r="V5" s="2" t="inlineStr">
        <is>
          <t>Garnlav
Gammelgransskål
Rynkskinn
Stjärntagging
Tretåig hackspett
Ullticka
Violettgrå tagellav
Bronshjon
Vedticka
Spillkråka</t>
        </is>
      </c>
      <c r="W5">
        <f>HYPERLINK("https://klasma.github.io/Logging_2409/artfynd/A 50406-2025 artfynd.xlsx", "A 50406-2025")</f>
        <v/>
      </c>
      <c r="X5">
        <f>HYPERLINK("https://klasma.github.io/Logging_2409/kartor/A 50406-2025 karta.png", "A 50406-2025")</f>
        <v/>
      </c>
      <c r="Y5">
        <f>HYPERLINK("https://klasma.github.io/Logging_2409/kartor_geotiff/A 50406-2025 georefererad karta.tif", "A 50406-2025")</f>
        <v/>
      </c>
      <c r="AA5">
        <f>HYPERLINK("https://klasma.github.io/Logging_2409/klagomål/A 50406-2025 FSC-klagomål.docx", "A 50406-2025")</f>
        <v/>
      </c>
      <c r="AB5">
        <f>HYPERLINK("https://klasma.github.io/Logging_2409/klagomålsmail/A 50406-2025 FSC-klagomål mail.docx", "A 50406-2025")</f>
        <v/>
      </c>
      <c r="AC5">
        <f>HYPERLINK("https://klasma.github.io/Logging_2409/tillsyn/A 50406-2025 tillsynsbegäran.docx", "A 50406-2025")</f>
        <v/>
      </c>
      <c r="AD5">
        <f>HYPERLINK("https://klasma.github.io/Logging_2409/tillsynsmail/A 50406-2025 tillsynsbegäran mail.docx", "A 50406-2025")</f>
        <v/>
      </c>
      <c r="AE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46248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46248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45792</v>
      </c>
      <c r="E8" s="1" t="n">
        <v>46248</v>
      </c>
      <c r="F8" t="inlineStr">
        <is>
          <t>VÄSTERBOTTENS LÄN</t>
        </is>
      </c>
      <c r="G8" t="inlineStr">
        <is>
          <t>ROBERTSFORS</t>
        </is>
      </c>
      <c r="I8" t="n">
        <v>5.7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14</v>
      </c>
      <c r="U8" t="n">
        <v>14</v>
      </c>
      <c r="V8" s="2" t="inlineStr">
        <is>
          <t>Knärot
Harticka
Lunglav
Stjärntagging
Tretåig hackspett
Stuplav
Spillkråka</t>
        </is>
      </c>
      <c r="W8">
        <f>HYPERLINK("https://klasma.github.io/Logging_2409/artfynd/A 23646-2025 artfynd.xlsx", "A 23646-2025")</f>
        <v/>
      </c>
      <c r="X8">
        <f>HYPERLINK("https://klasma.github.io/Logging_2409/kartor/A 23646-2025 karta.png", "A 23646-2025")</f>
        <v/>
      </c>
      <c r="Y8">
        <f>HYPERLINK("https://klasma.github.io/Logging_2409/kartor_geotiff/A 23646-2025 georefererad karta.tif", "A 23646-2025")</f>
        <v/>
      </c>
      <c r="Z8">
        <f>HYPERLINK("https://klasma.github.io/Logging_2409/knärot/A 23646-2025 karta knärot.png", "A 23646-2025")</f>
        <v/>
      </c>
      <c r="AA8">
        <f>HYPERLINK("https://klasma.github.io/Logging_2409/klagomål/A 23646-2025 FSC-klagomål.docx", "A 23646-2025")</f>
        <v/>
      </c>
      <c r="AB8">
        <f>HYPERLINK("https://klasma.github.io/Logging_2409/klagomålsmail/A 23646-2025 FSC-klagomål mail.docx", "A 23646-2025")</f>
        <v/>
      </c>
      <c r="AC8">
        <f>HYPERLINK("https://klasma.github.io/Logging_2409/tillsyn/A 23646-2025 tillsynsbegäran.docx", "A 23646-2025")</f>
        <v/>
      </c>
      <c r="AD8">
        <f>HYPERLINK("https://klasma.github.io/Logging_2409/tillsynsmail/A 23646-2025 tillsynsbegäran mail.docx", "A 23646-2025")</f>
        <v/>
      </c>
      <c r="AE8">
        <f>HYPERLINK("https://klasma.github.io/Logging_2409/fåglar/A 23646-2025 prioriterade fågelarter.docx", "A 23646-2025")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46248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46248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46248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46248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46248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46248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46248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46248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32211-2023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45119</v>
      </c>
      <c r="E17" s="1" t="n">
        <v>46248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SCA</t>
        </is>
      </c>
      <c r="I17" t="n">
        <v>14.4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Gräddporing
Tallticka
Talltita</t>
        </is>
      </c>
      <c r="W17">
        <f>HYPERLINK("https://klasma.github.io/Logging_2409/artfynd/A 32211-2023 artfynd.xlsx", "A 32211-2023")</f>
        <v/>
      </c>
      <c r="X17">
        <f>HYPERLINK("https://klasma.github.io/Logging_2409/kartor/A 32211-2023 karta.png", "A 32211-2023")</f>
        <v/>
      </c>
      <c r="Y17">
        <f>HYPERLINK("https://klasma.github.io/Logging_2409/kartor_geotiff/A 32211-2023 georefererad karta.tif", "A 32211-2023")</f>
        <v/>
      </c>
      <c r="AA17">
        <f>HYPERLINK("https://klasma.github.io/Logging_2409/klagomål/A 32211-2023 FSC-klagomål.docx", "A 32211-2023")</f>
        <v/>
      </c>
      <c r="AB17">
        <f>HYPERLINK("https://klasma.github.io/Logging_2409/klagomålsmail/A 32211-2023 FSC-klagomål mail.docx", "A 32211-2023")</f>
        <v/>
      </c>
      <c r="AC17">
        <f>HYPERLINK("https://klasma.github.io/Logging_2409/tillsyn/A 32211-2023 tillsynsbegäran.docx", "A 32211-2023")</f>
        <v/>
      </c>
      <c r="AD17">
        <f>HYPERLINK("https://klasma.github.io/Logging_2409/tillsynsmail/A 32211-2023 tillsynsbegäran mail.docx", "A 32211-2023")</f>
        <v/>
      </c>
      <c r="AE17">
        <f>HYPERLINK("https://klasma.github.io/Logging_2409/fåglar/A 32211-2023 prioriterade fågelarter.docx", "A 32211-2023")</f>
        <v/>
      </c>
    </row>
    <row r="18" ht="15" customHeight="1">
      <c r="A18" t="inlineStr">
        <is>
          <t>A 24241-2022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46248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9.800000000000001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Gråspett
Tjäder</t>
        </is>
      </c>
      <c r="W18">
        <f>HYPERLINK("https://klasma.github.io/Logging_2409/artfynd/A 24241-2022 artfynd.xlsx", "A 24241-2022")</f>
        <v/>
      </c>
      <c r="X18">
        <f>HYPERLINK("https://klasma.github.io/Logging_2409/kartor/A 24241-2022 karta.png", "A 24241-2022")</f>
        <v/>
      </c>
      <c r="Y18">
        <f>HYPERLINK("https://klasma.github.io/Logging_2409/kartor_geotiff/A 24241-2022 georefererad karta.tif", "A 24241-2022")</f>
        <v/>
      </c>
      <c r="AA18">
        <f>HYPERLINK("https://klasma.github.io/Logging_2409/klagomål/A 24241-2022 FSC-klagomål.docx", "A 24241-2022")</f>
        <v/>
      </c>
      <c r="AB18">
        <f>HYPERLINK("https://klasma.github.io/Logging_2409/klagomålsmail/A 24241-2022 FSC-klagomål mail.docx", "A 24241-2022")</f>
        <v/>
      </c>
      <c r="AC18">
        <f>HYPERLINK("https://klasma.github.io/Logging_2409/tillsyn/A 24241-2022 tillsynsbegäran.docx", "A 24241-2022")</f>
        <v/>
      </c>
      <c r="AD18">
        <f>HYPERLINK("https://klasma.github.io/Logging_2409/tillsynsmail/A 24241-2022 tillsynsbegäran mail.docx", "A 24241-2022")</f>
        <v/>
      </c>
      <c r="AE18">
        <f>HYPERLINK("https://klasma.github.io/Logging_2409/fåglar/A 24241-2022 prioriterade fågelarter.docx", "A 24241-2022")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46248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46248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44084-2025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46248</v>
      </c>
      <c r="F21" t="inlineStr">
        <is>
          <t>VÄSTERBOTTENS LÄN</t>
        </is>
      </c>
      <c r="G21" t="inlineStr">
        <is>
          <t>ROBERTSFORS</t>
        </is>
      </c>
      <c r="I21" t="n">
        <v>4.4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Vedticka
Spillkråka</t>
        </is>
      </c>
      <c r="W21">
        <f>HYPERLINK("https://klasma.github.io/Logging_2409/artfynd/A 44084-2025 artfynd.xlsx", "A 44084-2025")</f>
        <v/>
      </c>
      <c r="X21">
        <f>HYPERLINK("https://klasma.github.io/Logging_2409/kartor/A 44084-2025 karta.png", "A 44084-2025")</f>
        <v/>
      </c>
      <c r="Y21">
        <f>HYPERLINK("https://klasma.github.io/Logging_2409/kartor_geotiff/A 44084-2025 georefererad karta.tif", "A 44084-2025")</f>
        <v/>
      </c>
      <c r="AA21">
        <f>HYPERLINK("https://klasma.github.io/Logging_2409/klagomål/A 44084-2025 FSC-klagomål.docx", "A 44084-2025")</f>
        <v/>
      </c>
      <c r="AB21">
        <f>HYPERLINK("https://klasma.github.io/Logging_2409/klagomålsmail/A 44084-2025 FSC-klagomål mail.docx", "A 44084-2025")</f>
        <v/>
      </c>
      <c r="AC21">
        <f>HYPERLINK("https://klasma.github.io/Logging_2409/tillsyn/A 44084-2025 tillsynsbegäran.docx", "A 44084-2025")</f>
        <v/>
      </c>
      <c r="AD21">
        <f>HYPERLINK("https://klasma.github.io/Logging_2409/tillsynsmail/A 44084-2025 tillsynsbegäran mail.docx", "A 44084-2025")</f>
        <v/>
      </c>
      <c r="AE21">
        <f>HYPERLINK("https://klasma.github.io/Logging_2409/fåglar/A 44084-2025 prioriterade fågelarter.docx", "A 44084-2025")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46248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46248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41962-2023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45177</v>
      </c>
      <c r="E24" s="1" t="n">
        <v>46248</v>
      </c>
      <c r="F24" t="inlineStr">
        <is>
          <t>VÄSTERBOTTENS LÄN</t>
        </is>
      </c>
      <c r="G24" t="inlineStr">
        <is>
          <t>ROBERTSFORS</t>
        </is>
      </c>
      <c r="I24" t="n">
        <v>0.3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Ullticka
Vedticka</t>
        </is>
      </c>
      <c r="W24">
        <f>HYPERLINK("https://klasma.github.io/Logging_2409/artfynd/A 41962-2023 artfynd.xlsx", "A 41962-2023")</f>
        <v/>
      </c>
      <c r="X24">
        <f>HYPERLINK("https://klasma.github.io/Logging_2409/kartor/A 41962-2023 karta.png", "A 41962-2023")</f>
        <v/>
      </c>
      <c r="Y24">
        <f>HYPERLINK("https://klasma.github.io/Logging_2409/kartor_geotiff/A 41962-2023 georefererad karta.tif", "A 41962-2023")</f>
        <v/>
      </c>
      <c r="AA24">
        <f>HYPERLINK("https://klasma.github.io/Logging_2409/klagomål/A 41962-2023 FSC-klagomål.docx", "A 41962-2023")</f>
        <v/>
      </c>
      <c r="AB24">
        <f>HYPERLINK("https://klasma.github.io/Logging_2409/klagomålsmail/A 41962-2023 FSC-klagomål mail.docx", "A 41962-2023")</f>
        <v/>
      </c>
      <c r="AC24">
        <f>HYPERLINK("https://klasma.github.io/Logging_2409/tillsyn/A 41962-2023 tillsynsbegäran.docx", "A 41962-2023")</f>
        <v/>
      </c>
      <c r="AD24">
        <f>HYPERLINK("https://klasma.github.io/Logging_2409/tillsynsmail/A 41962-2023 tillsynsbegäran mail.docx", "A 41962-2023")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46248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46248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43094-2023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46248</v>
      </c>
      <c r="F27" t="inlineStr">
        <is>
          <t>VÄSTERBOTTENS LÄN</t>
        </is>
      </c>
      <c r="G27" t="inlineStr">
        <is>
          <t>ROBERTSFORS</t>
        </is>
      </c>
      <c r="I27" t="n">
        <v>7.7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Svartvit flugsnappare
Ärtsångare</t>
        </is>
      </c>
      <c r="W27">
        <f>HYPERLINK("https://klasma.github.io/Logging_2409/artfynd/A 43094-2023 artfynd.xlsx", "A 43094-2023")</f>
        <v/>
      </c>
      <c r="X27">
        <f>HYPERLINK("https://klasma.github.io/Logging_2409/kartor/A 43094-2023 karta.png", "A 43094-2023")</f>
        <v/>
      </c>
      <c r="Y27">
        <f>HYPERLINK("https://klasma.github.io/Logging_2409/kartor_geotiff/A 43094-2023 georefererad karta.tif", "A 43094-2023")</f>
        <v/>
      </c>
      <c r="AA27">
        <f>HYPERLINK("https://klasma.github.io/Logging_2409/klagomål/A 43094-2023 FSC-klagomål.docx", "A 43094-2023")</f>
        <v/>
      </c>
      <c r="AB27">
        <f>HYPERLINK("https://klasma.github.io/Logging_2409/klagomålsmail/A 43094-2023 FSC-klagomål mail.docx", "A 43094-2023")</f>
        <v/>
      </c>
      <c r="AC27">
        <f>HYPERLINK("https://klasma.github.io/Logging_2409/tillsyn/A 43094-2023 tillsynsbegäran.docx", "A 43094-2023")</f>
        <v/>
      </c>
      <c r="AD27">
        <f>HYPERLINK("https://klasma.github.io/Logging_2409/tillsynsmail/A 43094-2023 tillsynsbegäran mail.docx", "A 43094-2023")</f>
        <v/>
      </c>
    </row>
    <row r="28" ht="15" customHeight="1">
      <c r="A28" t="inlineStr">
        <is>
          <t>A 41723-2024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46248</v>
      </c>
      <c r="F28" t="inlineStr">
        <is>
          <t>VÄSTERBOTTENS LÄN</t>
        </is>
      </c>
      <c r="G28" t="inlineStr">
        <is>
          <t>ROBERTSFORS</t>
        </is>
      </c>
      <c r="I28" t="n">
        <v>2.4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Tretåig hackspett
Spillkråka</t>
        </is>
      </c>
      <c r="W28">
        <f>HYPERLINK("https://klasma.github.io/Logging_2409/artfynd/A 41723-2024 artfynd.xlsx", "A 41723-2024")</f>
        <v/>
      </c>
      <c r="X28">
        <f>HYPERLINK("https://klasma.github.io/Logging_2409/kartor/A 41723-2024 karta.png", "A 41723-2024")</f>
        <v/>
      </c>
      <c r="Y28">
        <f>HYPERLINK("https://klasma.github.io/Logging_2409/kartor_geotiff/A 41723-2024 georefererad karta.tif", "A 41723-2024")</f>
        <v/>
      </c>
      <c r="AA28">
        <f>HYPERLINK("https://klasma.github.io/Logging_2409/klagomål/A 41723-2024 FSC-klagomål.docx", "A 41723-2024")</f>
        <v/>
      </c>
      <c r="AB28">
        <f>HYPERLINK("https://klasma.github.io/Logging_2409/klagomålsmail/A 41723-2024 FSC-klagomål mail.docx", "A 41723-2024")</f>
        <v/>
      </c>
      <c r="AC28">
        <f>HYPERLINK("https://klasma.github.io/Logging_2409/tillsyn/A 41723-2024 tillsynsbegäran.docx", "A 41723-2024")</f>
        <v/>
      </c>
      <c r="AD28">
        <f>HYPERLINK("https://klasma.github.io/Logging_2409/tillsynsmail/A 41723-2024 tillsynsbegäran mail.docx", "A 41723-2024")</f>
        <v/>
      </c>
      <c r="AE28">
        <f>HYPERLINK("https://klasma.github.io/Logging_2409/fåglar/A 41723-2024 prioriterade fågelarter.docx", "A 41723-2024")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46248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46248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Talltita</t>
        </is>
      </c>
      <c r="W30">
        <f>HYPERLINK("https://klasma.github.io/Logging_2409/artfynd/A 43097-2023 artfynd.xlsx", "A 43097-2023")</f>
        <v/>
      </c>
      <c r="X30">
        <f>HYPERLINK("https://klasma.github.io/Logging_2409/kartor/A 43097-2023 karta.png", "A 43097-2023")</f>
        <v/>
      </c>
      <c r="Y30">
        <f>HYPERLINK("https://klasma.github.io/Logging_2409/kartor_geotiff/A 43097-2023 georefererad karta.tif", "A 43097-2023")</f>
        <v/>
      </c>
      <c r="AA30">
        <f>HYPERLINK("https://klasma.github.io/Logging_2409/klagomål/A 43097-2023 FSC-klagomål.docx", "A 43097-2023")</f>
        <v/>
      </c>
      <c r="AB30">
        <f>HYPERLINK("https://klasma.github.io/Logging_2409/klagomålsmail/A 43097-2023 FSC-klagomål mail.docx", "A 43097-2023")</f>
        <v/>
      </c>
      <c r="AC30">
        <f>HYPERLINK("https://klasma.github.io/Logging_2409/tillsyn/A 43097-2023 tillsynsbegäran.docx", "A 43097-2023")</f>
        <v/>
      </c>
      <c r="AD30">
        <f>HYPERLINK("https://klasma.github.io/Logging_2409/tillsynsmail/A 43097-2023 tillsynsbegäran mail.docx", "A 43097-2023")</f>
        <v/>
      </c>
      <c r="AE30">
        <f>HYPERLINK("https://klasma.github.io/Logging_2409/fåglar/A 43097-2023 prioriterade fågelarter.docx", "A 43097-2023")</f>
        <v/>
      </c>
    </row>
    <row r="31" ht="15" customHeight="1">
      <c r="A31" t="inlineStr">
        <is>
          <t>A 48882-2025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46248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Harticka
Ullticka</t>
        </is>
      </c>
      <c r="W31">
        <f>HYPERLINK("https://klasma.github.io/Logging_2409/artfynd/A 48882-2025 artfynd.xlsx", "A 48882-2025")</f>
        <v/>
      </c>
      <c r="X31">
        <f>HYPERLINK("https://klasma.github.io/Logging_2409/kartor/A 48882-2025 karta.png", "A 48882-2025")</f>
        <v/>
      </c>
      <c r="Y31">
        <f>HYPERLINK("https://klasma.github.io/Logging_2409/kartor_geotiff/A 48882-2025 georefererad karta.tif", "A 48882-2025")</f>
        <v/>
      </c>
      <c r="AA31">
        <f>HYPERLINK("https://klasma.github.io/Logging_2409/klagomål/A 48882-2025 FSC-klagomål.docx", "A 48882-2025")</f>
        <v/>
      </c>
      <c r="AB31">
        <f>HYPERLINK("https://klasma.github.io/Logging_2409/klagomålsmail/A 48882-2025 FSC-klagomål mail.docx", "A 48882-2025")</f>
        <v/>
      </c>
      <c r="AC31">
        <f>HYPERLINK("https://klasma.github.io/Logging_2409/tillsyn/A 48882-2025 tillsynsbegäran.docx", "A 48882-2025")</f>
        <v/>
      </c>
      <c r="AD31">
        <f>HYPERLINK("https://klasma.github.io/Logging_2409/tillsynsmail/A 48882-2025 tillsynsbegäran mail.docx", "A 48882-2025")</f>
        <v/>
      </c>
    </row>
    <row r="32" ht="15" customHeight="1">
      <c r="A32" t="inlineStr">
        <is>
          <t>A 26807-2026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46248</v>
      </c>
      <c r="F32" t="inlineStr">
        <is>
          <t>VÄSTERBOTTENS LÄN</t>
        </is>
      </c>
      <c r="G32" t="inlineStr">
        <is>
          <t>ROBERTSFORS</t>
        </is>
      </c>
      <c r="I32" t="n">
        <v>4.2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16</v>
      </c>
      <c r="U32" t="n">
        <v>0</v>
      </c>
      <c r="V32" s="2" t="inlineStr">
        <is>
          <t>Garnlav
Tretåig hackspett</t>
        </is>
      </c>
      <c r="W32">
        <f>HYPERLINK("https://klasma.github.io/Logging_2409/artfynd/A 26807-2026 artfynd.xlsx", "A 26807-2026")</f>
        <v/>
      </c>
      <c r="X32">
        <f>HYPERLINK("https://klasma.github.io/Logging_2409/kartor/A 26807-2026 karta.png", "A 26807-2026")</f>
        <v/>
      </c>
      <c r="Y32">
        <f>HYPERLINK("https://klasma.github.io/Logging_2409/kartor_geotiff/A 26807-2026 georefererad karta.tif", "A 26807-2026")</f>
        <v/>
      </c>
      <c r="AA32">
        <f>HYPERLINK("https://klasma.github.io/Logging_2409/klagomål/A 26807-2026 FSC-klagomål.docx", "A 26807-2026")</f>
        <v/>
      </c>
      <c r="AB32">
        <f>HYPERLINK("https://klasma.github.io/Logging_2409/klagomålsmail/A 26807-2026 FSC-klagomål mail.docx", "A 26807-2026")</f>
        <v/>
      </c>
      <c r="AC32">
        <f>HYPERLINK("https://klasma.github.io/Logging_2409/tillsyn/A 26807-2026 tillsynsbegäran.docx", "A 26807-2026")</f>
        <v/>
      </c>
      <c r="AD32">
        <f>HYPERLINK("https://klasma.github.io/Logging_2409/tillsynsmail/A 26807-2026 tillsynsbegäran mail.docx", "A 26807-2026")</f>
        <v/>
      </c>
      <c r="AE32">
        <f>HYPERLINK("https://klasma.github.io/Logging_2409/fåglar/A 26807-2026 prioriterade fågelarter.docx", "A 26807-2026")</f>
        <v/>
      </c>
    </row>
    <row r="33" ht="15" customHeight="1">
      <c r="A33" t="inlineStr">
        <is>
          <t>A 2777-2026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46038</v>
      </c>
      <c r="E33" s="1" t="n">
        <v>46248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2777-2026 artfynd.xlsx", "A 2777-2026")</f>
        <v/>
      </c>
      <c r="X33">
        <f>HYPERLINK("https://klasma.github.io/Logging_2409/kartor/A 2777-2026 karta.png", "A 2777-2026")</f>
        <v/>
      </c>
      <c r="Y33">
        <f>HYPERLINK("https://klasma.github.io/Logging_2409/kartor_geotiff/A 2777-2026 georefererad karta.tif", "A 2777-2026")</f>
        <v/>
      </c>
      <c r="AA33">
        <f>HYPERLINK("https://klasma.github.io/Logging_2409/klagomål/A 2777-2026 FSC-klagomål.docx", "A 2777-2026")</f>
        <v/>
      </c>
      <c r="AB33">
        <f>HYPERLINK("https://klasma.github.io/Logging_2409/klagomålsmail/A 2777-2026 FSC-klagomål mail.docx", "A 2777-2026")</f>
        <v/>
      </c>
      <c r="AC33">
        <f>HYPERLINK("https://klasma.github.io/Logging_2409/tillsyn/A 2777-2026 tillsynsbegäran.docx", "A 2777-2026")</f>
        <v/>
      </c>
      <c r="AD33">
        <f>HYPERLINK("https://klasma.github.io/Logging_2409/tillsynsmail/A 2777-2026 tillsynsbegäran mail.docx", "A 2777-2026")</f>
        <v/>
      </c>
    </row>
    <row r="34" ht="15" customHeight="1">
      <c r="A34" t="inlineStr">
        <is>
          <t>A 5283-2026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46248</v>
      </c>
      <c r="F34" t="inlineStr">
        <is>
          <t>VÄSTERBOTTENS LÄN</t>
        </is>
      </c>
      <c r="G34" t="inlineStr">
        <is>
          <t>ROBERTSFORS</t>
        </is>
      </c>
      <c r="I34" t="n">
        <v>1.2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Utter</t>
        </is>
      </c>
      <c r="W34">
        <f>HYPERLINK("https://klasma.github.io/Logging_2409/artfynd/A 5283-2026 artfynd.xlsx", "A 5283-2026")</f>
        <v/>
      </c>
      <c r="X34">
        <f>HYPERLINK("https://klasma.github.io/Logging_2409/kartor/A 5283-2026 karta.png", "A 5283-2026")</f>
        <v/>
      </c>
      <c r="Y34">
        <f>HYPERLINK("https://klasma.github.io/Logging_2409/kartor_geotiff/A 5283-2026 georefererad karta.tif", "A 5283-2026")</f>
        <v/>
      </c>
      <c r="AA34">
        <f>HYPERLINK("https://klasma.github.io/Logging_2409/klagomål/A 5283-2026 FSC-klagomål.docx", "A 5283-2026")</f>
        <v/>
      </c>
      <c r="AB34">
        <f>HYPERLINK("https://klasma.github.io/Logging_2409/klagomålsmail/A 5283-2026 FSC-klagomål mail.docx", "A 5283-2026")</f>
        <v/>
      </c>
      <c r="AC34">
        <f>HYPERLINK("https://klasma.github.io/Logging_2409/tillsyn/A 5283-2026 tillsynsbegäran.docx", "A 5283-2026")</f>
        <v/>
      </c>
      <c r="AD34">
        <f>HYPERLINK("https://klasma.github.io/Logging_2409/tillsynsmail/A 5283-2026 tillsynsbegäran mail.docx", "A 5283-2026")</f>
        <v/>
      </c>
      <c r="AE34">
        <f>HYPERLINK("https://klasma.github.io/Logging_2409/fåglar/A 5283-2026 prioriterade fågelarter.docx", "A 5283-2026")</f>
        <v/>
      </c>
    </row>
    <row r="35" ht="15" customHeight="1">
      <c r="A35" t="inlineStr">
        <is>
          <t>A 5287-2026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46248</v>
      </c>
      <c r="F35" t="inlineStr">
        <is>
          <t>VÄSTERBOTTENS LÄN</t>
        </is>
      </c>
      <c r="G35" t="inlineStr">
        <is>
          <t>ROBERTSFORS</t>
        </is>
      </c>
      <c r="I35" t="n">
        <v>3.2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Spillkråka</t>
        </is>
      </c>
      <c r="W35">
        <f>HYPERLINK("https://klasma.github.io/Logging_2409/artfynd/A 5287-2026 artfynd.xlsx", "A 5287-2026")</f>
        <v/>
      </c>
      <c r="X35">
        <f>HYPERLINK("https://klasma.github.io/Logging_2409/kartor/A 5287-2026 karta.png", "A 5287-2026")</f>
        <v/>
      </c>
      <c r="Y35">
        <f>HYPERLINK("https://klasma.github.io/Logging_2409/kartor_geotiff/A 5287-2026 georefererad karta.tif", "A 5287-2026")</f>
        <v/>
      </c>
      <c r="AA35">
        <f>HYPERLINK("https://klasma.github.io/Logging_2409/klagomål/A 5287-2026 FSC-klagomål.docx", "A 5287-2026")</f>
        <v/>
      </c>
      <c r="AB35">
        <f>HYPERLINK("https://klasma.github.io/Logging_2409/klagomålsmail/A 5287-2026 FSC-klagomål mail.docx", "A 5287-2026")</f>
        <v/>
      </c>
      <c r="AC35">
        <f>HYPERLINK("https://klasma.github.io/Logging_2409/tillsyn/A 5287-2026 tillsynsbegäran.docx", "A 5287-2026")</f>
        <v/>
      </c>
      <c r="AD35">
        <f>HYPERLINK("https://klasma.github.io/Logging_2409/tillsynsmail/A 5287-2026 tillsynsbegäran mail.docx", "A 5287-2026")</f>
        <v/>
      </c>
      <c r="AE35">
        <f>HYPERLINK("https://klasma.github.io/Logging_2409/fåglar/A 5287-2026 prioriterade fågelarter.docx", "A 5287-2026")</f>
        <v/>
      </c>
    </row>
    <row r="36" ht="15" customHeight="1">
      <c r="A36" t="inlineStr">
        <is>
          <t>A 5290-2026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46050</v>
      </c>
      <c r="E36" s="1" t="n">
        <v>46248</v>
      </c>
      <c r="F36" t="inlineStr">
        <is>
          <t>VÄSTERBOTTENS LÄN</t>
        </is>
      </c>
      <c r="G36" t="inlineStr">
        <is>
          <t>ROBERTSFORS</t>
        </is>
      </c>
      <c r="I36" t="n">
        <v>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Harticka
Vedticka</t>
        </is>
      </c>
      <c r="W36">
        <f>HYPERLINK("https://klasma.github.io/Logging_2409/artfynd/A 5290-2026 artfynd.xlsx", "A 5290-2026")</f>
        <v/>
      </c>
      <c r="X36">
        <f>HYPERLINK("https://klasma.github.io/Logging_2409/kartor/A 5290-2026 karta.png", "A 5290-2026")</f>
        <v/>
      </c>
      <c r="Y36">
        <f>HYPERLINK("https://klasma.github.io/Logging_2409/kartor_geotiff/A 5290-2026 georefererad karta.tif", "A 5290-2026")</f>
        <v/>
      </c>
      <c r="AA36">
        <f>HYPERLINK("https://klasma.github.io/Logging_2409/klagomål/A 5290-2026 FSC-klagomål.docx", "A 5290-2026")</f>
        <v/>
      </c>
      <c r="AB36">
        <f>HYPERLINK("https://klasma.github.io/Logging_2409/klagomålsmail/A 5290-2026 FSC-klagomål mail.docx", "A 5290-2026")</f>
        <v/>
      </c>
      <c r="AC36">
        <f>HYPERLINK("https://klasma.github.io/Logging_2409/tillsyn/A 5290-2026 tillsynsbegäran.docx", "A 5290-2026")</f>
        <v/>
      </c>
      <c r="AD36">
        <f>HYPERLINK("https://klasma.github.io/Logging_2409/tillsynsmail/A 5290-2026 tillsynsbegäran mail.docx", "A 5290-2026")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46248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46248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46248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46248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57284-2023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45245</v>
      </c>
      <c r="E41" s="1" t="n">
        <v>46248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6.8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Tallticka</t>
        </is>
      </c>
      <c r="W41">
        <f>HYPERLINK("https://klasma.github.io/Logging_2409/artfynd/A 57284-2023 artfynd.xlsx", "A 57284-2023")</f>
        <v/>
      </c>
      <c r="X41">
        <f>HYPERLINK("https://klasma.github.io/Logging_2409/kartor/A 57284-2023 karta.png", "A 57284-2023")</f>
        <v/>
      </c>
      <c r="Y41">
        <f>HYPERLINK("https://klasma.github.io/Logging_2409/kartor_geotiff/A 57284-2023 georefererad karta.tif", "A 57284-2023")</f>
        <v/>
      </c>
      <c r="AA41">
        <f>HYPERLINK("https://klasma.github.io/Logging_2409/klagomål/A 57284-2023 FSC-klagomål.docx", "A 57284-2023")</f>
        <v/>
      </c>
      <c r="AB41">
        <f>HYPERLINK("https://klasma.github.io/Logging_2409/klagomålsmail/A 57284-2023 FSC-klagomål mail.docx", "A 57284-2023")</f>
        <v/>
      </c>
      <c r="AC41">
        <f>HYPERLINK("https://klasma.github.io/Logging_2409/tillsyn/A 57284-2023 tillsynsbegäran.docx", "A 57284-2023")</f>
        <v/>
      </c>
      <c r="AD41">
        <f>HYPERLINK("https://klasma.github.io/Logging_2409/tillsynsmail/A 57284-2023 tillsynsbegäran mail.docx", "A 57284-2023")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46248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32023-2024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45510</v>
      </c>
      <c r="E43" s="1" t="n">
        <v>46248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1.8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Dropptaggsvamp</t>
        </is>
      </c>
      <c r="W43">
        <f>HYPERLINK("https://klasma.github.io/Logging_2409/artfynd/A 32023-2024 artfynd.xlsx", "A 32023-2024")</f>
        <v/>
      </c>
      <c r="X43">
        <f>HYPERLINK("https://klasma.github.io/Logging_2409/kartor/A 32023-2024 karta.png", "A 32023-2024")</f>
        <v/>
      </c>
      <c r="Y43">
        <f>HYPERLINK("https://klasma.github.io/Logging_2409/kartor_geotiff/A 32023-2024 georefererad karta.tif", "A 32023-2024")</f>
        <v/>
      </c>
      <c r="AA43">
        <f>HYPERLINK("https://klasma.github.io/Logging_2409/klagomål/A 32023-2024 FSC-klagomål.docx", "A 32023-2024")</f>
        <v/>
      </c>
      <c r="AB43">
        <f>HYPERLINK("https://klasma.github.io/Logging_2409/klagomålsmail/A 32023-2024 FSC-klagomål mail.docx", "A 32023-2024")</f>
        <v/>
      </c>
      <c r="AC43">
        <f>HYPERLINK("https://klasma.github.io/Logging_2409/tillsyn/A 32023-2024 tillsynsbegäran.docx", "A 32023-2024")</f>
        <v/>
      </c>
      <c r="AD43">
        <f>HYPERLINK("https://klasma.github.io/Logging_2409/tillsynsmail/A 32023-2024 tillsynsbegäran mail.docx", "A 32023-2024")</f>
        <v/>
      </c>
    </row>
    <row r="44" ht="15" customHeight="1">
      <c r="A44" t="inlineStr">
        <is>
          <t>A 40600-2022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44823</v>
      </c>
      <c r="E44" s="1" t="n">
        <v>46248</v>
      </c>
      <c r="F44" t="inlineStr">
        <is>
          <t>VÄSTERBOTTENS LÄN</t>
        </is>
      </c>
      <c r="G44" t="inlineStr">
        <is>
          <t>ROBERTSFORS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HYPERLINK("https://klasma.github.io/Logging_2409/artfynd/A 40600-2022 artfynd.xlsx", "A 40600-2022")</f>
        <v/>
      </c>
      <c r="X44">
        <f>HYPERLINK("https://klasma.github.io/Logging_2409/kartor/A 40600-2022 karta.png", "A 40600-2022")</f>
        <v/>
      </c>
      <c r="Y44">
        <f>HYPERLINK("https://klasma.github.io/Logging_2409/kartor_geotiff/A 40600-2022 georefererad karta.tif", "A 40600-2022")</f>
        <v/>
      </c>
      <c r="AA44">
        <f>HYPERLINK("https://klasma.github.io/Logging_2409/klagomål/A 40600-2022 FSC-klagomål.docx", "A 40600-2022")</f>
        <v/>
      </c>
      <c r="AB44">
        <f>HYPERLINK("https://klasma.github.io/Logging_2409/klagomålsmail/A 40600-2022 FSC-klagomål mail.docx", "A 40600-2022")</f>
        <v/>
      </c>
      <c r="AC44">
        <f>HYPERLINK("https://klasma.github.io/Logging_2409/tillsyn/A 40600-2022 tillsynsbegäran.docx", "A 40600-2022")</f>
        <v/>
      </c>
      <c r="AD44">
        <f>HYPERLINK("https://klasma.github.io/Logging_2409/tillsynsmail/A 40600-2022 tillsynsbegäran mail.docx", "A 40600-2022")</f>
        <v/>
      </c>
      <c r="AE44">
        <f>HYPERLINK("https://klasma.github.io/Logging_2409/fåglar/A 40600-2022 prioriterade fågelarter.docx", "A 40600-2022")</f>
        <v/>
      </c>
    </row>
    <row r="45" ht="15" customHeight="1">
      <c r="A45" t="inlineStr">
        <is>
          <t>A 57270-2023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46248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57270-2023 artfynd.xlsx", "A 57270-2023")</f>
        <v/>
      </c>
      <c r="X45">
        <f>HYPERLINK("https://klasma.github.io/Logging_2409/kartor/A 57270-2023 karta.png", "A 57270-2023")</f>
        <v/>
      </c>
      <c r="Y45">
        <f>HYPERLINK("https://klasma.github.io/Logging_2409/kartor_geotiff/A 57270-2023 georefererad karta.tif", "A 57270-2023")</f>
        <v/>
      </c>
      <c r="AA45">
        <f>HYPERLINK("https://klasma.github.io/Logging_2409/klagomål/A 57270-2023 FSC-klagomål.docx", "A 57270-2023")</f>
        <v/>
      </c>
      <c r="AB45">
        <f>HYPERLINK("https://klasma.github.io/Logging_2409/klagomålsmail/A 57270-2023 FSC-klagomål mail.docx", "A 57270-2023")</f>
        <v/>
      </c>
      <c r="AC45">
        <f>HYPERLINK("https://klasma.github.io/Logging_2409/tillsyn/A 57270-2023 tillsynsbegäran.docx", "A 57270-2023")</f>
        <v/>
      </c>
      <c r="AD45">
        <f>HYPERLINK("https://klasma.github.io/Logging_2409/tillsynsmail/A 57270-2023 tillsynsbegäran mail.docx", "A 57270-2023")</f>
        <v/>
      </c>
    </row>
    <row r="46" ht="15" customHeight="1">
      <c r="A46" t="inlineStr">
        <is>
          <t>A 35497-2023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45146</v>
      </c>
      <c r="E46" s="1" t="n">
        <v>46248</v>
      </c>
      <c r="F46" t="inlineStr">
        <is>
          <t>VÄSTERBOTTENS LÄN</t>
        </is>
      </c>
      <c r="G46" t="inlineStr">
        <is>
          <t>ROBERTSFORS</t>
        </is>
      </c>
      <c r="I46" t="n">
        <v>0.2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HYPERLINK("https://klasma.github.io/Logging_2409/artfynd/A 35497-2023 artfynd.xlsx", "A 35497-2023")</f>
        <v/>
      </c>
      <c r="X46">
        <f>HYPERLINK("https://klasma.github.io/Logging_2409/kartor/A 35497-2023 karta.png", "A 35497-2023")</f>
        <v/>
      </c>
      <c r="Y46">
        <f>HYPERLINK("https://klasma.github.io/Logging_2409/kartor_geotiff/A 35497-2023 georefererad karta.tif", "A 35497-2023")</f>
        <v/>
      </c>
      <c r="AA46">
        <f>HYPERLINK("https://klasma.github.io/Logging_2409/klagomål/A 35497-2023 FSC-klagomål.docx", "A 35497-2023")</f>
        <v/>
      </c>
      <c r="AB46">
        <f>HYPERLINK("https://klasma.github.io/Logging_2409/klagomålsmail/A 35497-2023 FSC-klagomål mail.docx", "A 35497-2023")</f>
        <v/>
      </c>
      <c r="AC46">
        <f>HYPERLINK("https://klasma.github.io/Logging_2409/tillsyn/A 35497-2023 tillsynsbegäran.docx", "A 35497-2023")</f>
        <v/>
      </c>
      <c r="AD46">
        <f>HYPERLINK("https://klasma.github.io/Logging_2409/tillsynsmail/A 35497-2023 tillsynsbegäran mail.docx", "A 35497-2023")</f>
        <v/>
      </c>
    </row>
    <row r="47" ht="15" customHeight="1">
      <c r="A47" t="inlineStr">
        <is>
          <t>A 32876-2023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45124</v>
      </c>
      <c r="E47" s="1" t="n">
        <v>46248</v>
      </c>
      <c r="F47" t="inlineStr">
        <is>
          <t>VÄSTERBOTTENS LÄN</t>
        </is>
      </c>
      <c r="G47" t="inlineStr">
        <is>
          <t>ROBERTSFORS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HYPERLINK("https://klasma.github.io/Logging_2409/artfynd/A 32876-2023 artfynd.xlsx", "A 32876-2023")</f>
        <v/>
      </c>
      <c r="X47">
        <f>HYPERLINK("https://klasma.github.io/Logging_2409/kartor/A 32876-2023 karta.png", "A 32876-2023")</f>
        <v/>
      </c>
      <c r="Y47">
        <f>HYPERLINK("https://klasma.github.io/Logging_2409/kartor_geotiff/A 32876-2023 georefererad karta.tif", "A 32876-2023")</f>
        <v/>
      </c>
      <c r="AA47">
        <f>HYPERLINK("https://klasma.github.io/Logging_2409/klagomål/A 32876-2023 FSC-klagomål.docx", "A 32876-2023")</f>
        <v/>
      </c>
      <c r="AB47">
        <f>HYPERLINK("https://klasma.github.io/Logging_2409/klagomålsmail/A 32876-2023 FSC-klagomål mail.docx", "A 32876-2023")</f>
        <v/>
      </c>
      <c r="AC47">
        <f>HYPERLINK("https://klasma.github.io/Logging_2409/tillsyn/A 32876-2023 tillsynsbegäran.docx", "A 32876-2023")</f>
        <v/>
      </c>
      <c r="AD47">
        <f>HYPERLINK("https://klasma.github.io/Logging_2409/tillsynsmail/A 32876-2023 tillsynsbegäran mail.docx", "A 32876-2023")</f>
        <v/>
      </c>
    </row>
    <row r="48" ht="15" customHeight="1">
      <c r="A48" t="inlineStr">
        <is>
          <t>A 5969-2025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45695</v>
      </c>
      <c r="E48" s="1" t="n">
        <v>46248</v>
      </c>
      <c r="F48" t="inlineStr">
        <is>
          <t>VÄSTERBOTTENS LÄN</t>
        </is>
      </c>
      <c r="G48" t="inlineStr">
        <is>
          <t>ROBERTSFORS</t>
        </is>
      </c>
      <c r="I48" t="n">
        <v>18.1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HYPERLINK("https://klasma.github.io/Logging_2409/artfynd/A 5969-2025 artfynd.xlsx", "A 5969-2025")</f>
        <v/>
      </c>
      <c r="X48">
        <f>HYPERLINK("https://klasma.github.io/Logging_2409/kartor/A 5969-2025 karta.png", "A 5969-2025")</f>
        <v/>
      </c>
      <c r="Y48">
        <f>HYPERLINK("https://klasma.github.io/Logging_2409/kartor_geotiff/A 5969-2025 georefererad karta.tif", "A 5969-2025")</f>
        <v/>
      </c>
      <c r="AA48">
        <f>HYPERLINK("https://klasma.github.io/Logging_2409/klagomål/A 5969-2025 FSC-klagomål.docx", "A 5969-2025")</f>
        <v/>
      </c>
      <c r="AB48">
        <f>HYPERLINK("https://klasma.github.io/Logging_2409/klagomålsmail/A 5969-2025 FSC-klagomål mail.docx", "A 5969-2025")</f>
        <v/>
      </c>
      <c r="AC48">
        <f>HYPERLINK("https://klasma.github.io/Logging_2409/tillsyn/A 5969-2025 tillsynsbegäran.docx", "A 5969-2025")</f>
        <v/>
      </c>
      <c r="AD48">
        <f>HYPERLINK("https://klasma.github.io/Logging_2409/tillsynsmail/A 5969-2025 tillsynsbegäran mail.docx", "A 5969-2025")</f>
        <v/>
      </c>
      <c r="AE48">
        <f>HYPERLINK("https://klasma.github.io/Logging_2409/fåglar/A 5969-2025 prioriterade fågelarter.docx", "A 5969-2025")</f>
        <v/>
      </c>
    </row>
    <row r="49" ht="15" customHeight="1">
      <c r="A49" t="inlineStr">
        <is>
          <t>A 36703-2023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45153</v>
      </c>
      <c r="E49" s="1" t="n">
        <v>46248</v>
      </c>
      <c r="F49" t="inlineStr">
        <is>
          <t>VÄSTERBOTTENS LÄN</t>
        </is>
      </c>
      <c r="G49" t="inlineStr">
        <is>
          <t>ROBERTSFORS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Tallkötticka</t>
        </is>
      </c>
      <c r="W49">
        <f>HYPERLINK("https://klasma.github.io/Logging_2409/artfynd/A 36703-2023 artfynd.xlsx", "A 36703-2023")</f>
        <v/>
      </c>
      <c r="X49">
        <f>HYPERLINK("https://klasma.github.io/Logging_2409/kartor/A 36703-2023 karta.png", "A 36703-2023")</f>
        <v/>
      </c>
      <c r="Y49">
        <f>HYPERLINK("https://klasma.github.io/Logging_2409/kartor_geotiff/A 36703-2023 georefererad karta.tif", "A 36703-2023")</f>
        <v/>
      </c>
      <c r="AA49">
        <f>HYPERLINK("https://klasma.github.io/Logging_2409/klagomål/A 36703-2023 FSC-klagomål.docx", "A 36703-2023")</f>
        <v/>
      </c>
      <c r="AB49">
        <f>HYPERLINK("https://klasma.github.io/Logging_2409/klagomålsmail/A 36703-2023 FSC-klagomål mail.docx", "A 36703-2023")</f>
        <v/>
      </c>
      <c r="AC49">
        <f>HYPERLINK("https://klasma.github.io/Logging_2409/tillsyn/A 36703-2023 tillsynsbegäran.docx", "A 36703-2023")</f>
        <v/>
      </c>
      <c r="AD49">
        <f>HYPERLINK("https://klasma.github.io/Logging_2409/tillsynsmail/A 36703-2023 tillsynsbegäran mail.docx", "A 36703-2023")</f>
        <v/>
      </c>
    </row>
    <row r="50" ht="15" customHeight="1">
      <c r="A50" t="inlineStr">
        <is>
          <t>A 38777-2023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45163</v>
      </c>
      <c r="E50" s="1" t="n">
        <v>46248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5.9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HYPERLINK("https://klasma.github.io/Logging_2409/artfynd/A 38777-2023 artfynd.xlsx", "A 38777-2023")</f>
        <v/>
      </c>
      <c r="X50">
        <f>HYPERLINK("https://klasma.github.io/Logging_2409/kartor/A 38777-2023 karta.png", "A 38777-2023")</f>
        <v/>
      </c>
      <c r="Y50">
        <f>HYPERLINK("https://klasma.github.io/Logging_2409/kartor_geotiff/A 38777-2023 georefererad karta.tif", "A 38777-2023")</f>
        <v/>
      </c>
      <c r="AA50">
        <f>HYPERLINK("https://klasma.github.io/Logging_2409/klagomål/A 38777-2023 FSC-klagomål.docx", "A 38777-2023")</f>
        <v/>
      </c>
      <c r="AB50">
        <f>HYPERLINK("https://klasma.github.io/Logging_2409/klagomålsmail/A 38777-2023 FSC-klagomål mail.docx", "A 38777-2023")</f>
        <v/>
      </c>
      <c r="AC50">
        <f>HYPERLINK("https://klasma.github.io/Logging_2409/tillsyn/A 38777-2023 tillsynsbegäran.docx", "A 38777-2023")</f>
        <v/>
      </c>
      <c r="AD50">
        <f>HYPERLINK("https://klasma.github.io/Logging_2409/tillsynsmail/A 38777-2023 tillsynsbegäran mail.docx", "A 38777-2023")</f>
        <v/>
      </c>
      <c r="AE50">
        <f>HYPERLINK("https://klasma.github.io/Logging_2409/fåglar/A 38777-2023 prioriterade fågelarter.docx", "A 38777-2023")</f>
        <v/>
      </c>
    </row>
    <row r="51" ht="15" customHeight="1">
      <c r="A51" t="inlineStr">
        <is>
          <t>A 57653-2024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45630</v>
      </c>
      <c r="E51" s="1" t="n">
        <v>46248</v>
      </c>
      <c r="F51" t="inlineStr">
        <is>
          <t>VÄSTERBOTTENS LÄN</t>
        </is>
      </c>
      <c r="G51" t="inlineStr">
        <is>
          <t>ROBERTSFORS</t>
        </is>
      </c>
      <c r="I51" t="n">
        <v>6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Blå kärrhök</t>
        </is>
      </c>
      <c r="W51">
        <f>HYPERLINK("https://klasma.github.io/Logging_2409/artfynd/A 57653-2024 artfynd.xlsx", "A 57653-2024")</f>
        <v/>
      </c>
      <c r="X51">
        <f>HYPERLINK("https://klasma.github.io/Logging_2409/kartor/A 57653-2024 karta.png", "A 57653-2024")</f>
        <v/>
      </c>
      <c r="Y51">
        <f>HYPERLINK("https://klasma.github.io/Logging_2409/kartor_geotiff/A 57653-2024 georefererad karta.tif", "A 57653-2024")</f>
        <v/>
      </c>
      <c r="AA51">
        <f>HYPERLINK("https://klasma.github.io/Logging_2409/klagomål/A 57653-2024 FSC-klagomål.docx", "A 57653-2024")</f>
        <v/>
      </c>
      <c r="AB51">
        <f>HYPERLINK("https://klasma.github.io/Logging_2409/klagomålsmail/A 57653-2024 FSC-klagomål mail.docx", "A 57653-2024")</f>
        <v/>
      </c>
      <c r="AC51">
        <f>HYPERLINK("https://klasma.github.io/Logging_2409/tillsyn/A 57653-2024 tillsynsbegäran.docx", "A 57653-2024")</f>
        <v/>
      </c>
      <c r="AD51">
        <f>HYPERLINK("https://klasma.github.io/Logging_2409/tillsynsmail/A 57653-2024 tillsynsbegäran mail.docx", "A 57653-2024")</f>
        <v/>
      </c>
      <c r="AE51">
        <f>HYPERLINK("https://klasma.github.io/Logging_2409/fåglar/A 57653-2024 prioriterade fågelarter.docx", "A 57653-2024")</f>
        <v/>
      </c>
    </row>
    <row r="52" ht="15" customHeight="1">
      <c r="A52" t="inlineStr">
        <is>
          <t>A 54484-2023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46248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Sveaskog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3</v>
      </c>
      <c r="U52" t="n">
        <v>1</v>
      </c>
      <c r="V52" s="2" t="inlineStr">
        <is>
          <t>Dropptaggsvamp</t>
        </is>
      </c>
      <c r="W52">
        <f>HYPERLINK("https://klasma.github.io/Logging_2409/artfynd/A 54484-2023 artfynd.xlsx", "A 54484-2023")</f>
        <v/>
      </c>
      <c r="X52">
        <f>HYPERLINK("https://klasma.github.io/Logging_2409/kartor/A 54484-2023 karta.png", "A 54484-2023")</f>
        <v/>
      </c>
      <c r="Y52">
        <f>HYPERLINK("https://klasma.github.io/Logging_2409/kartor_geotiff/A 54484-2023 georefererad karta.tif", "A 54484-2023")</f>
        <v/>
      </c>
      <c r="AA52">
        <f>HYPERLINK("https://klasma.github.io/Logging_2409/klagomål/A 54484-2023 FSC-klagomål.docx", "A 54484-2023")</f>
        <v/>
      </c>
      <c r="AB52">
        <f>HYPERLINK("https://klasma.github.io/Logging_2409/klagomålsmail/A 54484-2023 FSC-klagomål mail.docx", "A 54484-2023")</f>
        <v/>
      </c>
      <c r="AC52">
        <f>HYPERLINK("https://klasma.github.io/Logging_2409/tillsyn/A 54484-2023 tillsynsbegäran.docx", "A 54484-2023")</f>
        <v/>
      </c>
      <c r="AD52">
        <f>HYPERLINK("https://klasma.github.io/Logging_2409/tillsynsmail/A 54484-2023 tillsynsbegäran mail.docx", "A 54484-2023")</f>
        <v/>
      </c>
    </row>
    <row r="53" ht="15" customHeight="1">
      <c r="A53" t="inlineStr">
        <is>
          <t>A 8753-2025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45712</v>
      </c>
      <c r="E53" s="1" t="n">
        <v>46248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Kommuner</t>
        </is>
      </c>
      <c r="I53" t="n">
        <v>8.1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HYPERLINK("https://klasma.github.io/Logging_2409/artfynd/A 8753-2025 artfynd.xlsx", "A 8753-2025")</f>
        <v/>
      </c>
      <c r="X53">
        <f>HYPERLINK("https://klasma.github.io/Logging_2409/kartor/A 8753-2025 karta.png", "A 8753-2025")</f>
        <v/>
      </c>
      <c r="Y53">
        <f>HYPERLINK("https://klasma.github.io/Logging_2409/kartor_geotiff/A 8753-2025 georefererad karta.tif", "A 8753-2025")</f>
        <v/>
      </c>
      <c r="AA53">
        <f>HYPERLINK("https://klasma.github.io/Logging_2409/klagomål/A 8753-2025 FSC-klagomål.docx", "A 8753-2025")</f>
        <v/>
      </c>
      <c r="AB53">
        <f>HYPERLINK("https://klasma.github.io/Logging_2409/klagomålsmail/A 8753-2025 FSC-klagomål mail.docx", "A 8753-2025")</f>
        <v/>
      </c>
      <c r="AC53">
        <f>HYPERLINK("https://klasma.github.io/Logging_2409/tillsyn/A 8753-2025 tillsynsbegäran.docx", "A 8753-2025")</f>
        <v/>
      </c>
      <c r="AD53">
        <f>HYPERLINK("https://klasma.github.io/Logging_2409/tillsynsmail/A 8753-2025 tillsynsbegäran mail.docx", "A 8753-2025")</f>
        <v/>
      </c>
    </row>
    <row r="54" ht="15" customHeight="1">
      <c r="A54" t="inlineStr">
        <is>
          <t>A 30344-2025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46248</v>
      </c>
      <c r="F54" t="inlineStr">
        <is>
          <t>VÄSTERBOTTENS LÄN</t>
        </is>
      </c>
      <c r="G54" t="inlineStr">
        <is>
          <t>ROBERTSFORS</t>
        </is>
      </c>
      <c r="I54" t="n">
        <v>22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Järpe</t>
        </is>
      </c>
      <c r="W54">
        <f>HYPERLINK("https://klasma.github.io/Logging_2409/artfynd/A 30344-2025 artfynd.xlsx", "A 30344-2025")</f>
        <v/>
      </c>
      <c r="X54">
        <f>HYPERLINK("https://klasma.github.io/Logging_2409/kartor/A 30344-2025 karta.png", "A 30344-2025")</f>
        <v/>
      </c>
      <c r="Y54">
        <f>HYPERLINK("https://klasma.github.io/Logging_2409/kartor_geotiff/A 30344-2025 georefererad karta.tif", "A 30344-2025")</f>
        <v/>
      </c>
      <c r="AA54">
        <f>HYPERLINK("https://klasma.github.io/Logging_2409/klagomål/A 30344-2025 FSC-klagomål.docx", "A 30344-2025")</f>
        <v/>
      </c>
      <c r="AB54">
        <f>HYPERLINK("https://klasma.github.io/Logging_2409/klagomålsmail/A 30344-2025 FSC-klagomål mail.docx", "A 30344-2025")</f>
        <v/>
      </c>
      <c r="AC54">
        <f>HYPERLINK("https://klasma.github.io/Logging_2409/tillsyn/A 30344-2025 tillsynsbegäran.docx", "A 30344-2025")</f>
        <v/>
      </c>
      <c r="AD54">
        <f>HYPERLINK("https://klasma.github.io/Logging_2409/tillsynsmail/A 30344-2025 tillsynsbegäran mail.docx", "A 30344-2025")</f>
        <v/>
      </c>
      <c r="AE54">
        <f>HYPERLINK("https://klasma.github.io/Logging_2409/fåglar/A 30344-2025 prioriterade fågelarter.docx", "A 30344-2025")</f>
        <v/>
      </c>
    </row>
    <row r="55" ht="15" customHeight="1">
      <c r="A55" t="inlineStr">
        <is>
          <t>A 41767-2023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46248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0.8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41767-2023 artfynd.xlsx", "A 41767-2023")</f>
        <v/>
      </c>
      <c r="X55">
        <f>HYPERLINK("https://klasma.github.io/Logging_2409/kartor/A 41767-2023 karta.png", "A 41767-2023")</f>
        <v/>
      </c>
      <c r="Y55">
        <f>HYPERLINK("https://klasma.github.io/Logging_2409/kartor_geotiff/A 41767-2023 georefererad karta.tif", "A 41767-2023")</f>
        <v/>
      </c>
      <c r="AA55">
        <f>HYPERLINK("https://klasma.github.io/Logging_2409/klagomål/A 41767-2023 FSC-klagomål.docx", "A 41767-2023")</f>
        <v/>
      </c>
      <c r="AB55">
        <f>HYPERLINK("https://klasma.github.io/Logging_2409/klagomålsmail/A 41767-2023 FSC-klagomål mail.docx", "A 41767-2023")</f>
        <v/>
      </c>
      <c r="AC55">
        <f>HYPERLINK("https://klasma.github.io/Logging_2409/tillsyn/A 41767-2023 tillsynsbegäran.docx", "A 41767-2023")</f>
        <v/>
      </c>
      <c r="AD55">
        <f>HYPERLINK("https://klasma.github.io/Logging_2409/tillsynsmail/A 41767-2023 tillsynsbegäran mail.docx", "A 41767-2023")</f>
        <v/>
      </c>
    </row>
    <row r="56" ht="15" customHeight="1">
      <c r="A56" t="inlineStr">
        <is>
          <t>A 32263-2025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46248</v>
      </c>
      <c r="F56" t="inlineStr">
        <is>
          <t>VÄSTERBOTTENS LÄN</t>
        </is>
      </c>
      <c r="G56" t="inlineStr">
        <is>
          <t>ROBERTSFORS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HYPERLINK("https://klasma.github.io/Logging_2409/artfynd/A 32263-2025 artfynd.xlsx", "A 32263-2025")</f>
        <v/>
      </c>
      <c r="X56">
        <f>HYPERLINK("https://klasma.github.io/Logging_2409/kartor/A 32263-2025 karta.png", "A 32263-2025")</f>
        <v/>
      </c>
      <c r="Y56">
        <f>HYPERLINK("https://klasma.github.io/Logging_2409/kartor_geotiff/A 32263-2025 georefererad karta.tif", "A 32263-2025")</f>
        <v/>
      </c>
      <c r="AA56">
        <f>HYPERLINK("https://klasma.github.io/Logging_2409/klagomål/A 32263-2025 FSC-klagomål.docx", "A 32263-2025")</f>
        <v/>
      </c>
      <c r="AB56">
        <f>HYPERLINK("https://klasma.github.io/Logging_2409/klagomålsmail/A 32263-2025 FSC-klagomål mail.docx", "A 32263-2025")</f>
        <v/>
      </c>
      <c r="AC56">
        <f>HYPERLINK("https://klasma.github.io/Logging_2409/tillsyn/A 32263-2025 tillsynsbegäran.docx", "A 32263-2025")</f>
        <v/>
      </c>
      <c r="AD56">
        <f>HYPERLINK("https://klasma.github.io/Logging_2409/tillsynsmail/A 32263-2025 tillsynsbegäran mail.docx", "A 32263-2025")</f>
        <v/>
      </c>
    </row>
    <row r="57" ht="15" customHeight="1">
      <c r="A57" t="inlineStr">
        <is>
          <t>A 34007-2025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45844</v>
      </c>
      <c r="E57" s="1" t="n">
        <v>46248</v>
      </c>
      <c r="F57" t="inlineStr">
        <is>
          <t>VÄSTERBOTTENS LÄN</t>
        </is>
      </c>
      <c r="G57" t="inlineStr">
        <is>
          <t>ROBERTSFORS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Harticka</t>
        </is>
      </c>
      <c r="W57">
        <f>HYPERLINK("https://klasma.github.io/Logging_2409/artfynd/A 34007-2025 artfynd.xlsx", "A 34007-2025")</f>
        <v/>
      </c>
      <c r="X57">
        <f>HYPERLINK("https://klasma.github.io/Logging_2409/kartor/A 34007-2025 karta.png", "A 34007-2025")</f>
        <v/>
      </c>
      <c r="Y57">
        <f>HYPERLINK("https://klasma.github.io/Logging_2409/kartor_geotiff/A 34007-2025 georefererad karta.tif", "A 34007-2025")</f>
        <v/>
      </c>
      <c r="AA57">
        <f>HYPERLINK("https://klasma.github.io/Logging_2409/klagomål/A 34007-2025 FSC-klagomål.docx", "A 34007-2025")</f>
        <v/>
      </c>
      <c r="AB57">
        <f>HYPERLINK("https://klasma.github.io/Logging_2409/klagomålsmail/A 34007-2025 FSC-klagomål mail.docx", "A 34007-2025")</f>
        <v/>
      </c>
      <c r="AC57">
        <f>HYPERLINK("https://klasma.github.io/Logging_2409/tillsyn/A 34007-2025 tillsynsbegäran.docx", "A 34007-2025")</f>
        <v/>
      </c>
      <c r="AD57">
        <f>HYPERLINK("https://klasma.github.io/Logging_2409/tillsynsmail/A 34007-2025 tillsynsbegäran mail.docx", "A 34007-2025")</f>
        <v/>
      </c>
    </row>
    <row r="58" ht="15" customHeight="1">
      <c r="A58" t="inlineStr">
        <is>
          <t>A 42891-2023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46248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HYPERLINK("https://klasma.github.io/Logging_2409/artfynd/A 42891-2023 artfynd.xlsx", "A 42891-2023")</f>
        <v/>
      </c>
      <c r="X58">
        <f>HYPERLINK("https://klasma.github.io/Logging_2409/kartor/A 42891-2023 karta.png", "A 42891-2023")</f>
        <v/>
      </c>
      <c r="Y58">
        <f>HYPERLINK("https://klasma.github.io/Logging_2409/kartor_geotiff/A 42891-2023 georefererad karta.tif", "A 42891-2023")</f>
        <v/>
      </c>
      <c r="AA58">
        <f>HYPERLINK("https://klasma.github.io/Logging_2409/klagomål/A 42891-2023 FSC-klagomål.docx", "A 42891-2023")</f>
        <v/>
      </c>
      <c r="AB58">
        <f>HYPERLINK("https://klasma.github.io/Logging_2409/klagomålsmail/A 42891-2023 FSC-klagomål mail.docx", "A 42891-2023")</f>
        <v/>
      </c>
      <c r="AC58">
        <f>HYPERLINK("https://klasma.github.io/Logging_2409/tillsyn/A 42891-2023 tillsynsbegäran.docx", "A 42891-2023")</f>
        <v/>
      </c>
      <c r="AD58">
        <f>HYPERLINK("https://klasma.github.io/Logging_2409/tillsynsmail/A 42891-2023 tillsynsbegäran mail.docx", "A 42891-2023")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46248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52723-2025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46248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HYPERLINK("https://klasma.github.io/Logging_2409/artfynd/A 52723-2025 artfynd.xlsx", "A 52723-2025")</f>
        <v/>
      </c>
      <c r="X60">
        <f>HYPERLINK("https://klasma.github.io/Logging_2409/kartor/A 52723-2025 karta.png", "A 52723-2025")</f>
        <v/>
      </c>
      <c r="Y60">
        <f>HYPERLINK("https://klasma.github.io/Logging_2409/kartor_geotiff/A 52723-2025 georefererad karta.tif", "A 52723-2025")</f>
        <v/>
      </c>
      <c r="AA60">
        <f>HYPERLINK("https://klasma.github.io/Logging_2409/klagomål/A 52723-2025 FSC-klagomål.docx", "A 52723-2025")</f>
        <v/>
      </c>
      <c r="AB60">
        <f>HYPERLINK("https://klasma.github.io/Logging_2409/klagomålsmail/A 52723-2025 FSC-klagomål mail.docx", "A 52723-2025")</f>
        <v/>
      </c>
      <c r="AC60">
        <f>HYPERLINK("https://klasma.github.io/Logging_2409/tillsyn/A 52723-2025 tillsynsbegäran.docx", "A 52723-2025")</f>
        <v/>
      </c>
      <c r="AD60">
        <f>HYPERLINK("https://klasma.github.io/Logging_2409/tillsynsmail/A 52723-2025 tillsynsbegäran mail.docx", "A 52723-2025")</f>
        <v/>
      </c>
      <c r="AE60">
        <f>HYPERLINK("https://klasma.github.io/Logging_2409/fåglar/A 52723-2025 prioriterade fågelarter.docx", "A 52723-2025")</f>
        <v/>
      </c>
    </row>
    <row r="61" ht="15" customHeight="1">
      <c r="A61" t="inlineStr">
        <is>
          <t>A 28224-2026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46248</v>
      </c>
      <c r="F61" t="inlineStr">
        <is>
          <t>VÄSTERBOTTENS LÄN</t>
        </is>
      </c>
      <c r="G61" t="inlineStr">
        <is>
          <t>ROBERTSFORS</t>
        </is>
      </c>
      <c r="I61" t="n">
        <v>9.800000000000001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6</v>
      </c>
      <c r="U61" t="n">
        <v>0</v>
      </c>
      <c r="V61" s="2" t="inlineStr">
        <is>
          <t>Garnlav</t>
        </is>
      </c>
      <c r="W61">
        <f>HYPERLINK("https://klasma.github.io/Logging_2409/artfynd/A 28224-2026 artfynd.xlsx", "A 28224-2026")</f>
        <v/>
      </c>
      <c r="X61">
        <f>HYPERLINK("https://klasma.github.io/Logging_2409/kartor/A 28224-2026 karta.png", "A 28224-2026")</f>
        <v/>
      </c>
      <c r="Y61">
        <f>HYPERLINK("https://klasma.github.io/Logging_2409/kartor_geotiff/A 28224-2026 georefererad karta.tif", "A 28224-2026")</f>
        <v/>
      </c>
      <c r="AA61">
        <f>HYPERLINK("https://klasma.github.io/Logging_2409/klagomål/A 28224-2026 FSC-klagomål.docx", "A 28224-2026")</f>
        <v/>
      </c>
      <c r="AB61">
        <f>HYPERLINK("https://klasma.github.io/Logging_2409/klagomålsmail/A 28224-2026 FSC-klagomål mail.docx", "A 28224-2026")</f>
        <v/>
      </c>
      <c r="AC61">
        <f>HYPERLINK("https://klasma.github.io/Logging_2409/tillsyn/A 28224-2026 tillsynsbegäran.docx", "A 28224-2026")</f>
        <v/>
      </c>
      <c r="AD61">
        <f>HYPERLINK("https://klasma.github.io/Logging_2409/tillsynsmail/A 28224-2026 tillsynsbegäran mail.docx", "A 28224-2026")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46248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28750-2026 artfynd.xlsx", "A 28750-2026")</f>
        <v/>
      </c>
      <c r="X62">
        <f>HYPERLINK("https://klasma.github.io/Logging_2409/kartor/A 28750-2026 karta.png", "A 28750-2026")</f>
        <v/>
      </c>
      <c r="Y62">
        <f>HYPERLINK("https://klasma.github.io/Logging_2409/kartor_geotiff/A 28750-2026 georefererad karta.tif", "A 28750-2026")</f>
        <v/>
      </c>
      <c r="AA62">
        <f>HYPERLINK("https://klasma.github.io/Logging_2409/klagomål/A 28750-2026 FSC-klagomål.docx", "A 28750-2026")</f>
        <v/>
      </c>
      <c r="AB62">
        <f>HYPERLINK("https://klasma.github.io/Logging_2409/klagomålsmail/A 28750-2026 FSC-klagomål mail.docx", "A 28750-2026")</f>
        <v/>
      </c>
      <c r="AC62">
        <f>HYPERLINK("https://klasma.github.io/Logging_2409/tillsyn/A 28750-2026 tillsynsbegäran.docx", "A 28750-2026")</f>
        <v/>
      </c>
      <c r="AD62">
        <f>HYPERLINK("https://klasma.github.io/Logging_2409/tillsynsmail/A 28750-2026 tillsynsbegäran mail.docx", "A 28750-2026")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46248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5285-2026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46050</v>
      </c>
      <c r="E64" s="1" t="n">
        <v>46248</v>
      </c>
      <c r="F64" t="inlineStr">
        <is>
          <t>VÄSTERBOTTENS LÄN</t>
        </is>
      </c>
      <c r="G64" t="inlineStr">
        <is>
          <t>ROBERTSFORS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HYPERLINK("https://klasma.github.io/Logging_2409/artfynd/A 5285-2026 artfynd.xlsx", "A 5285-2026")</f>
        <v/>
      </c>
      <c r="X64">
        <f>HYPERLINK("https://klasma.github.io/Logging_2409/kartor/A 5285-2026 karta.png", "A 5285-2026")</f>
        <v/>
      </c>
      <c r="Y64">
        <f>HYPERLINK("https://klasma.github.io/Logging_2409/kartor_geotiff/A 5285-2026 georefererad karta.tif", "A 5285-2026")</f>
        <v/>
      </c>
      <c r="AA64">
        <f>HYPERLINK("https://klasma.github.io/Logging_2409/klagomål/A 5285-2026 FSC-klagomål.docx", "A 5285-2026")</f>
        <v/>
      </c>
      <c r="AB64">
        <f>HYPERLINK("https://klasma.github.io/Logging_2409/klagomålsmail/A 5285-2026 FSC-klagomål mail.docx", "A 5285-2026")</f>
        <v/>
      </c>
      <c r="AC64">
        <f>HYPERLINK("https://klasma.github.io/Logging_2409/tillsyn/A 5285-2026 tillsynsbegäran.docx", "A 5285-2026")</f>
        <v/>
      </c>
      <c r="AD64">
        <f>HYPERLINK("https://klasma.github.io/Logging_2409/tillsynsmail/A 5285-2026 tillsynsbegäran mail.docx", "A 5285-2026")</f>
        <v/>
      </c>
      <c r="AE64">
        <f>HYPERLINK("https://klasma.github.io/Logging_2409/fåglar/A 5285-2026 prioriterade fågelarter.docx", "A 5285-2026")</f>
        <v/>
      </c>
    </row>
    <row r="65" ht="15" customHeight="1">
      <c r="A65" t="inlineStr">
        <is>
          <t>A 5289-2026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46050</v>
      </c>
      <c r="E65" s="1" t="n">
        <v>46248</v>
      </c>
      <c r="F65" t="inlineStr">
        <is>
          <t>VÄSTERBOTTENS LÄN</t>
        </is>
      </c>
      <c r="G65" t="inlineStr">
        <is>
          <t>ROBERTSFORS</t>
        </is>
      </c>
      <c r="I65" t="n">
        <v>2.1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Björktrast</t>
        </is>
      </c>
      <c r="W65">
        <f>HYPERLINK("https://klasma.github.io/Logging_2409/artfynd/A 5289-2026 artfynd.xlsx", "A 5289-2026")</f>
        <v/>
      </c>
      <c r="X65">
        <f>HYPERLINK("https://klasma.github.io/Logging_2409/kartor/A 5289-2026 karta.png", "A 5289-2026")</f>
        <v/>
      </c>
      <c r="Y65">
        <f>HYPERLINK("https://klasma.github.io/Logging_2409/kartor_geotiff/A 5289-2026 georefererad karta.tif", "A 5289-2026")</f>
        <v/>
      </c>
      <c r="AA65">
        <f>HYPERLINK("https://klasma.github.io/Logging_2409/klagomål/A 5289-2026 FSC-klagomål.docx", "A 5289-2026")</f>
        <v/>
      </c>
      <c r="AB65">
        <f>HYPERLINK("https://klasma.github.io/Logging_2409/klagomålsmail/A 5289-2026 FSC-klagomål mail.docx", "A 5289-2026")</f>
        <v/>
      </c>
      <c r="AC65">
        <f>HYPERLINK("https://klasma.github.io/Logging_2409/tillsyn/A 5289-2026 tillsynsbegäran.docx", "A 5289-2026")</f>
        <v/>
      </c>
      <c r="AD65">
        <f>HYPERLINK("https://klasma.github.io/Logging_2409/tillsynsmail/A 5289-2026 tillsynsbegäran mail.docx", "A 5289-2026")</f>
        <v/>
      </c>
      <c r="AE65">
        <f>HYPERLINK("https://klasma.github.io/Logging_2409/fåglar/A 5289-2026 prioriterade fågelarter.docx", "A 5289-2026")</f>
        <v/>
      </c>
    </row>
    <row r="66" ht="15" customHeight="1">
      <c r="A66" t="inlineStr">
        <is>
          <t>A 5284-2026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46050</v>
      </c>
      <c r="E66" s="1" t="n">
        <v>46248</v>
      </c>
      <c r="F66" t="inlineStr">
        <is>
          <t>VÄSTERBOTTENS LÄN</t>
        </is>
      </c>
      <c r="G66" t="inlineStr">
        <is>
          <t>ROBERTSFORS</t>
        </is>
      </c>
      <c r="I66" t="n">
        <v>3.1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HYPERLINK("https://klasma.github.io/Logging_2409/artfynd/A 5284-2026 artfynd.xlsx", "A 5284-2026")</f>
        <v/>
      </c>
      <c r="X66">
        <f>HYPERLINK("https://klasma.github.io/Logging_2409/kartor/A 5284-2026 karta.png", "A 5284-2026")</f>
        <v/>
      </c>
      <c r="Y66">
        <f>HYPERLINK("https://klasma.github.io/Logging_2409/kartor_geotiff/A 5284-2026 georefererad karta.tif", "A 5284-2026")</f>
        <v/>
      </c>
      <c r="AA66">
        <f>HYPERLINK("https://klasma.github.io/Logging_2409/klagomål/A 5284-2026 FSC-klagomål.docx", "A 5284-2026")</f>
        <v/>
      </c>
      <c r="AB66">
        <f>HYPERLINK("https://klasma.github.io/Logging_2409/klagomålsmail/A 5284-2026 FSC-klagomål mail.docx", "A 5284-2026")</f>
        <v/>
      </c>
      <c r="AC66">
        <f>HYPERLINK("https://klasma.github.io/Logging_2409/tillsyn/A 5284-2026 tillsynsbegäran.docx", "A 5284-2026")</f>
        <v/>
      </c>
      <c r="AD66">
        <f>HYPERLINK("https://klasma.github.io/Logging_2409/tillsynsmail/A 5284-2026 tillsynsbegäran mail.docx", "A 5284-2026")</f>
        <v/>
      </c>
      <c r="AE66">
        <f>HYPERLINK("https://klasma.github.io/Logging_2409/fåglar/A 5284-2026 prioriterade fågelarter.docx", "A 5284-2026")</f>
        <v/>
      </c>
    </row>
    <row r="67" ht="15" customHeight="1">
      <c r="A67" t="inlineStr">
        <is>
          <t>A 35551-2025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45856</v>
      </c>
      <c r="E67" s="1" t="n">
        <v>46248</v>
      </c>
      <c r="F67" t="inlineStr">
        <is>
          <t>VÄSTERBOTTENS LÄN</t>
        </is>
      </c>
      <c r="G67" t="inlineStr">
        <is>
          <t>ROBERTSFORS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HYPERLINK("https://klasma.github.io/Logging_2409/artfynd/A 35551-2025 artfynd.xlsx", "A 35551-2025")</f>
        <v/>
      </c>
      <c r="X67">
        <f>HYPERLINK("https://klasma.github.io/Logging_2409/kartor/A 35551-2025 karta.png", "A 35551-2025")</f>
        <v/>
      </c>
      <c r="Y67">
        <f>HYPERLINK("https://klasma.github.io/Logging_2409/kartor_geotiff/A 35551-2025 georefererad karta.tif", "A 35551-2025")</f>
        <v/>
      </c>
      <c r="AA67">
        <f>HYPERLINK("https://klasma.github.io/Logging_2409/klagomål/A 35551-2025 FSC-klagomål.docx", "A 35551-2025")</f>
        <v/>
      </c>
      <c r="AB67">
        <f>HYPERLINK("https://klasma.github.io/Logging_2409/klagomålsmail/A 35551-2025 FSC-klagomål mail.docx", "A 35551-2025")</f>
        <v/>
      </c>
      <c r="AC67">
        <f>HYPERLINK("https://klasma.github.io/Logging_2409/tillsyn/A 35551-2025 tillsynsbegäran.docx", "A 35551-2025")</f>
        <v/>
      </c>
      <c r="AD67">
        <f>HYPERLINK("https://klasma.github.io/Logging_2409/tillsynsmail/A 35551-2025 tillsynsbegäran mail.docx", "A 35551-2025")</f>
        <v/>
      </c>
      <c r="AE67">
        <f>HYPERLINK("https://klasma.github.io/Logging_2409/fåglar/A 35551-2025 prioriterade fågelarter.docx", "A 35551-2025")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46248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46248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46248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46248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46248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46248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46248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46248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46248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46248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46248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46248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49594-2021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44455</v>
      </c>
      <c r="E80" s="1" t="n">
        <v>46248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46248</v>
      </c>
      <c r="F81" t="inlineStr">
        <is>
          <t>VÄSTERBOTTENS LÄN</t>
        </is>
      </c>
      <c r="G81" t="inlineStr">
        <is>
          <t>ROBERTSFORS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46248</v>
      </c>
      <c r="F82" t="inlineStr">
        <is>
          <t>VÄSTERBOTTENS LÄN</t>
        </is>
      </c>
      <c r="G82" t="inlineStr">
        <is>
          <t>ROBERTSFORS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46248</v>
      </c>
      <c r="F83" t="inlineStr">
        <is>
          <t>VÄSTERBOTTENS LÄN</t>
        </is>
      </c>
      <c r="G83" t="inlineStr">
        <is>
          <t>ROBERTSFORS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46248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46248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12622-2022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44641</v>
      </c>
      <c r="E86" s="1" t="n">
        <v>46248</v>
      </c>
      <c r="F86" t="inlineStr">
        <is>
          <t>VÄSTERBOTTENS LÄN</t>
        </is>
      </c>
      <c r="G86" t="inlineStr">
        <is>
          <t>ROBERTSFORS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31596-2022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44775</v>
      </c>
      <c r="E87" s="1" t="n">
        <v>46248</v>
      </c>
      <c r="F87" t="inlineStr">
        <is>
          <t>VÄSTERBOTTENS LÄN</t>
        </is>
      </c>
      <c r="G87" t="inlineStr">
        <is>
          <t>ROBERTSFORS</t>
        </is>
      </c>
      <c r="H87" t="inlineStr">
        <is>
          <t>Holmen skog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44844</v>
      </c>
      <c r="E88" s="1" t="n">
        <v>46248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44452</v>
      </c>
      <c r="E89" s="1" t="n">
        <v>46248</v>
      </c>
      <c r="F89" t="inlineStr">
        <is>
          <t>VÄSTERBOTTENS LÄN</t>
        </is>
      </c>
      <c r="G89" t="inlineStr">
        <is>
          <t>ROBERTSFORS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57189-2021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46248</v>
      </c>
      <c r="F90" t="inlineStr">
        <is>
          <t>VÄSTERBOTTENS LÄN</t>
        </is>
      </c>
      <c r="G90" t="inlineStr">
        <is>
          <t>ROBERTSFORS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46248</v>
      </c>
      <c r="F91" t="inlineStr">
        <is>
          <t>VÄSTERBOTTENS LÄN</t>
        </is>
      </c>
      <c r="G91" t="inlineStr">
        <is>
          <t>ROBERTSFORS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46248</v>
      </c>
      <c r="F92" t="inlineStr">
        <is>
          <t>VÄSTERBOTTENS LÄN</t>
        </is>
      </c>
      <c r="G92" t="inlineStr">
        <is>
          <t>ROBERTSFORS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44575</v>
      </c>
      <c r="E93" s="1" t="n">
        <v>46248</v>
      </c>
      <c r="F93" t="inlineStr">
        <is>
          <t>VÄSTERBOTTENS LÄN</t>
        </is>
      </c>
      <c r="G93" t="inlineStr">
        <is>
          <t>ROBERTSFORS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26231-2022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44735</v>
      </c>
      <c r="E94" s="1" t="n">
        <v>46248</v>
      </c>
      <c r="F94" t="inlineStr">
        <is>
          <t>VÄSTERBOTTENS LÄN</t>
        </is>
      </c>
      <c r="G94" t="inlineStr">
        <is>
          <t>ROBERTSFORS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44795</v>
      </c>
      <c r="E95" s="1" t="n">
        <v>46248</v>
      </c>
      <c r="F95" t="inlineStr">
        <is>
          <t>VÄSTERBOTTENS LÄN</t>
        </is>
      </c>
      <c r="G95" t="inlineStr">
        <is>
          <t>ROBERTSFORS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48024-2022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44855</v>
      </c>
      <c r="E96" s="1" t="n">
        <v>46248</v>
      </c>
      <c r="F96" t="inlineStr">
        <is>
          <t>VÄSTERBOTTENS LÄN</t>
        </is>
      </c>
      <c r="G96" t="inlineStr">
        <is>
          <t>ROBERTSFORS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46248</v>
      </c>
      <c r="F97" t="inlineStr">
        <is>
          <t>VÄSTERBOTTENS LÄN</t>
        </is>
      </c>
      <c r="G97" t="inlineStr">
        <is>
          <t>ROBERTSFORS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46248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46248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46248</v>
      </c>
      <c r="F100" t="inlineStr">
        <is>
          <t>VÄSTERBOTTENS LÄN</t>
        </is>
      </c>
      <c r="G100" t="inlineStr">
        <is>
          <t>ROBERTSFORS</t>
        </is>
      </c>
      <c r="H100" t="inlineStr">
        <is>
          <t>Holmen skog AB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46248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46248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25216-2022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44729</v>
      </c>
      <c r="E103" s="1" t="n">
        <v>46248</v>
      </c>
      <c r="F103" t="inlineStr">
        <is>
          <t>VÄSTERBOTTENS LÄN</t>
        </is>
      </c>
      <c r="G103" t="inlineStr">
        <is>
          <t>ROBERTSFORS</t>
        </is>
      </c>
      <c r="I103" t="n">
        <v>9.1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44841</v>
      </c>
      <c r="E104" s="1" t="n">
        <v>46248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46248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54502-2021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46248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Sveaskog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46248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47220-2021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46248</v>
      </c>
      <c r="F108" t="inlineStr">
        <is>
          <t>VÄSTERBOTTENS LÄN</t>
        </is>
      </c>
      <c r="G108" t="inlineStr">
        <is>
          <t>ROBERTSFORS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47225-2021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44447</v>
      </c>
      <c r="E109" s="1" t="n">
        <v>46248</v>
      </c>
      <c r="F109" t="inlineStr">
        <is>
          <t>VÄSTERBOTTENS LÄN</t>
        </is>
      </c>
      <c r="G109" t="inlineStr">
        <is>
          <t>ROBERTSFORS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44819</v>
      </c>
      <c r="E110" s="1" t="n">
        <v>46248</v>
      </c>
      <c r="F110" t="inlineStr">
        <is>
          <t>VÄSTERBOTTENS LÄN</t>
        </is>
      </c>
      <c r="G110" t="inlineStr">
        <is>
          <t>ROBERTSFORS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44824</v>
      </c>
      <c r="E111" s="1" t="n">
        <v>46248</v>
      </c>
      <c r="F111" t="inlineStr">
        <is>
          <t>VÄSTERBOTTENS LÄN</t>
        </is>
      </c>
      <c r="G111" t="inlineStr">
        <is>
          <t>ROBERTSFORS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46248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46248</v>
      </c>
      <c r="F113" t="inlineStr">
        <is>
          <t>VÄSTERBOTTENS LÄN</t>
        </is>
      </c>
      <c r="G113" t="inlineStr">
        <is>
          <t>ROBERTSFORS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44662</v>
      </c>
      <c r="E114" s="1" t="n">
        <v>46248</v>
      </c>
      <c r="F114" t="inlineStr">
        <is>
          <t>VÄSTERBOTTENS LÄN</t>
        </is>
      </c>
      <c r="G114" t="inlineStr">
        <is>
          <t>ROBERTSFORS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46248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44641</v>
      </c>
      <c r="E116" s="1" t="n">
        <v>46248</v>
      </c>
      <c r="F116" t="inlineStr">
        <is>
          <t>VÄSTERBOTTENS LÄN</t>
        </is>
      </c>
      <c r="G116" t="inlineStr">
        <is>
          <t>ROBERTSFORS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46248</v>
      </c>
      <c r="F117" t="inlineStr">
        <is>
          <t>VÄSTERBOTTENS LÄN</t>
        </is>
      </c>
      <c r="G117" t="inlineStr">
        <is>
          <t>ROBERTSFORS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46248</v>
      </c>
      <c r="F118" t="inlineStr">
        <is>
          <t>VÄSTERBOTTENS LÄN</t>
        </is>
      </c>
      <c r="G118" t="inlineStr">
        <is>
          <t>ROBERTSFORS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45537</v>
      </c>
      <c r="E119" s="1" t="n">
        <v>46248</v>
      </c>
      <c r="F119" t="inlineStr">
        <is>
          <t>VÄSTERBOTTENS LÄN</t>
        </is>
      </c>
      <c r="G119" t="inlineStr">
        <is>
          <t>ROBERTSFORS</t>
        </is>
      </c>
      <c r="H119" t="inlineStr">
        <is>
          <t>Holmen skog AB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36477-2024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45537</v>
      </c>
      <c r="E120" s="1" t="n">
        <v>46248</v>
      </c>
      <c r="F120" t="inlineStr">
        <is>
          <t>VÄSTERBOTTENS LÄN</t>
        </is>
      </c>
      <c r="G120" t="inlineStr">
        <is>
          <t>ROBERTSFORS</t>
        </is>
      </c>
      <c r="H120" t="inlineStr">
        <is>
          <t>Holmen skog AB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2590-2022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44580</v>
      </c>
      <c r="E121" s="1" t="n">
        <v>46248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39283-2022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44817</v>
      </c>
      <c r="E122" s="1" t="n">
        <v>46248</v>
      </c>
      <c r="F122" t="inlineStr">
        <is>
          <t>VÄSTERBOTTENS LÄN</t>
        </is>
      </c>
      <c r="G122" t="inlineStr">
        <is>
          <t>ROBERTSFORS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46248</v>
      </c>
      <c r="F123" t="inlineStr">
        <is>
          <t>VÄSTERBOTTENS LÄN</t>
        </is>
      </c>
      <c r="G123" t="inlineStr">
        <is>
          <t>ROBERTSFORS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46248</v>
      </c>
      <c r="F124" t="inlineStr">
        <is>
          <t>VÄSTERBOTTENS LÄN</t>
        </is>
      </c>
      <c r="G124" t="inlineStr">
        <is>
          <t>ROBERTSFORS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45653</v>
      </c>
      <c r="E125" s="1" t="n">
        <v>46248</v>
      </c>
      <c r="F125" t="inlineStr">
        <is>
          <t>VÄSTERBOTTENS LÄN</t>
        </is>
      </c>
      <c r="G125" t="inlineStr">
        <is>
          <t>ROBERTSFORS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44938</v>
      </c>
      <c r="E126" s="1" t="n">
        <v>46248</v>
      </c>
      <c r="F126" t="inlineStr">
        <is>
          <t>VÄSTERBOTTENS LÄN</t>
        </is>
      </c>
      <c r="G126" t="inlineStr">
        <is>
          <t>ROBERTSFORS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45048</v>
      </c>
      <c r="E127" s="1" t="n">
        <v>46248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46248</v>
      </c>
      <c r="F128" t="inlineStr">
        <is>
          <t>VÄSTERBOTTENS LÄN</t>
        </is>
      </c>
      <c r="G128" t="inlineStr">
        <is>
          <t>ROBERTSFORS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46248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45197</v>
      </c>
      <c r="E130" s="1" t="n">
        <v>46248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44945</v>
      </c>
      <c r="E131" s="1" t="n">
        <v>46248</v>
      </c>
      <c r="F131" t="inlineStr">
        <is>
          <t>VÄSTERBOTTENS LÄN</t>
        </is>
      </c>
      <c r="G131" t="inlineStr">
        <is>
          <t>ROBERTSFORS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57979-2021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44487</v>
      </c>
      <c r="E132" s="1" t="n">
        <v>46248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45622</v>
      </c>
      <c r="E133" s="1" t="n">
        <v>46248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45756</v>
      </c>
      <c r="E134" s="1" t="n">
        <v>46248</v>
      </c>
      <c r="F134" t="inlineStr">
        <is>
          <t>VÄSTERBOTTENS LÄN</t>
        </is>
      </c>
      <c r="G134" t="inlineStr">
        <is>
          <t>ROBERTSFORS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46248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46248</v>
      </c>
      <c r="F136" t="inlineStr">
        <is>
          <t>VÄSTERBOTTENS LÄN</t>
        </is>
      </c>
      <c r="G136" t="inlineStr">
        <is>
          <t>ROBERTSFORS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46248</v>
      </c>
      <c r="F137" t="inlineStr">
        <is>
          <t>VÄSTERBOTTENS LÄN</t>
        </is>
      </c>
      <c r="G137" t="inlineStr">
        <is>
          <t>ROBERTSFORS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46248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SCA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45701</v>
      </c>
      <c r="E139" s="1" t="n">
        <v>46248</v>
      </c>
      <c r="F139" t="inlineStr">
        <is>
          <t>VÄSTERBOTTENS LÄN</t>
        </is>
      </c>
      <c r="G139" t="inlineStr">
        <is>
          <t>ROBERTSFORS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44627</v>
      </c>
      <c r="E140" s="1" t="n">
        <v>46248</v>
      </c>
      <c r="F140" t="inlineStr">
        <is>
          <t>VÄSTERBOTTENS LÄN</t>
        </is>
      </c>
      <c r="G140" t="inlineStr">
        <is>
          <t>ROBERTSFORS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44627</v>
      </c>
      <c r="E141" s="1" t="n">
        <v>46248</v>
      </c>
      <c r="F141" t="inlineStr">
        <is>
          <t>VÄSTERBOTTENS LÄN</t>
        </is>
      </c>
      <c r="G141" t="inlineStr">
        <is>
          <t>ROBERTSFORS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46248</v>
      </c>
      <c r="F142" t="inlineStr">
        <is>
          <t>VÄSTERBOTTENS LÄN</t>
        </is>
      </c>
      <c r="G142" t="inlineStr">
        <is>
          <t>ROBERTSFORS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46248</v>
      </c>
      <c r="F143" t="inlineStr">
        <is>
          <t>VÄSTERBOTTENS LÄN</t>
        </is>
      </c>
      <c r="G143" t="inlineStr">
        <is>
          <t>ROBERTSFORS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45307</v>
      </c>
      <c r="E144" s="1" t="n">
        <v>46248</v>
      </c>
      <c r="F144" t="inlineStr">
        <is>
          <t>VÄSTERBOTTENS LÄN</t>
        </is>
      </c>
      <c r="G144" t="inlineStr">
        <is>
          <t>ROBERTSFORS</t>
        </is>
      </c>
      <c r="I144" t="n">
        <v>12.1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46248</v>
      </c>
      <c r="F145" t="inlineStr">
        <is>
          <t>VÄSTERBOTTENS LÄN</t>
        </is>
      </c>
      <c r="G145" t="inlineStr">
        <is>
          <t>ROBERTSFORS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15294-2023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45019</v>
      </c>
      <c r="E146" s="1" t="n">
        <v>46248</v>
      </c>
      <c r="F146" t="inlineStr">
        <is>
          <t>VÄSTERBOTTENS LÄN</t>
        </is>
      </c>
      <c r="G146" t="inlineStr">
        <is>
          <t>ROBERTSFORS</t>
        </is>
      </c>
      <c r="I146" t="n">
        <v>9.9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46248</v>
      </c>
      <c r="F147" t="inlineStr">
        <is>
          <t>VÄSTERBOTTENS LÄN</t>
        </is>
      </c>
      <c r="G147" t="inlineStr">
        <is>
          <t>ROBERTSFORS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45580</v>
      </c>
      <c r="E148" s="1" t="n">
        <v>46248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54366-2024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45617</v>
      </c>
      <c r="E149" s="1" t="n">
        <v>46248</v>
      </c>
      <c r="F149" t="inlineStr">
        <is>
          <t>VÄSTERBOTTENS LÄN</t>
        </is>
      </c>
      <c r="G149" t="inlineStr">
        <is>
          <t>ROBERTSFORS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45470</v>
      </c>
      <c r="E150" s="1" t="n">
        <v>46248</v>
      </c>
      <c r="F150" t="inlineStr">
        <is>
          <t>VÄSTERBOTTENS LÄN</t>
        </is>
      </c>
      <c r="G150" t="inlineStr">
        <is>
          <t>ROBERTSFORS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45335</v>
      </c>
      <c r="E151" s="1" t="n">
        <v>46248</v>
      </c>
      <c r="F151" t="inlineStr">
        <is>
          <t>VÄSTERBOTTENS LÄN</t>
        </is>
      </c>
      <c r="G151" t="inlineStr">
        <is>
          <t>ROBERTSFORS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45671</v>
      </c>
      <c r="E152" s="1" t="n">
        <v>46248</v>
      </c>
      <c r="F152" t="inlineStr">
        <is>
          <t>VÄSTERBOTTENS LÄN</t>
        </is>
      </c>
      <c r="G152" t="inlineStr">
        <is>
          <t>ROBERTSFORS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45301</v>
      </c>
      <c r="E153" s="1" t="n">
        <v>46248</v>
      </c>
      <c r="F153" t="inlineStr">
        <is>
          <t>VÄSTERBOTTENS LÄN</t>
        </is>
      </c>
      <c r="G153" t="inlineStr">
        <is>
          <t>ROBERTSFORS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46248</v>
      </c>
      <c r="F154" t="inlineStr">
        <is>
          <t>VÄSTERBOTTENS LÄN</t>
        </is>
      </c>
      <c r="G154" t="inlineStr">
        <is>
          <t>ROBERTSFORS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44651-2023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46248</v>
      </c>
      <c r="F155" t="inlineStr">
        <is>
          <t>VÄSTERBOTTENS LÄN</t>
        </is>
      </c>
      <c r="G155" t="inlineStr">
        <is>
          <t>ROBERTSFORS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45712</v>
      </c>
      <c r="E156" s="1" t="n">
        <v>46248</v>
      </c>
      <c r="F156" t="inlineStr">
        <is>
          <t>VÄSTERBOTTENS LÄN</t>
        </is>
      </c>
      <c r="G156" t="inlineStr">
        <is>
          <t>ROBERTSFORS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45261</v>
      </c>
      <c r="E157" s="1" t="n">
        <v>46248</v>
      </c>
      <c r="F157" t="inlineStr">
        <is>
          <t>VÄSTERBOTTENS LÄN</t>
        </is>
      </c>
      <c r="G157" t="inlineStr">
        <is>
          <t>ROBERTSFORS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30722-2024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45496</v>
      </c>
      <c r="E158" s="1" t="n">
        <v>46248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45617</v>
      </c>
      <c r="E159" s="1" t="n">
        <v>46248</v>
      </c>
      <c r="F159" t="inlineStr">
        <is>
          <t>VÄSTERBOTTENS LÄN</t>
        </is>
      </c>
      <c r="G159" t="inlineStr">
        <is>
          <t>ROBERTSFORS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45160</v>
      </c>
      <c r="E160" s="1" t="n">
        <v>46248</v>
      </c>
      <c r="F160" t="inlineStr">
        <is>
          <t>VÄSTERBOTTENS LÄN</t>
        </is>
      </c>
      <c r="G160" t="inlineStr">
        <is>
          <t>ROBERTSFORS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15879-2024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46248</v>
      </c>
      <c r="F161" t="inlineStr">
        <is>
          <t>VÄSTERBOTTENS LÄN</t>
        </is>
      </c>
      <c r="G161" t="inlineStr">
        <is>
          <t>ROBERTSFORS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26791-2023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46248</v>
      </c>
      <c r="F162" t="inlineStr">
        <is>
          <t>VÄSTERBOTTENS LÄN</t>
        </is>
      </c>
      <c r="G162" t="inlineStr">
        <is>
          <t>ROBERTSFORS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46248</v>
      </c>
      <c r="F163" t="inlineStr">
        <is>
          <t>VÄSTERBOTTENS LÄN</t>
        </is>
      </c>
      <c r="G163" t="inlineStr">
        <is>
          <t>ROBERTSFORS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33584-2022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44789</v>
      </c>
      <c r="E164" s="1" t="n">
        <v>46248</v>
      </c>
      <c r="F164" t="inlineStr">
        <is>
          <t>VÄSTERBOTTENS LÄN</t>
        </is>
      </c>
      <c r="G164" t="inlineStr">
        <is>
          <t>ROBERTSFORS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45005</v>
      </c>
      <c r="E165" s="1" t="n">
        <v>46248</v>
      </c>
      <c r="F165" t="inlineStr">
        <is>
          <t>VÄSTERBOTTENS LÄN</t>
        </is>
      </c>
      <c r="G165" t="inlineStr">
        <is>
          <t>ROBERTSFORS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45484</v>
      </c>
      <c r="E166" s="1" t="n">
        <v>46248</v>
      </c>
      <c r="F166" t="inlineStr">
        <is>
          <t>VÄSTERBOTTENS LÄN</t>
        </is>
      </c>
      <c r="G166" t="inlineStr">
        <is>
          <t>ROBERTSFORS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41850-2023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46248</v>
      </c>
      <c r="F167" t="inlineStr">
        <is>
          <t>VÄSTERBOTTENS LÄN</t>
        </is>
      </c>
      <c r="G167" t="inlineStr">
        <is>
          <t>ROBERTSFORS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2707-2022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44580</v>
      </c>
      <c r="E168" s="1" t="n">
        <v>46248</v>
      </c>
      <c r="F168" t="inlineStr">
        <is>
          <t>VÄSTERBOTTENS LÄN</t>
        </is>
      </c>
      <c r="G168" t="inlineStr">
        <is>
          <t>ROBERTSFORS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43946-2024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45572</v>
      </c>
      <c r="E169" s="1" t="n">
        <v>46248</v>
      </c>
      <c r="F169" t="inlineStr">
        <is>
          <t>VÄSTERBOTTENS LÄN</t>
        </is>
      </c>
      <c r="G169" t="inlineStr">
        <is>
          <t>ROBERTSFORS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41269-2024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45559</v>
      </c>
      <c r="E170" s="1" t="n">
        <v>46248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45559</v>
      </c>
      <c r="E171" s="1" t="n">
        <v>46248</v>
      </c>
      <c r="F171" t="inlineStr">
        <is>
          <t>VÄSTERBOTTENS LÄN</t>
        </is>
      </c>
      <c r="G171" t="inlineStr">
        <is>
          <t>ROBERTSFORS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45365</v>
      </c>
      <c r="E172" s="1" t="n">
        <v>46248</v>
      </c>
      <c r="F172" t="inlineStr">
        <is>
          <t>VÄSTERBOTTENS LÄN</t>
        </is>
      </c>
      <c r="G172" t="inlineStr">
        <is>
          <t>ROBERTSFORS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45020</v>
      </c>
      <c r="E173" s="1" t="n">
        <v>46248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46248</v>
      </c>
      <c r="F174" t="inlineStr">
        <is>
          <t>VÄSTERBOTTENS LÄN</t>
        </is>
      </c>
      <c r="G174" t="inlineStr">
        <is>
          <t>ROBERTSFORS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45568</v>
      </c>
      <c r="E175" s="1" t="n">
        <v>46248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62187-2021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44502</v>
      </c>
      <c r="E176" s="1" t="n">
        <v>46248</v>
      </c>
      <c r="F176" t="inlineStr">
        <is>
          <t>VÄSTERBOTTENS LÄN</t>
        </is>
      </c>
      <c r="G176" t="inlineStr">
        <is>
          <t>ROBERTSFORS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45667</v>
      </c>
      <c r="E177" s="1" t="n">
        <v>46248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45610</v>
      </c>
      <c r="E178" s="1" t="n">
        <v>46248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SCA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44580</v>
      </c>
      <c r="E179" s="1" t="n">
        <v>46248</v>
      </c>
      <c r="F179" t="inlineStr">
        <is>
          <t>VÄSTERBOTTENS LÄN</t>
        </is>
      </c>
      <c r="G179" t="inlineStr">
        <is>
          <t>ROBERTSFORS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45526</v>
      </c>
      <c r="E180" s="1" t="n">
        <v>46248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46248</v>
      </c>
      <c r="F181" t="inlineStr">
        <is>
          <t>VÄSTERBOTTENS LÄN</t>
        </is>
      </c>
      <c r="G181" t="inlineStr">
        <is>
          <t>ROBERTSFORS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45432</v>
      </c>
      <c r="E182" s="1" t="n">
        <v>46248</v>
      </c>
      <c r="F182" t="inlineStr">
        <is>
          <t>VÄSTERBOTTENS LÄN</t>
        </is>
      </c>
      <c r="G182" t="inlineStr">
        <is>
          <t>ROBERTSFORS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46248</v>
      </c>
      <c r="F183" t="inlineStr">
        <is>
          <t>VÄSTERBOTTENS LÄN</t>
        </is>
      </c>
      <c r="G183" t="inlineStr">
        <is>
          <t>ROBERTSFORS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60882-2024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45644</v>
      </c>
      <c r="E184" s="1" t="n">
        <v>46248</v>
      </c>
      <c r="F184" t="inlineStr">
        <is>
          <t>VÄSTERBOTTENS LÄN</t>
        </is>
      </c>
      <c r="G184" t="inlineStr">
        <is>
          <t>ROBERTSFORS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45659</v>
      </c>
      <c r="E185" s="1" t="n">
        <v>46248</v>
      </c>
      <c r="F185" t="inlineStr">
        <is>
          <t>VÄSTERBOTTENS LÄN</t>
        </is>
      </c>
      <c r="G185" t="inlineStr">
        <is>
          <t>ROBERTSFORS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45461</v>
      </c>
      <c r="E186" s="1" t="n">
        <v>46248</v>
      </c>
      <c r="F186" t="inlineStr">
        <is>
          <t>VÄSTERBOTTENS LÄN</t>
        </is>
      </c>
      <c r="G186" t="inlineStr">
        <is>
          <t>ROBERTSFORS</t>
        </is>
      </c>
      <c r="I186" t="n">
        <v>14.3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46248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53984-2022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44876</v>
      </c>
      <c r="E188" s="1" t="n">
        <v>46248</v>
      </c>
      <c r="F188" t="inlineStr">
        <is>
          <t>VÄSTERBOTTENS LÄN</t>
        </is>
      </c>
      <c r="G188" t="inlineStr">
        <is>
          <t>ROBERTSFORS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46248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13.9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45468</v>
      </c>
      <c r="E190" s="1" t="n">
        <v>46248</v>
      </c>
      <c r="F190" t="inlineStr">
        <is>
          <t>VÄSTERBOTTENS LÄN</t>
        </is>
      </c>
      <c r="G190" t="inlineStr">
        <is>
          <t>ROBERTSFORS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45510</v>
      </c>
      <c r="E191" s="1" t="n">
        <v>46248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46248</v>
      </c>
      <c r="F192" t="inlineStr">
        <is>
          <t>VÄSTERBOTTENS LÄN</t>
        </is>
      </c>
      <c r="G192" t="inlineStr">
        <is>
          <t>ROBERTSFORS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44904</v>
      </c>
      <c r="E193" s="1" t="n">
        <v>46248</v>
      </c>
      <c r="F193" t="inlineStr">
        <is>
          <t>VÄSTERBOTTENS LÄN</t>
        </is>
      </c>
      <c r="G193" t="inlineStr">
        <is>
          <t>ROBERTSFORS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46248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46248</v>
      </c>
      <c r="F195" t="inlineStr">
        <is>
          <t>VÄSTERBOTTENS LÄN</t>
        </is>
      </c>
      <c r="G195" t="inlineStr">
        <is>
          <t>ROBERTSFORS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45463</v>
      </c>
      <c r="E196" s="1" t="n">
        <v>46248</v>
      </c>
      <c r="F196" t="inlineStr">
        <is>
          <t>VÄSTERBOTTENS LÄN</t>
        </is>
      </c>
      <c r="G196" t="inlineStr">
        <is>
          <t>ROBERTSFORS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46248</v>
      </c>
      <c r="F197" t="inlineStr">
        <is>
          <t>VÄSTERBOTTENS LÄN</t>
        </is>
      </c>
      <c r="G197" t="inlineStr">
        <is>
          <t>ROBERTSFORS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16865-2023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45029</v>
      </c>
      <c r="E198" s="1" t="n">
        <v>46248</v>
      </c>
      <c r="F198" t="inlineStr">
        <is>
          <t>VÄSTERBOTTENS LÄN</t>
        </is>
      </c>
      <c r="G198" t="inlineStr">
        <is>
          <t>ROBERTSFORS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9135-2024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45357</v>
      </c>
      <c r="E199" s="1" t="n">
        <v>46248</v>
      </c>
      <c r="F199" t="inlineStr">
        <is>
          <t>VÄSTERBOTTENS LÄN</t>
        </is>
      </c>
      <c r="G199" t="inlineStr">
        <is>
          <t>ROBERTSFORS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8681-2025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45712</v>
      </c>
      <c r="E200" s="1" t="n">
        <v>46248</v>
      </c>
      <c r="F200" t="inlineStr">
        <is>
          <t>VÄSTERBOTTENS LÄN</t>
        </is>
      </c>
      <c r="G200" t="inlineStr">
        <is>
          <t>ROBERTSFORS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45446</v>
      </c>
      <c r="E201" s="1" t="n">
        <v>46248</v>
      </c>
      <c r="F201" t="inlineStr">
        <is>
          <t>VÄSTERBOTTENS LÄN</t>
        </is>
      </c>
      <c r="G201" t="inlineStr">
        <is>
          <t>ROBERTSFORS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46248</v>
      </c>
      <c r="F202" t="inlineStr">
        <is>
          <t>VÄSTERBOTTENS LÄN</t>
        </is>
      </c>
      <c r="G202" t="inlineStr">
        <is>
          <t>ROBERTSFORS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46248</v>
      </c>
      <c r="F203" t="inlineStr">
        <is>
          <t>VÄSTERBOTTENS LÄN</t>
        </is>
      </c>
      <c r="G203" t="inlineStr">
        <is>
          <t>ROBERTSFORS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44960</v>
      </c>
      <c r="E204" s="1" t="n">
        <v>46248</v>
      </c>
      <c r="F204" t="inlineStr">
        <is>
          <t>VÄSTERBOTTENS LÄN</t>
        </is>
      </c>
      <c r="G204" t="inlineStr">
        <is>
          <t>ROBERTSFORS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45687</v>
      </c>
      <c r="E205" s="1" t="n">
        <v>46248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45587</v>
      </c>
      <c r="E206" s="1" t="n">
        <v>46248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44913</v>
      </c>
      <c r="E207" s="1" t="n">
        <v>46248</v>
      </c>
      <c r="F207" t="inlineStr">
        <is>
          <t>VÄSTERBOTTENS LÄN</t>
        </is>
      </c>
      <c r="G207" t="inlineStr">
        <is>
          <t>ROBERTSFORS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45013</v>
      </c>
      <c r="E208" s="1" t="n">
        <v>46248</v>
      </c>
      <c r="F208" t="inlineStr">
        <is>
          <t>VÄSTERBOTTENS LÄN</t>
        </is>
      </c>
      <c r="G208" t="inlineStr">
        <is>
          <t>ROBERTSFORS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45070</v>
      </c>
      <c r="E209" s="1" t="n">
        <v>46248</v>
      </c>
      <c r="F209" t="inlineStr">
        <is>
          <t>VÄSTERBOTTENS LÄN</t>
        </is>
      </c>
      <c r="G209" t="inlineStr">
        <is>
          <t>ROBERTSFORS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46248</v>
      </c>
      <c r="F210" t="inlineStr">
        <is>
          <t>VÄSTERBOTTENS LÄN</t>
        </is>
      </c>
      <c r="G210" t="inlineStr">
        <is>
          <t>ROBERTSFORS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42494-2024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45565</v>
      </c>
      <c r="E211" s="1" t="n">
        <v>46248</v>
      </c>
      <c r="F211" t="inlineStr">
        <is>
          <t>VÄSTERBOTTENS LÄN</t>
        </is>
      </c>
      <c r="G211" t="inlineStr">
        <is>
          <t>ROBERTSFORS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45627</v>
      </c>
      <c r="E212" s="1" t="n">
        <v>46248</v>
      </c>
      <c r="F212" t="inlineStr">
        <is>
          <t>VÄSTERBOTTENS LÄN</t>
        </is>
      </c>
      <c r="G212" t="inlineStr">
        <is>
          <t>ROBERTSFORS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46248</v>
      </c>
      <c r="F213" t="inlineStr">
        <is>
          <t>VÄSTERBOTTENS LÄN</t>
        </is>
      </c>
      <c r="G213" t="inlineStr">
        <is>
          <t>ROBERTSFORS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58565-2023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46248</v>
      </c>
      <c r="F214" t="inlineStr">
        <is>
          <t>VÄSTERBOTTENS LÄN</t>
        </is>
      </c>
      <c r="G214" t="inlineStr">
        <is>
          <t>ROBERTSFORS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18827-2023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45042</v>
      </c>
      <c r="E215" s="1" t="n">
        <v>46248</v>
      </c>
      <c r="F215" t="inlineStr">
        <is>
          <t>VÄSTERBOTTENS LÄN</t>
        </is>
      </c>
      <c r="G215" t="inlineStr">
        <is>
          <t>ROBERTSFORS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46248</v>
      </c>
      <c r="F216" t="inlineStr">
        <is>
          <t>VÄSTERBOTTENS LÄN</t>
        </is>
      </c>
      <c r="G216" t="inlineStr">
        <is>
          <t>ROBERTSFORS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53271-2021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44467</v>
      </c>
      <c r="E217" s="1" t="n">
        <v>46248</v>
      </c>
      <c r="F217" t="inlineStr">
        <is>
          <t>VÄSTERBOTTENS LÄN</t>
        </is>
      </c>
      <c r="G217" t="inlineStr">
        <is>
          <t>ROBERTSFORS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45251</v>
      </c>
      <c r="E218" s="1" t="n">
        <v>46248</v>
      </c>
      <c r="F218" t="inlineStr">
        <is>
          <t>VÄSTERBOTTENS LÄN</t>
        </is>
      </c>
      <c r="G218" t="inlineStr">
        <is>
          <t>ROBERTSFORS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45049</v>
      </c>
      <c r="E219" s="1" t="n">
        <v>46248</v>
      </c>
      <c r="F219" t="inlineStr">
        <is>
          <t>VÄSTERBOTTENS LÄN</t>
        </is>
      </c>
      <c r="G219" t="inlineStr">
        <is>
          <t>ROBERTSFORS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45141</v>
      </c>
      <c r="E220" s="1" t="n">
        <v>46248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58426-2022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44901</v>
      </c>
      <c r="E221" s="1" t="n">
        <v>46248</v>
      </c>
      <c r="F221" t="inlineStr">
        <is>
          <t>VÄSTERBOTTENS LÄN</t>
        </is>
      </c>
      <c r="G221" t="inlineStr">
        <is>
          <t>ROBERTSFORS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45140</v>
      </c>
      <c r="E222" s="1" t="n">
        <v>46248</v>
      </c>
      <c r="F222" t="inlineStr">
        <is>
          <t>VÄSTERBOTTENS LÄN</t>
        </is>
      </c>
      <c r="G222" t="inlineStr">
        <is>
          <t>ROBERTSFORS</t>
        </is>
      </c>
      <c r="I222" t="n">
        <v>15.3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58715-2022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44902</v>
      </c>
      <c r="E223" s="1" t="n">
        <v>46248</v>
      </c>
      <c r="F223" t="inlineStr">
        <is>
          <t>VÄSTERBOTTENS LÄN</t>
        </is>
      </c>
      <c r="G223" t="inlineStr">
        <is>
          <t>ROBERTSFORS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46248</v>
      </c>
      <c r="F224" t="inlineStr">
        <is>
          <t>VÄSTERBOTTENS LÄN</t>
        </is>
      </c>
      <c r="G224" t="inlineStr">
        <is>
          <t>ROBERTSFORS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46248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50046-2024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45600</v>
      </c>
      <c r="E226" s="1" t="n">
        <v>46248</v>
      </c>
      <c r="F226" t="inlineStr">
        <is>
          <t>VÄSTERBOTTENS LÄN</t>
        </is>
      </c>
      <c r="G226" t="inlineStr">
        <is>
          <t>ROBERTSFORS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16653-2023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45030</v>
      </c>
      <c r="E227" s="1" t="n">
        <v>46248</v>
      </c>
      <c r="F227" t="inlineStr">
        <is>
          <t>VÄSTERBOTTENS LÄN</t>
        </is>
      </c>
      <c r="G227" t="inlineStr">
        <is>
          <t>ROBERTSFORS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44860</v>
      </c>
      <c r="E228" s="1" t="n">
        <v>46248</v>
      </c>
      <c r="F228" t="inlineStr">
        <is>
          <t>VÄSTERBOTTENS LÄN</t>
        </is>
      </c>
      <c r="G228" t="inlineStr">
        <is>
          <t>ROBERTSFORS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46248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46248</v>
      </c>
      <c r="F230" t="inlineStr">
        <is>
          <t>VÄSTERBOTTENS LÄN</t>
        </is>
      </c>
      <c r="G230" t="inlineStr">
        <is>
          <t>ROBERTSFORS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46248</v>
      </c>
      <c r="F231" t="inlineStr">
        <is>
          <t>VÄSTERBOTTENS LÄN</t>
        </is>
      </c>
      <c r="G231" t="inlineStr">
        <is>
          <t>ROBERTSFORS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46248</v>
      </c>
      <c r="F232" t="inlineStr">
        <is>
          <t>VÄSTERBOTTENS LÄN</t>
        </is>
      </c>
      <c r="G232" t="inlineStr">
        <is>
          <t>ROBERTSFORS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52833-2024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45610</v>
      </c>
      <c r="E233" s="1" t="n">
        <v>46248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SCA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46248</v>
      </c>
      <c r="F234" t="inlineStr">
        <is>
          <t>VÄSTERBOTTENS LÄN</t>
        </is>
      </c>
      <c r="G234" t="inlineStr">
        <is>
          <t>ROBERTSFORS</t>
        </is>
      </c>
      <c r="I234" t="n">
        <v>9.6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45695</v>
      </c>
      <c r="E235" s="1" t="n">
        <v>46248</v>
      </c>
      <c r="F235" t="inlineStr">
        <is>
          <t>VÄSTERBOTTENS LÄN</t>
        </is>
      </c>
      <c r="G235" t="inlineStr">
        <is>
          <t>ROBERTSFORS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48259-2023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45205</v>
      </c>
      <c r="E236" s="1" t="n">
        <v>46248</v>
      </c>
      <c r="F236" t="inlineStr">
        <is>
          <t>VÄSTERBOTTENS LÄN</t>
        </is>
      </c>
      <c r="G236" t="inlineStr">
        <is>
          <t>ROBERTSFORS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44571</v>
      </c>
      <c r="E237" s="1" t="n">
        <v>46248</v>
      </c>
      <c r="F237" t="inlineStr">
        <is>
          <t>VÄSTERBOTTENS LÄN</t>
        </is>
      </c>
      <c r="G237" t="inlineStr">
        <is>
          <t>ROBERTSFORS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45033</v>
      </c>
      <c r="E238" s="1" t="n">
        <v>46248</v>
      </c>
      <c r="F238" t="inlineStr">
        <is>
          <t>VÄSTERBOTTENS LÄN</t>
        </is>
      </c>
      <c r="G238" t="inlineStr">
        <is>
          <t>ROBERTSFORS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58790-2022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44895</v>
      </c>
      <c r="E239" s="1" t="n">
        <v>46248</v>
      </c>
      <c r="F239" t="inlineStr">
        <is>
          <t>VÄSTERBOTTENS LÄN</t>
        </is>
      </c>
      <c r="G239" t="inlineStr">
        <is>
          <t>ROBERTSFORS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36771-2022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44805</v>
      </c>
      <c r="E240" s="1" t="n">
        <v>46248</v>
      </c>
      <c r="F240" t="inlineStr">
        <is>
          <t>VÄSTERBOTTENS LÄN</t>
        </is>
      </c>
      <c r="G240" t="inlineStr">
        <is>
          <t>ROBERTSFORS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52834-2024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45610</v>
      </c>
      <c r="E241" s="1" t="n">
        <v>46248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SCA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45687</v>
      </c>
      <c r="E242" s="1" t="n">
        <v>46248</v>
      </c>
      <c r="F242" t="inlineStr">
        <is>
          <t>VÄSTERBOTTENS LÄN</t>
        </is>
      </c>
      <c r="G242" t="inlineStr">
        <is>
          <t>ROBERTSFORS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45076</v>
      </c>
      <c r="E243" s="1" t="n">
        <v>46248</v>
      </c>
      <c r="F243" t="inlineStr">
        <is>
          <t>VÄSTERBOTTENS LÄN</t>
        </is>
      </c>
      <c r="G243" t="inlineStr">
        <is>
          <t>ROBERTSFORS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26368-2024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45468</v>
      </c>
      <c r="E244" s="1" t="n">
        <v>46248</v>
      </c>
      <c r="F244" t="inlineStr">
        <is>
          <t>VÄSTERBOTTENS LÄN</t>
        </is>
      </c>
      <c r="G244" t="inlineStr">
        <is>
          <t>ROBERTSFORS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15528-2023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45020</v>
      </c>
      <c r="E245" s="1" t="n">
        <v>46248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Sveaskog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38120-2024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45545</v>
      </c>
      <c r="E246" s="1" t="n">
        <v>46248</v>
      </c>
      <c r="F246" t="inlineStr">
        <is>
          <t>VÄSTERBOTTENS LÄN</t>
        </is>
      </c>
      <c r="G246" t="inlineStr">
        <is>
          <t>ROBERTSFORS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45664</v>
      </c>
      <c r="E247" s="1" t="n">
        <v>46248</v>
      </c>
      <c r="F247" t="inlineStr">
        <is>
          <t>VÄSTERBOTTENS LÄN</t>
        </is>
      </c>
      <c r="G247" t="inlineStr">
        <is>
          <t>ROBERTSFORS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55469-2021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44475</v>
      </c>
      <c r="E248" s="1" t="n">
        <v>46248</v>
      </c>
      <c r="F248" t="inlineStr">
        <is>
          <t>VÄSTERBOTTENS LÄN</t>
        </is>
      </c>
      <c r="G248" t="inlineStr">
        <is>
          <t>ROBERTSFORS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45090</v>
      </c>
      <c r="E249" s="1" t="n">
        <v>46248</v>
      </c>
      <c r="F249" t="inlineStr">
        <is>
          <t>VÄSTERBOTTENS LÄN</t>
        </is>
      </c>
      <c r="G249" t="inlineStr">
        <is>
          <t>ROBERTSFORS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46248</v>
      </c>
      <c r="F250" t="inlineStr">
        <is>
          <t>VÄSTERBOTTENS LÄN</t>
        </is>
      </c>
      <c r="G250" t="inlineStr">
        <is>
          <t>ROBERTSFORS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44953</v>
      </c>
      <c r="E251" s="1" t="n">
        <v>46248</v>
      </c>
      <c r="F251" t="inlineStr">
        <is>
          <t>VÄSTERBOTTENS LÄN</t>
        </is>
      </c>
      <c r="G251" t="inlineStr">
        <is>
          <t>ROBERTSFORS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46248</v>
      </c>
      <c r="F252" t="inlineStr">
        <is>
          <t>VÄSTERBOTTENS LÄN</t>
        </is>
      </c>
      <c r="G252" t="inlineStr">
        <is>
          <t>ROBERTSFORS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46248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45708</v>
      </c>
      <c r="E254" s="1" t="n">
        <v>46248</v>
      </c>
      <c r="F254" t="inlineStr">
        <is>
          <t>VÄSTERBOTTENS LÄN</t>
        </is>
      </c>
      <c r="G254" t="inlineStr">
        <is>
          <t>ROBERTSFORS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45458</v>
      </c>
      <c r="E255" s="1" t="n">
        <v>46248</v>
      </c>
      <c r="F255" t="inlineStr">
        <is>
          <t>VÄSTERBOTTENS LÄN</t>
        </is>
      </c>
      <c r="G255" t="inlineStr">
        <is>
          <t>ROBERTSFORS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44980</v>
      </c>
      <c r="E256" s="1" t="n">
        <v>46248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45496</v>
      </c>
      <c r="E257" s="1" t="n">
        <v>46248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45002</v>
      </c>
      <c r="E258" s="1" t="n">
        <v>46248</v>
      </c>
      <c r="F258" t="inlineStr">
        <is>
          <t>VÄSTERBOTTENS LÄN</t>
        </is>
      </c>
      <c r="G258" t="inlineStr">
        <is>
          <t>ROBERTSFORS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10173-2022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44622</v>
      </c>
      <c r="E259" s="1" t="n">
        <v>46248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25572-2023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45082</v>
      </c>
      <c r="E260" s="1" t="n">
        <v>46248</v>
      </c>
      <c r="F260" t="inlineStr">
        <is>
          <t>VÄSTERBOTTENS LÄN</t>
        </is>
      </c>
      <c r="G260" t="inlineStr">
        <is>
          <t>ROBERTSFORS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45033</v>
      </c>
      <c r="E261" s="1" t="n">
        <v>46248</v>
      </c>
      <c r="F261" t="inlineStr">
        <is>
          <t>VÄSTERBOTTENS LÄN</t>
        </is>
      </c>
      <c r="G261" t="inlineStr">
        <is>
          <t>ROBERTSFORS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45644</v>
      </c>
      <c r="E262" s="1" t="n">
        <v>46248</v>
      </c>
      <c r="F262" t="inlineStr">
        <is>
          <t>VÄSTERBOTTENS LÄN</t>
        </is>
      </c>
      <c r="G262" t="inlineStr">
        <is>
          <t>ROBERTSFORS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48252-2023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45205</v>
      </c>
      <c r="E263" s="1" t="n">
        <v>46248</v>
      </c>
      <c r="F263" t="inlineStr">
        <is>
          <t>VÄSTERBOTTENS LÄN</t>
        </is>
      </c>
      <c r="G263" t="inlineStr">
        <is>
          <t>ROBERTSFORS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44952</v>
      </c>
      <c r="E264" s="1" t="n">
        <v>46248</v>
      </c>
      <c r="F264" t="inlineStr">
        <is>
          <t>VÄSTERBOTTENS LÄN</t>
        </is>
      </c>
      <c r="G264" t="inlineStr">
        <is>
          <t>ROBERTSFORS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44980</v>
      </c>
      <c r="E265" s="1" t="n">
        <v>46248</v>
      </c>
      <c r="F265" t="inlineStr">
        <is>
          <t>VÄSTERBOTTENS LÄN</t>
        </is>
      </c>
      <c r="G265" t="inlineStr">
        <is>
          <t>ROBERTSFORS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46248</v>
      </c>
      <c r="F266" t="inlineStr">
        <is>
          <t>VÄSTERBOTTENS LÄN</t>
        </is>
      </c>
      <c r="G266" t="inlineStr">
        <is>
          <t>ROBERTSFORS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33438-2023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45129</v>
      </c>
      <c r="E267" s="1" t="n">
        <v>46248</v>
      </c>
      <c r="F267" t="inlineStr">
        <is>
          <t>VÄSTERBOTTENS LÄN</t>
        </is>
      </c>
      <c r="G267" t="inlineStr">
        <is>
          <t>ROBERTSFORS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46248</v>
      </c>
      <c r="F268" t="inlineStr">
        <is>
          <t>VÄSTERBOTTENS LÄN</t>
        </is>
      </c>
      <c r="G268" t="inlineStr">
        <is>
          <t>ROBERTSFORS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45617</v>
      </c>
      <c r="E269" s="1" t="n">
        <v>46248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46248</v>
      </c>
      <c r="F270" t="inlineStr">
        <is>
          <t>VÄSTERBOTTENS LÄN</t>
        </is>
      </c>
      <c r="G270" t="inlineStr">
        <is>
          <t>ROBERTSFORS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45715</v>
      </c>
      <c r="E271" s="1" t="n">
        <v>46248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45458</v>
      </c>
      <c r="E272" s="1" t="n">
        <v>46248</v>
      </c>
      <c r="F272" t="inlineStr">
        <is>
          <t>VÄSTERBOTTENS LÄN</t>
        </is>
      </c>
      <c r="G272" t="inlineStr">
        <is>
          <t>ROBERTSFORS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8256-2025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45708</v>
      </c>
      <c r="E273" s="1" t="n">
        <v>46248</v>
      </c>
      <c r="F273" t="inlineStr">
        <is>
          <t>VÄSTERBOTTENS LÄN</t>
        </is>
      </c>
      <c r="G273" t="inlineStr">
        <is>
          <t>ROBERTSFORS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58679-2024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45635</v>
      </c>
      <c r="E274" s="1" t="n">
        <v>46248</v>
      </c>
      <c r="F274" t="inlineStr">
        <is>
          <t>VÄSTERBOTTENS LÄN</t>
        </is>
      </c>
      <c r="G274" t="inlineStr">
        <is>
          <t>ROBERTSFORS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15799-2024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46248</v>
      </c>
      <c r="F275" t="inlineStr">
        <is>
          <t>VÄSTERBOTTENS LÄN</t>
        </is>
      </c>
      <c r="G275" t="inlineStr">
        <is>
          <t>ROBERTSFORS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45184</v>
      </c>
      <c r="E276" s="1" t="n">
        <v>46248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46248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SCA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45302</v>
      </c>
      <c r="E278" s="1" t="n">
        <v>46248</v>
      </c>
      <c r="F278" t="inlineStr">
        <is>
          <t>VÄSTERBOTTENS LÄN</t>
        </is>
      </c>
      <c r="G278" t="inlineStr">
        <is>
          <t>ROBERTSFORS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53564-2024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46248</v>
      </c>
      <c r="F279" t="inlineStr">
        <is>
          <t>VÄSTERBOTTENS LÄN</t>
        </is>
      </c>
      <c r="G279" t="inlineStr">
        <is>
          <t>ROBERTSFORS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44952</v>
      </c>
      <c r="E280" s="1" t="n">
        <v>46248</v>
      </c>
      <c r="F280" t="inlineStr">
        <is>
          <t>VÄSTERBOTTENS LÄN</t>
        </is>
      </c>
      <c r="G280" t="inlineStr">
        <is>
          <t>ROBERTSFORS</t>
        </is>
      </c>
      <c r="I280" t="n">
        <v>16.1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45029</v>
      </c>
      <c r="E281" s="1" t="n">
        <v>46248</v>
      </c>
      <c r="F281" t="inlineStr">
        <is>
          <t>VÄSTERBOTTENS LÄN</t>
        </is>
      </c>
      <c r="G281" t="inlineStr">
        <is>
          <t>ROBERTSFORS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45475</v>
      </c>
      <c r="E282" s="1" t="n">
        <v>46248</v>
      </c>
      <c r="F282" t="inlineStr">
        <is>
          <t>VÄSTERBOTTENS LÄN</t>
        </is>
      </c>
      <c r="G282" t="inlineStr">
        <is>
          <t>ROBERTSFORS</t>
        </is>
      </c>
      <c r="I282" t="n">
        <v>10.5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45160</v>
      </c>
      <c r="E283" s="1" t="n">
        <v>46248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65771-2021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44516</v>
      </c>
      <c r="E284" s="1" t="n">
        <v>46248</v>
      </c>
      <c r="F284" t="inlineStr">
        <is>
          <t>VÄSTERBOTTENS LÄN</t>
        </is>
      </c>
      <c r="G284" t="inlineStr">
        <is>
          <t>ROBERTSFORS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28906-2024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45480</v>
      </c>
      <c r="E285" s="1" t="n">
        <v>46248</v>
      </c>
      <c r="F285" t="inlineStr">
        <is>
          <t>VÄSTERBOTTENS LÄN</t>
        </is>
      </c>
      <c r="G285" t="inlineStr">
        <is>
          <t>ROBERTSFORS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58712-2024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45635</v>
      </c>
      <c r="E286" s="1" t="n">
        <v>46248</v>
      </c>
      <c r="F286" t="inlineStr">
        <is>
          <t>VÄSTERBOTTENS LÄN</t>
        </is>
      </c>
      <c r="G286" t="inlineStr">
        <is>
          <t>ROBERTSFORS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51873-2024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45607</v>
      </c>
      <c r="E287" s="1" t="n">
        <v>46248</v>
      </c>
      <c r="F287" t="inlineStr">
        <is>
          <t>VÄSTERBOTTENS LÄN</t>
        </is>
      </c>
      <c r="G287" t="inlineStr">
        <is>
          <t>ROBERTSFORS</t>
        </is>
      </c>
      <c r="I287" t="n">
        <v>7.6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45625</v>
      </c>
      <c r="E288" s="1" t="n">
        <v>46248</v>
      </c>
      <c r="F288" t="inlineStr">
        <is>
          <t>VÄSTERBOTTENS LÄN</t>
        </is>
      </c>
      <c r="G288" t="inlineStr">
        <is>
          <t>ROBERTSFORS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45458</v>
      </c>
      <c r="E289" s="1" t="n">
        <v>46248</v>
      </c>
      <c r="F289" t="inlineStr">
        <is>
          <t>VÄSTERBOTTENS LÄN</t>
        </is>
      </c>
      <c r="G289" t="inlineStr">
        <is>
          <t>ROBERTSFORS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45661</v>
      </c>
      <c r="E290" s="1" t="n">
        <v>46248</v>
      </c>
      <c r="F290" t="inlineStr">
        <is>
          <t>VÄSTERBOTTENS LÄN</t>
        </is>
      </c>
      <c r="G290" t="inlineStr">
        <is>
          <t>ROBERTSFORS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45664</v>
      </c>
      <c r="E291" s="1" t="n">
        <v>46248</v>
      </c>
      <c r="F291" t="inlineStr">
        <is>
          <t>VÄSTERBOTTENS LÄN</t>
        </is>
      </c>
      <c r="G291" t="inlineStr">
        <is>
          <t>ROBERTSFORS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65772-2021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44516</v>
      </c>
      <c r="E292" s="1" t="n">
        <v>46248</v>
      </c>
      <c r="F292" t="inlineStr">
        <is>
          <t>VÄSTERBOTTENS LÄN</t>
        </is>
      </c>
      <c r="G292" t="inlineStr">
        <is>
          <t>ROBERTSFORS</t>
        </is>
      </c>
      <c r="I292" t="n">
        <v>18.2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45659</v>
      </c>
      <c r="E293" s="1" t="n">
        <v>46248</v>
      </c>
      <c r="F293" t="inlineStr">
        <is>
          <t>VÄSTERBOTTENS LÄN</t>
        </is>
      </c>
      <c r="G293" t="inlineStr">
        <is>
          <t>ROBERTSFORS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10188-2023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44980</v>
      </c>
      <c r="E294" s="1" t="n">
        <v>46248</v>
      </c>
      <c r="F294" t="inlineStr">
        <is>
          <t>VÄSTERBOTTENS LÄN</t>
        </is>
      </c>
      <c r="G294" t="inlineStr">
        <is>
          <t>ROBERTSFORS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43095-2023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46248</v>
      </c>
      <c r="F295" t="inlineStr">
        <is>
          <t>VÄSTERBOTTENS LÄN</t>
        </is>
      </c>
      <c r="G295" t="inlineStr">
        <is>
          <t>ROBERTSFORS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64625-2023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46248</v>
      </c>
      <c r="F296" t="inlineStr">
        <is>
          <t>VÄSTERBOTTENS LÄN</t>
        </is>
      </c>
      <c r="G296" t="inlineStr">
        <is>
          <t>ROBERTSFORS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45041</v>
      </c>
      <c r="E297" s="1" t="n">
        <v>46248</v>
      </c>
      <c r="F297" t="inlineStr">
        <is>
          <t>VÄSTERBOTTENS LÄN</t>
        </is>
      </c>
      <c r="G297" t="inlineStr">
        <is>
          <t>ROBERTSFORS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45157-2023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45191</v>
      </c>
      <c r="E298" s="1" t="n">
        <v>46248</v>
      </c>
      <c r="F298" t="inlineStr">
        <is>
          <t>VÄSTERBOTTENS LÄN</t>
        </is>
      </c>
      <c r="G298" t="inlineStr">
        <is>
          <t>ROBERTSFORS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45512</v>
      </c>
      <c r="E299" s="1" t="n">
        <v>46248</v>
      </c>
      <c r="F299" t="inlineStr">
        <is>
          <t>VÄSTERBOTTENS LÄN</t>
        </is>
      </c>
      <c r="G299" t="inlineStr">
        <is>
          <t>ROBERTSFORS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45631</v>
      </c>
      <c r="E300" s="1" t="n">
        <v>46248</v>
      </c>
      <c r="F300" t="inlineStr">
        <is>
          <t>VÄSTERBOTTENS LÄN</t>
        </is>
      </c>
      <c r="G300" t="inlineStr">
        <is>
          <t>ROBERTSFORS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32581-2022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44783</v>
      </c>
      <c r="E301" s="1" t="n">
        <v>46248</v>
      </c>
      <c r="F301" t="inlineStr">
        <is>
          <t>VÄSTERBOTTENS LÄN</t>
        </is>
      </c>
      <c r="G301" t="inlineStr">
        <is>
          <t>ROBERTSFORS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44838</v>
      </c>
      <c r="E302" s="1" t="n">
        <v>46248</v>
      </c>
      <c r="F302" t="inlineStr">
        <is>
          <t>VÄSTERBOTTENS LÄN</t>
        </is>
      </c>
      <c r="G302" t="inlineStr">
        <is>
          <t>ROBERTSFORS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45135</v>
      </c>
      <c r="E303" s="1" t="n">
        <v>46248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45800</v>
      </c>
      <c r="E304" s="1" t="n">
        <v>46248</v>
      </c>
      <c r="F304" t="inlineStr">
        <is>
          <t>VÄSTERBOTTENS LÄN</t>
        </is>
      </c>
      <c r="G304" t="inlineStr">
        <is>
          <t>ROBERTSFORS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45800</v>
      </c>
      <c r="E305" s="1" t="n">
        <v>46248</v>
      </c>
      <c r="F305" t="inlineStr">
        <is>
          <t>VÄSTERBOTTENS LÄN</t>
        </is>
      </c>
      <c r="G305" t="inlineStr">
        <is>
          <t>ROBERTSFORS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46248</v>
      </c>
      <c r="F306" t="inlineStr">
        <is>
          <t>VÄSTERBOTTENS LÄN</t>
        </is>
      </c>
      <c r="G306" t="inlineStr">
        <is>
          <t>ROBERTSFORS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46248</v>
      </c>
      <c r="F307" t="inlineStr">
        <is>
          <t>VÄSTERBOTTENS LÄN</t>
        </is>
      </c>
      <c r="G307" t="inlineStr">
        <is>
          <t>ROBERTSFORS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46248</v>
      </c>
      <c r="F308" t="inlineStr">
        <is>
          <t>VÄSTERBOTTENS LÄN</t>
        </is>
      </c>
      <c r="G308" t="inlineStr">
        <is>
          <t>ROBERTSFORS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45636</v>
      </c>
      <c r="E309" s="1" t="n">
        <v>46248</v>
      </c>
      <c r="F309" t="inlineStr">
        <is>
          <t>VÄSTERBOTTENS LÄN</t>
        </is>
      </c>
      <c r="G309" t="inlineStr">
        <is>
          <t>ROBERTSFORS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45040</v>
      </c>
      <c r="E310" s="1" t="n">
        <v>46248</v>
      </c>
      <c r="F310" t="inlineStr">
        <is>
          <t>VÄSTERBOTTENS LÄN</t>
        </is>
      </c>
      <c r="G310" t="inlineStr">
        <is>
          <t>ROBERTSFORS</t>
        </is>
      </c>
      <c r="I310" t="n">
        <v>11.5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46248</v>
      </c>
      <c r="F311" t="inlineStr">
        <is>
          <t>VÄSTERBOTTENS LÄN</t>
        </is>
      </c>
      <c r="G311" t="inlineStr">
        <is>
          <t>ROBERTSFORS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46248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12.7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46248</v>
      </c>
      <c r="F313" t="inlineStr">
        <is>
          <t>VÄSTERBOTTENS LÄN</t>
        </is>
      </c>
      <c r="G313" t="inlineStr">
        <is>
          <t>ROBERTSFORS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46248</v>
      </c>
      <c r="F314" t="inlineStr">
        <is>
          <t>VÄSTERBOTTENS LÄN</t>
        </is>
      </c>
      <c r="G314" t="inlineStr">
        <is>
          <t>ROBERTSFORS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17848-2022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44683</v>
      </c>
      <c r="E315" s="1" t="n">
        <v>46248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45530</v>
      </c>
      <c r="E316" s="1" t="n">
        <v>46248</v>
      </c>
      <c r="F316" t="inlineStr">
        <is>
          <t>VÄSTERBOTTENS LÄN</t>
        </is>
      </c>
      <c r="G316" t="inlineStr">
        <is>
          <t>ROBERTSFORS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44960</v>
      </c>
      <c r="E317" s="1" t="n">
        <v>46248</v>
      </c>
      <c r="F317" t="inlineStr">
        <is>
          <t>VÄSTERBOTTENS LÄN</t>
        </is>
      </c>
      <c r="G317" t="inlineStr">
        <is>
          <t>ROBERTSFORS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27586-2024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45474</v>
      </c>
      <c r="E318" s="1" t="n">
        <v>46248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44588</v>
      </c>
      <c r="E319" s="1" t="n">
        <v>46248</v>
      </c>
      <c r="F319" t="inlineStr">
        <is>
          <t>VÄSTERBOTTENS LÄN</t>
        </is>
      </c>
      <c r="G319" t="inlineStr">
        <is>
          <t>ROBERTSFORS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28330-2025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45818</v>
      </c>
      <c r="E320" s="1" t="n">
        <v>46248</v>
      </c>
      <c r="F320" t="inlineStr">
        <is>
          <t>VÄSTERBOTTENS LÄN</t>
        </is>
      </c>
      <c r="G320" t="inlineStr">
        <is>
          <t>ROBERTSFORS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46248</v>
      </c>
      <c r="F321" t="inlineStr">
        <is>
          <t>VÄSTERBOTTENS LÄN</t>
        </is>
      </c>
      <c r="G321" t="inlineStr">
        <is>
          <t>ROBERTSFORS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45659</v>
      </c>
      <c r="E322" s="1" t="n">
        <v>46248</v>
      </c>
      <c r="F322" t="inlineStr">
        <is>
          <t>VÄSTERBOTTENS LÄN</t>
        </is>
      </c>
      <c r="G322" t="inlineStr">
        <is>
          <t>ROBERTSFORS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46248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46248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30790-2025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46248</v>
      </c>
      <c r="F325" t="inlineStr">
        <is>
          <t>VÄSTERBOTTENS LÄN</t>
        </is>
      </c>
      <c r="G325" t="inlineStr">
        <is>
          <t>ROBERTSFORS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34434-2024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45525</v>
      </c>
      <c r="E326" s="1" t="n">
        <v>46248</v>
      </c>
      <c r="F326" t="inlineStr">
        <is>
          <t>VÄSTERBOTTENS LÄN</t>
        </is>
      </c>
      <c r="G326" t="inlineStr">
        <is>
          <t>ROBERTSFORS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45692</v>
      </c>
      <c r="E327" s="1" t="n">
        <v>46248</v>
      </c>
      <c r="F327" t="inlineStr">
        <is>
          <t>VÄSTERBOTTENS LÄN</t>
        </is>
      </c>
      <c r="G327" t="inlineStr">
        <is>
          <t>ROBERTSFORS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46248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39315-2025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46248</v>
      </c>
      <c r="F329" t="inlineStr">
        <is>
          <t>VÄSTERBOTTENS LÄN</t>
        </is>
      </c>
      <c r="G329" t="inlineStr">
        <is>
          <t>ROBERTSFORS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46248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46248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45671</v>
      </c>
      <c r="E332" s="1" t="n">
        <v>46248</v>
      </c>
      <c r="F332" t="inlineStr">
        <is>
          <t>VÄSTERBOTTENS LÄN</t>
        </is>
      </c>
      <c r="G332" t="inlineStr">
        <is>
          <t>ROBERTSFORS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46248</v>
      </c>
      <c r="F333" t="inlineStr">
        <is>
          <t>VÄSTERBOTTENS LÄN</t>
        </is>
      </c>
      <c r="G333" t="inlineStr">
        <is>
          <t>ROBERTSFORS</t>
        </is>
      </c>
      <c r="I333" t="n">
        <v>8.199999999999999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45734</v>
      </c>
      <c r="E334" s="1" t="n">
        <v>46248</v>
      </c>
      <c r="F334" t="inlineStr">
        <is>
          <t>VÄSTERBOTTENS LÄN</t>
        </is>
      </c>
      <c r="G334" t="inlineStr">
        <is>
          <t>ROBERTSFORS</t>
        </is>
      </c>
      <c r="I334" t="n">
        <v>24.4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73557-2021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44551</v>
      </c>
      <c r="E335" s="1" t="n">
        <v>46248</v>
      </c>
      <c r="F335" t="inlineStr">
        <is>
          <t>VÄSTERBOTTENS LÄN</t>
        </is>
      </c>
      <c r="G335" t="inlineStr">
        <is>
          <t>ROBERTSFORS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45839</v>
      </c>
      <c r="E336" s="1" t="n">
        <v>46248</v>
      </c>
      <c r="F336" t="inlineStr">
        <is>
          <t>VÄSTERBOTTENS LÄN</t>
        </is>
      </c>
      <c r="G336" t="inlineStr">
        <is>
          <t>ROBERTSFORS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39982-2025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45893</v>
      </c>
      <c r="E337" s="1" t="n">
        <v>46248</v>
      </c>
      <c r="F337" t="inlineStr">
        <is>
          <t>VÄSTERBOTTENS LÄN</t>
        </is>
      </c>
      <c r="G337" t="inlineStr">
        <is>
          <t>ROBERTSFORS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45474</v>
      </c>
      <c r="E338" s="1" t="n">
        <v>46248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45839</v>
      </c>
      <c r="E339" s="1" t="n">
        <v>46248</v>
      </c>
      <c r="F339" t="inlineStr">
        <is>
          <t>VÄSTERBOTTENS LÄN</t>
        </is>
      </c>
      <c r="G339" t="inlineStr">
        <is>
          <t>ROBERTSFORS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46248</v>
      </c>
      <c r="F340" t="inlineStr">
        <is>
          <t>VÄSTERBOTTENS LÄN</t>
        </is>
      </c>
      <c r="G340" t="inlineStr">
        <is>
          <t>ROBERTSFORS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46248</v>
      </c>
      <c r="F341" t="inlineStr">
        <is>
          <t>VÄSTERBOTTENS LÄN</t>
        </is>
      </c>
      <c r="G341" t="inlineStr">
        <is>
          <t>ROBERTSFORS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45839</v>
      </c>
      <c r="E342" s="1" t="n">
        <v>46248</v>
      </c>
      <c r="F342" t="inlineStr">
        <is>
          <t>VÄSTERBOTTENS LÄN</t>
        </is>
      </c>
      <c r="G342" t="inlineStr">
        <is>
          <t>ROBERTSFORS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19925-2026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46248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45839</v>
      </c>
      <c r="E344" s="1" t="n">
        <v>46248</v>
      </c>
      <c r="F344" t="inlineStr">
        <is>
          <t>VÄSTERBOTTENS LÄN</t>
        </is>
      </c>
      <c r="G344" t="inlineStr">
        <is>
          <t>ROBERTSFORS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32826-2025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45839</v>
      </c>
      <c r="E345" s="1" t="n">
        <v>46248</v>
      </c>
      <c r="F345" t="inlineStr">
        <is>
          <t>VÄSTERBOTTENS LÄN</t>
        </is>
      </c>
      <c r="G345" t="inlineStr">
        <is>
          <t>ROBERTSFORS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46248</v>
      </c>
      <c r="F346" t="inlineStr">
        <is>
          <t>VÄSTERBOTTENS LÄN</t>
        </is>
      </c>
      <c r="G346" t="inlineStr">
        <is>
          <t>ROBERTSFORS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46248</v>
      </c>
      <c r="F347" t="inlineStr">
        <is>
          <t>VÄSTERBOTTENS LÄN</t>
        </is>
      </c>
      <c r="G347" t="inlineStr">
        <is>
          <t>ROBERTSFORS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45896</v>
      </c>
      <c r="E348" s="1" t="n">
        <v>46248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46141</v>
      </c>
      <c r="E349" s="1" t="n">
        <v>46248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33368-2025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45841</v>
      </c>
      <c r="E350" s="1" t="n">
        <v>46248</v>
      </c>
      <c r="F350" t="inlineStr">
        <is>
          <t>VÄSTERBOTTENS LÄN</t>
        </is>
      </c>
      <c r="G350" t="inlineStr">
        <is>
          <t>ROBERTSFORS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33375-2025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45841</v>
      </c>
      <c r="E351" s="1" t="n">
        <v>46248</v>
      </c>
      <c r="F351" t="inlineStr">
        <is>
          <t>VÄSTERBOTTENS LÄN</t>
        </is>
      </c>
      <c r="G351" t="inlineStr">
        <is>
          <t>ROBERTSFORS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25575-2022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44732</v>
      </c>
      <c r="E352" s="1" t="n">
        <v>46248</v>
      </c>
      <c r="F352" t="inlineStr">
        <is>
          <t>VÄSTERBOTTENS LÄN</t>
        </is>
      </c>
      <c r="G352" t="inlineStr">
        <is>
          <t>ROBERTSFORS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46248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38092-2022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44811</v>
      </c>
      <c r="E354" s="1" t="n">
        <v>46248</v>
      </c>
      <c r="F354" t="inlineStr">
        <is>
          <t>VÄSTERBOTTENS LÄN</t>
        </is>
      </c>
      <c r="G354" t="inlineStr">
        <is>
          <t>ROBERTSFORS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20519-2022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44699</v>
      </c>
      <c r="E355" s="1" t="n">
        <v>46248</v>
      </c>
      <c r="F355" t="inlineStr">
        <is>
          <t>VÄSTERBOTTENS LÄN</t>
        </is>
      </c>
      <c r="G355" t="inlineStr">
        <is>
          <t>ROBERTSFORS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59833-2022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44901</v>
      </c>
      <c r="E356" s="1" t="n">
        <v>46248</v>
      </c>
      <c r="F356" t="inlineStr">
        <is>
          <t>VÄSTERBOTTENS LÄN</t>
        </is>
      </c>
      <c r="G356" t="inlineStr">
        <is>
          <t>ROBERTSFORS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45005</v>
      </c>
      <c r="E357" s="1" t="n">
        <v>46248</v>
      </c>
      <c r="F357" t="inlineStr">
        <is>
          <t>VÄSTERBOTTENS LÄN</t>
        </is>
      </c>
      <c r="G357" t="inlineStr">
        <is>
          <t>ROBERTSFORS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45148</v>
      </c>
      <c r="E358" s="1" t="n">
        <v>46248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45856</v>
      </c>
      <c r="E359" s="1" t="n">
        <v>46248</v>
      </c>
      <c r="F359" t="inlineStr">
        <is>
          <t>VÄSTERBOTTENS LÄN</t>
        </is>
      </c>
      <c r="G359" t="inlineStr">
        <is>
          <t>ROBERTSFORS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45856</v>
      </c>
      <c r="E360" s="1" t="n">
        <v>46248</v>
      </c>
      <c r="F360" t="inlineStr">
        <is>
          <t>VÄSTERBOTTENS LÄN</t>
        </is>
      </c>
      <c r="G360" t="inlineStr">
        <is>
          <t>ROBERTSFORS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35562-2025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45856</v>
      </c>
      <c r="E361" s="1" t="n">
        <v>46248</v>
      </c>
      <c r="F361" t="inlineStr">
        <is>
          <t>VÄSTERBOTTENS LÄN</t>
        </is>
      </c>
      <c r="G361" t="inlineStr">
        <is>
          <t>ROBERTSFORS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22782-2025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45789</v>
      </c>
      <c r="E362" s="1" t="n">
        <v>46248</v>
      </c>
      <c r="F362" t="inlineStr">
        <is>
          <t>VÄSTERBOTTENS LÄN</t>
        </is>
      </c>
      <c r="G362" t="inlineStr">
        <is>
          <t>ROBERTSFORS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45238</v>
      </c>
      <c r="E363" s="1" t="n">
        <v>46248</v>
      </c>
      <c r="F363" t="inlineStr">
        <is>
          <t>VÄSTERBOTTENS LÄN</t>
        </is>
      </c>
      <c r="G363" t="inlineStr">
        <is>
          <t>ROBERTSFORS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45670</v>
      </c>
      <c r="E364" s="1" t="n">
        <v>46248</v>
      </c>
      <c r="F364" t="inlineStr">
        <is>
          <t>VÄSTERBOTTENS LÄN</t>
        </is>
      </c>
      <c r="G364" t="inlineStr">
        <is>
          <t>ROBERTSFORS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45687</v>
      </c>
      <c r="E365" s="1" t="n">
        <v>46248</v>
      </c>
      <c r="F365" t="inlineStr">
        <is>
          <t>VÄSTERBOTTENS LÄN</t>
        </is>
      </c>
      <c r="G365" t="inlineStr">
        <is>
          <t>ROBERTSFORS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45146</v>
      </c>
      <c r="E366" s="1" t="n">
        <v>46248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45903</v>
      </c>
      <c r="E367" s="1" t="n">
        <v>46248</v>
      </c>
      <c r="F367" t="inlineStr">
        <is>
          <t>VÄSTERBOTTENS LÄN</t>
        </is>
      </c>
      <c r="G367" t="inlineStr">
        <is>
          <t>ROBERTSFORS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45870</v>
      </c>
      <c r="E368" s="1" t="n">
        <v>46248</v>
      </c>
      <c r="F368" t="inlineStr">
        <is>
          <t>VÄSTERBOTTENS LÄN</t>
        </is>
      </c>
      <c r="G368" t="inlineStr">
        <is>
          <t>ROBERTSFORS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46248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7076-2025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46248</v>
      </c>
      <c r="F370" t="inlineStr">
        <is>
          <t>VÄSTERBOTTENS LÄN</t>
        </is>
      </c>
      <c r="G370" t="inlineStr">
        <is>
          <t>ROBERTSFORS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46248</v>
      </c>
      <c r="F371" t="inlineStr">
        <is>
          <t>VÄSTERBOTTENS LÄN</t>
        </is>
      </c>
      <c r="G371" t="inlineStr">
        <is>
          <t>ROBERTSFORS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45873</v>
      </c>
      <c r="E372" s="1" t="n">
        <v>46248</v>
      </c>
      <c r="F372" t="inlineStr">
        <is>
          <t>VÄSTERBOTTENS LÄN</t>
        </is>
      </c>
      <c r="G372" t="inlineStr">
        <is>
          <t>ROBERTSFORS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45161</v>
      </c>
      <c r="E373" s="1" t="n">
        <v>46248</v>
      </c>
      <c r="F373" t="inlineStr">
        <is>
          <t>VÄSTERBOTTENS LÄN</t>
        </is>
      </c>
      <c r="G373" t="inlineStr">
        <is>
          <t>ROBERTSFORS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46148</v>
      </c>
      <c r="E374" s="1" t="n">
        <v>46248</v>
      </c>
      <c r="F374" t="inlineStr">
        <is>
          <t>VÄSTERBOTTENS LÄN</t>
        </is>
      </c>
      <c r="G374" t="inlineStr">
        <is>
          <t>ROBERTSFORS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46248</v>
      </c>
      <c r="F375" t="inlineStr">
        <is>
          <t>VÄSTERBOTTENS LÄN</t>
        </is>
      </c>
      <c r="G375" t="inlineStr">
        <is>
          <t>ROBERTSFORS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58579-2023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46248</v>
      </c>
      <c r="F376" t="inlineStr">
        <is>
          <t>VÄSTERBOTTENS LÄN</t>
        </is>
      </c>
      <c r="G376" t="inlineStr">
        <is>
          <t>ROBERTSFORS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45160</v>
      </c>
      <c r="E377" s="1" t="n">
        <v>46248</v>
      </c>
      <c r="F377" t="inlineStr">
        <is>
          <t>VÄSTERBOTTENS LÄN</t>
        </is>
      </c>
      <c r="G377" t="inlineStr">
        <is>
          <t>ROBERTSFORS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60570-2024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45644</v>
      </c>
      <c r="E378" s="1" t="n">
        <v>46248</v>
      </c>
      <c r="F378" t="inlineStr">
        <is>
          <t>VÄSTERBOTTENS LÄN</t>
        </is>
      </c>
      <c r="G378" t="inlineStr">
        <is>
          <t>ROBERTSFORS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57008-2024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45628</v>
      </c>
      <c r="E379" s="1" t="n">
        <v>46248</v>
      </c>
      <c r="F379" t="inlineStr">
        <is>
          <t>VÄSTERBOTTENS LÄN</t>
        </is>
      </c>
      <c r="G379" t="inlineStr">
        <is>
          <t>ROBERTSFORS</t>
        </is>
      </c>
      <c r="I379" t="n">
        <v>12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46248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46150</v>
      </c>
      <c r="E381" s="1" t="n">
        <v>46248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46248</v>
      </c>
      <c r="F382" t="inlineStr">
        <is>
          <t>VÄSTERBOTTENS LÄN</t>
        </is>
      </c>
      <c r="G382" t="inlineStr">
        <is>
          <t>ROBERTSFORS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46248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Holmen skog AB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46248</v>
      </c>
      <c r="F384" t="inlineStr">
        <is>
          <t>VÄSTERBOTTENS LÄN</t>
        </is>
      </c>
      <c r="G384" t="inlineStr">
        <is>
          <t>ROBERTSFORS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37482-2024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46248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45909</v>
      </c>
      <c r="E386" s="1" t="n">
        <v>46248</v>
      </c>
      <c r="F386" t="inlineStr">
        <is>
          <t>VÄSTERBOTTENS LÄN</t>
        </is>
      </c>
      <c r="G386" t="inlineStr">
        <is>
          <t>ROBERTSFORS</t>
        </is>
      </c>
      <c r="I386" t="n">
        <v>12.7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37357-2024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45540</v>
      </c>
      <c r="E387" s="1" t="n">
        <v>46248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46248</v>
      </c>
      <c r="F388" t="inlineStr">
        <is>
          <t>VÄSTERBOTTENS LÄN</t>
        </is>
      </c>
      <c r="G388" t="inlineStr">
        <is>
          <t>ROBERTSFORS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46155</v>
      </c>
      <c r="E389" s="1" t="n">
        <v>46248</v>
      </c>
      <c r="F389" t="inlineStr">
        <is>
          <t>VÄSTERBOTTENS LÄN</t>
        </is>
      </c>
      <c r="G389" t="inlineStr">
        <is>
          <t>ROBERTSFORS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30643-2024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45495</v>
      </c>
      <c r="E390" s="1" t="n">
        <v>46248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60225-2024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45642</v>
      </c>
      <c r="E391" s="1" t="n">
        <v>46248</v>
      </c>
      <c r="F391" t="inlineStr">
        <is>
          <t>VÄSTERBOTTENS LÄN</t>
        </is>
      </c>
      <c r="G391" t="inlineStr">
        <is>
          <t>ROBERTSFORS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44372-2023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45188</v>
      </c>
      <c r="E392" s="1" t="n">
        <v>46248</v>
      </c>
      <c r="F392" t="inlineStr">
        <is>
          <t>VÄSTERBOTTENS LÄN</t>
        </is>
      </c>
      <c r="G392" t="inlineStr">
        <is>
          <t>ROBERTSFORS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44130-2025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45915</v>
      </c>
      <c r="E393" s="1" t="n">
        <v>46248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31058-2024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45502</v>
      </c>
      <c r="E394" s="1" t="n">
        <v>46248</v>
      </c>
      <c r="F394" t="inlineStr">
        <is>
          <t>VÄSTERBOTTENS LÄN</t>
        </is>
      </c>
      <c r="G394" t="inlineStr">
        <is>
          <t>ROBERTSFORS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22880-2026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46248</v>
      </c>
      <c r="F395" t="inlineStr">
        <is>
          <t>VÄSTERBOTTENS LÄN</t>
        </is>
      </c>
      <c r="G395" t="inlineStr">
        <is>
          <t>ROBERTSFORS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46248</v>
      </c>
      <c r="F396" t="inlineStr">
        <is>
          <t>VÄSTERBOTTENS LÄN</t>
        </is>
      </c>
      <c r="G396" t="inlineStr">
        <is>
          <t>ROBERTSFORS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45792</v>
      </c>
      <c r="E397" s="1" t="n">
        <v>46248</v>
      </c>
      <c r="F397" t="inlineStr">
        <is>
          <t>VÄSTERBOTTENS LÄN</t>
        </is>
      </c>
      <c r="G397" t="inlineStr">
        <is>
          <t>ROBERTSFORS</t>
        </is>
      </c>
      <c r="I397" t="n">
        <v>11.3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23631-2025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46248</v>
      </c>
      <c r="F398" t="inlineStr">
        <is>
          <t>VÄSTERBOTTENS LÄN</t>
        </is>
      </c>
      <c r="G398" t="inlineStr">
        <is>
          <t>ROBERTSFORS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22934-2026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46248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45918</v>
      </c>
      <c r="E400" s="1" t="n">
        <v>46248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45267-2025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45919</v>
      </c>
      <c r="E401" s="1" t="n">
        <v>46248</v>
      </c>
      <c r="F401" t="inlineStr">
        <is>
          <t>VÄSTERBOTTENS LÄN</t>
        </is>
      </c>
      <c r="G401" t="inlineStr">
        <is>
          <t>ROBERTSFORS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46168-2025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45924</v>
      </c>
      <c r="E402" s="1" t="n">
        <v>46248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45794</v>
      </c>
      <c r="E403" s="1" t="n">
        <v>46248</v>
      </c>
      <c r="F403" t="inlineStr">
        <is>
          <t>VÄSTERBOTTENS LÄN</t>
        </is>
      </c>
      <c r="G403" t="inlineStr">
        <is>
          <t>ROBERTSFORS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45846-2024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45580</v>
      </c>
      <c r="E404" s="1" t="n">
        <v>46248</v>
      </c>
      <c r="F404" t="inlineStr">
        <is>
          <t>VÄSTERBOTTENS LÄN</t>
        </is>
      </c>
      <c r="G404" t="inlineStr">
        <is>
          <t>ROBERTSFORS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18168-2025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45761</v>
      </c>
      <c r="E405" s="1" t="n">
        <v>46248</v>
      </c>
      <c r="F405" t="inlineStr">
        <is>
          <t>VÄSTERBOTTENS LÄN</t>
        </is>
      </c>
      <c r="G405" t="inlineStr">
        <is>
          <t>ROBERTSFORS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46647-2025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45926</v>
      </c>
      <c r="E406" s="1" t="n">
        <v>46248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46980-2025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45929</v>
      </c>
      <c r="E407" s="1" t="n">
        <v>46248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46248</v>
      </c>
      <c r="F408" t="inlineStr">
        <is>
          <t>VÄSTERBOTTENS LÄN</t>
        </is>
      </c>
      <c r="G408" t="inlineStr">
        <is>
          <t>ROBERTSFORS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49148-2025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46248</v>
      </c>
      <c r="F409" t="inlineStr">
        <is>
          <t>VÄSTERBOTTENS LÄN</t>
        </is>
      </c>
      <c r="G409" t="inlineStr">
        <is>
          <t>ROBERTSFORS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24365-2026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46169</v>
      </c>
      <c r="E410" s="1" t="n">
        <v>46248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15.9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24647-2026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46171</v>
      </c>
      <c r="E411" s="1" t="n">
        <v>46248</v>
      </c>
      <c r="F411" t="inlineStr">
        <is>
          <t>VÄSTERBOTTENS LÄN</t>
        </is>
      </c>
      <c r="G411" t="inlineStr">
        <is>
          <t>ROBERTSFORS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46248</v>
      </c>
      <c r="F412" t="inlineStr">
        <is>
          <t>VÄSTERBOTTENS LÄN</t>
        </is>
      </c>
      <c r="G412" t="inlineStr">
        <is>
          <t>ROBERTSFORS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21397-2025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45782</v>
      </c>
      <c r="E413" s="1" t="n">
        <v>46248</v>
      </c>
      <c r="F413" t="inlineStr">
        <is>
          <t>VÄSTERBOTTENS LÄN</t>
        </is>
      </c>
      <c r="G413" t="inlineStr">
        <is>
          <t>ROBERTSFORS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45947</v>
      </c>
      <c r="E414" s="1" t="n">
        <v>46248</v>
      </c>
      <c r="F414" t="inlineStr">
        <is>
          <t>VÄSTERBOTTENS LÄN</t>
        </is>
      </c>
      <c r="G414" t="inlineStr">
        <is>
          <t>ROBERTSFORS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13164-2024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46248</v>
      </c>
      <c r="F415" t="inlineStr">
        <is>
          <t>VÄSTERBOTTENS LÄN</t>
        </is>
      </c>
      <c r="G415" t="inlineStr">
        <is>
          <t>ROBERTSFORS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46248</v>
      </c>
      <c r="F416" t="inlineStr">
        <is>
          <t>VÄSTERBOTTENS LÄN</t>
        </is>
      </c>
      <c r="G416" t="inlineStr">
        <is>
          <t>ROBERTSFORS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52934-2025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45957</v>
      </c>
      <c r="E417" s="1" t="n">
        <v>46248</v>
      </c>
      <c r="F417" t="inlineStr">
        <is>
          <t>VÄSTERBOTTENS LÄN</t>
        </is>
      </c>
      <c r="G417" t="inlineStr">
        <is>
          <t>ROBERTSFORS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25154-2026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46248</v>
      </c>
      <c r="F418" t="inlineStr">
        <is>
          <t>VÄSTERBOTTENS LÄN</t>
        </is>
      </c>
      <c r="G418" t="inlineStr">
        <is>
          <t>ROBERTSFORS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52746-2025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46248</v>
      </c>
      <c r="F419" t="inlineStr">
        <is>
          <t>VÄSTERBOTTENS LÄN</t>
        </is>
      </c>
      <c r="G419" t="inlineStr">
        <is>
          <t>ROBERTSFORS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46176</v>
      </c>
      <c r="E420" s="1" t="n">
        <v>46248</v>
      </c>
      <c r="F420" t="inlineStr">
        <is>
          <t>VÄSTERBOTTENS LÄN</t>
        </is>
      </c>
      <c r="G420" t="inlineStr">
        <is>
          <t>ROBERTSFORS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46248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53320-2025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45959</v>
      </c>
      <c r="E422" s="1" t="n">
        <v>46248</v>
      </c>
      <c r="F422" t="inlineStr">
        <is>
          <t>VÄSTERBOTTENS LÄN</t>
        </is>
      </c>
      <c r="G422" t="inlineStr">
        <is>
          <t>ROBERTSFORS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16872-2026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46113</v>
      </c>
      <c r="E423" s="1" t="n">
        <v>46248</v>
      </c>
      <c r="F423" t="inlineStr">
        <is>
          <t>VÄSTERBOTTENS LÄN</t>
        </is>
      </c>
      <c r="G423" t="inlineStr">
        <is>
          <t>ROBERTSFORS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23647-2024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45454</v>
      </c>
      <c r="E424" s="1" t="n">
        <v>46248</v>
      </c>
      <c r="F424" t="inlineStr">
        <is>
          <t>VÄSTERBOTTENS LÄN</t>
        </is>
      </c>
      <c r="G424" t="inlineStr">
        <is>
          <t>ROBERTSFORS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46248</v>
      </c>
      <c r="F425" t="inlineStr">
        <is>
          <t>VÄSTERBOTTENS LÄN</t>
        </is>
      </c>
      <c r="G425" t="inlineStr">
        <is>
          <t>ROBERTSFORS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53485-2025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45959</v>
      </c>
      <c r="E426" s="1" t="n">
        <v>46248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45960</v>
      </c>
      <c r="E427" s="1" t="n">
        <v>46248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45961</v>
      </c>
      <c r="E428" s="1" t="n">
        <v>46248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46177</v>
      </c>
      <c r="E429" s="1" t="n">
        <v>46248</v>
      </c>
      <c r="F429" t="inlineStr">
        <is>
          <t>VÄSTERBOTTENS LÄN</t>
        </is>
      </c>
      <c r="G429" t="inlineStr">
        <is>
          <t>ROBERTSFORS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46248</v>
      </c>
      <c r="F430" t="inlineStr">
        <is>
          <t>VÄSTERBOTTENS LÄN</t>
        </is>
      </c>
      <c r="G430" t="inlineStr">
        <is>
          <t>ROBERTSFORS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54588-2025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45965</v>
      </c>
      <c r="E431" s="1" t="n">
        <v>46248</v>
      </c>
      <c r="F431" t="inlineStr">
        <is>
          <t>VÄSTERBOTTENS LÄN</t>
        </is>
      </c>
      <c r="G431" t="inlineStr">
        <is>
          <t>ROBERTSFORS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54311-2025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46248</v>
      </c>
      <c r="F432" t="inlineStr">
        <is>
          <t>VÄSTERBOTTENS LÄN</t>
        </is>
      </c>
      <c r="G432" t="inlineStr">
        <is>
          <t>ROBERTSFORS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26045-2026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46248</v>
      </c>
      <c r="F433" t="inlineStr">
        <is>
          <t>VÄSTERBOTTENS LÄN</t>
        </is>
      </c>
      <c r="G433" t="inlineStr">
        <is>
          <t>ROBERTSFORS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54607-2025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46248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54594-2025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46248</v>
      </c>
      <c r="F435" t="inlineStr">
        <is>
          <t>VÄSTERBOTTENS LÄN</t>
        </is>
      </c>
      <c r="G435" t="inlineStr">
        <is>
          <t>ROBERTSFORS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31666-2026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46225</v>
      </c>
      <c r="E436" s="1" t="n">
        <v>46248</v>
      </c>
      <c r="F436" t="inlineStr">
        <is>
          <t>VÄSTERBOTTENS LÄN</t>
        </is>
      </c>
      <c r="G436" t="inlineStr">
        <is>
          <t>ROBERTSFORS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46225</v>
      </c>
      <c r="E437" s="1" t="n">
        <v>46248</v>
      </c>
      <c r="F437" t="inlineStr">
        <is>
          <t>VÄSTERBOTTENS LÄN</t>
        </is>
      </c>
      <c r="G437" t="inlineStr">
        <is>
          <t>ROBERTSFORS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46248</v>
      </c>
      <c r="F438" t="inlineStr">
        <is>
          <t>VÄSTERBOTTENS LÄN</t>
        </is>
      </c>
      <c r="G438" t="inlineStr">
        <is>
          <t>ROBERTSFORS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46225</v>
      </c>
      <c r="E439" s="1" t="n">
        <v>46248</v>
      </c>
      <c r="F439" t="inlineStr">
        <is>
          <t>VÄSTERBOTTENS LÄN</t>
        </is>
      </c>
      <c r="G439" t="inlineStr">
        <is>
          <t>ROBERTSFORS</t>
        </is>
      </c>
      <c r="I439" t="n">
        <v>10.4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46230</v>
      </c>
      <c r="E440" s="1" t="n">
        <v>46248</v>
      </c>
      <c r="F440" t="inlineStr">
        <is>
          <t>VÄSTERBOTTENS LÄN</t>
        </is>
      </c>
      <c r="G440" t="inlineStr">
        <is>
          <t>ROBERTSFORS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26949-2026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46248</v>
      </c>
      <c r="F441" t="inlineStr">
        <is>
          <t>VÄSTERBOTTENS LÄN</t>
        </is>
      </c>
      <c r="G441" t="inlineStr">
        <is>
          <t>ROBERTSFORS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46248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26972-2026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46185</v>
      </c>
      <c r="E443" s="1" t="n">
        <v>46248</v>
      </c>
      <c r="F443" t="inlineStr">
        <is>
          <t>VÄSTERBOTTENS LÄN</t>
        </is>
      </c>
      <c r="G443" t="inlineStr">
        <is>
          <t>ROBERTSFORS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27315-2026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46248</v>
      </c>
      <c r="F444" t="inlineStr">
        <is>
          <t>VÄSTERBOTTENS LÄN</t>
        </is>
      </c>
      <c r="G444" t="inlineStr">
        <is>
          <t>ROBERTSFORS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27003-2026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46185</v>
      </c>
      <c r="E445" s="1" t="n">
        <v>46248</v>
      </c>
      <c r="F445" t="inlineStr">
        <is>
          <t>VÄSTERBOTTENS LÄN</t>
        </is>
      </c>
      <c r="G445" t="inlineStr">
        <is>
          <t>ROBERTSFORS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46248</v>
      </c>
      <c r="F446" t="inlineStr">
        <is>
          <t>VÄSTERBOTTENS LÄN</t>
        </is>
      </c>
      <c r="G446" t="inlineStr">
        <is>
          <t>ROBERTSFORS</t>
        </is>
      </c>
      <c r="I446" t="n">
        <v>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27159-2026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46248</v>
      </c>
      <c r="F447" t="inlineStr">
        <is>
          <t>VÄSTERBOTTENS LÄN</t>
        </is>
      </c>
      <c r="G447" t="inlineStr">
        <is>
          <t>ROBERTSFORS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46185</v>
      </c>
      <c r="E448" s="1" t="n">
        <v>46248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46248</v>
      </c>
      <c r="F449" t="inlineStr">
        <is>
          <t>VÄSTERBOTTENS LÄN</t>
        </is>
      </c>
      <c r="G449" t="inlineStr">
        <is>
          <t>ROBERTSFORS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57737-2025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45981</v>
      </c>
      <c r="E450" s="1" t="n">
        <v>46248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57698-2025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45981</v>
      </c>
      <c r="E451" s="1" t="n">
        <v>46248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57793-2025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45981</v>
      </c>
      <c r="E452" s="1" t="n">
        <v>46248</v>
      </c>
      <c r="F452" t="inlineStr">
        <is>
          <t>VÄSTERBOTTENS LÄN</t>
        </is>
      </c>
      <c r="G452" t="inlineStr">
        <is>
          <t>ROBERTSFORS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58850-2025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45987</v>
      </c>
      <c r="E453" s="1" t="n">
        <v>46248</v>
      </c>
      <c r="F453" t="inlineStr">
        <is>
          <t>VÄSTERBOTTENS LÄN</t>
        </is>
      </c>
      <c r="G453" t="inlineStr">
        <is>
          <t>ROBERTSFORS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46248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54968-2024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45620</v>
      </c>
      <c r="E455" s="1" t="n">
        <v>46248</v>
      </c>
      <c r="F455" t="inlineStr">
        <is>
          <t>VÄSTERBOTTENS LÄN</t>
        </is>
      </c>
      <c r="G455" t="inlineStr">
        <is>
          <t>ROBERTSFORS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46248</v>
      </c>
      <c r="F456" t="inlineStr">
        <is>
          <t>VÄSTERBOTTENS LÄN</t>
        </is>
      </c>
      <c r="G456" t="inlineStr">
        <is>
          <t>ROBERTSFORS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32513-2026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46239</v>
      </c>
      <c r="E457" s="1" t="n">
        <v>46248</v>
      </c>
      <c r="F457" t="inlineStr">
        <is>
          <t>VÄSTERBOTTENS LÄN</t>
        </is>
      </c>
      <c r="G457" t="inlineStr">
        <is>
          <t>ROBERTSFORS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46248</v>
      </c>
      <c r="F458" t="inlineStr">
        <is>
          <t>VÄSTERBOTTENS LÄN</t>
        </is>
      </c>
      <c r="G458" t="inlineStr">
        <is>
          <t>ROBERTSFORS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46239</v>
      </c>
      <c r="E459" s="1" t="n">
        <v>46248</v>
      </c>
      <c r="F459" t="inlineStr">
        <is>
          <t>VÄSTERBOTTENS LÄN</t>
        </is>
      </c>
      <c r="G459" t="inlineStr">
        <is>
          <t>ROBERTSFORS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28142-2026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46195</v>
      </c>
      <c r="E460" s="1" t="n">
        <v>46248</v>
      </c>
      <c r="F460" t="inlineStr">
        <is>
          <t>VÄSTERBOTTENS LÄN</t>
        </is>
      </c>
      <c r="G460" t="inlineStr">
        <is>
          <t>ROBERTSFORS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28222-2026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46196</v>
      </c>
      <c r="E461" s="1" t="n">
        <v>46248</v>
      </c>
      <c r="F461" t="inlineStr">
        <is>
          <t>VÄSTERBOTTENS LÄN</t>
        </is>
      </c>
      <c r="G461" t="inlineStr">
        <is>
          <t>ROBERTSFORS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60693-2025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45996</v>
      </c>
      <c r="E462" s="1" t="n">
        <v>46248</v>
      </c>
      <c r="F462" t="inlineStr">
        <is>
          <t>VÄSTERBOTTENS LÄN</t>
        </is>
      </c>
      <c r="G462" t="inlineStr">
        <is>
          <t>ROBERTSFORS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46248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46248</v>
      </c>
      <c r="F464" t="inlineStr">
        <is>
          <t>VÄSTERBOTTENS LÄN</t>
        </is>
      </c>
      <c r="G464" t="inlineStr">
        <is>
          <t>ROBERTSFORS</t>
        </is>
      </c>
      <c r="H464" t="inlineStr">
        <is>
          <t>Holmen skog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28651-2026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46248</v>
      </c>
      <c r="F465" t="inlineStr">
        <is>
          <t>VÄSTERBOTTENS LÄN</t>
        </is>
      </c>
      <c r="G465" t="inlineStr">
        <is>
          <t>ROBERTSFORS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46248</v>
      </c>
      <c r="F466" t="inlineStr">
        <is>
          <t>VÄSTERBOTTENS LÄN</t>
        </is>
      </c>
      <c r="G466" t="inlineStr">
        <is>
          <t>ROBERTSFORS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46248</v>
      </c>
      <c r="F467" t="inlineStr">
        <is>
          <t>VÄSTERBOTTENS LÄN</t>
        </is>
      </c>
      <c r="G467" t="inlineStr">
        <is>
          <t>ROBERTSFORS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46248</v>
      </c>
      <c r="F468" t="inlineStr">
        <is>
          <t>VÄSTERBOTTENS LÄN</t>
        </is>
      </c>
      <c r="G468" t="inlineStr">
        <is>
          <t>ROBERTSFORS</t>
        </is>
      </c>
      <c r="I468" t="n">
        <v>11.3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46248</v>
      </c>
      <c r="F469" t="inlineStr">
        <is>
          <t>VÄSTERBOTTENS LÄN</t>
        </is>
      </c>
      <c r="G469" t="inlineStr">
        <is>
          <t>ROBERTSFORS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61114-2025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46248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Sveaskog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46248</v>
      </c>
      <c r="F471" t="inlineStr">
        <is>
          <t>VÄSTERBOTTENS LÄN</t>
        </is>
      </c>
      <c r="G471" t="inlineStr">
        <is>
          <t>ROBERTSFORS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46240</v>
      </c>
      <c r="E472" s="1" t="n">
        <v>46248</v>
      </c>
      <c r="F472" t="inlineStr">
        <is>
          <t>VÄSTERBOTTENS LÄN</t>
        </is>
      </c>
      <c r="G472" t="inlineStr">
        <is>
          <t>ROBERTSFORS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32681-2026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46248</v>
      </c>
      <c r="F473" t="inlineStr">
        <is>
          <t>VÄSTERBOTTENS LÄN</t>
        </is>
      </c>
      <c r="G473" t="inlineStr">
        <is>
          <t>ROBERTSFORS</t>
        </is>
      </c>
      <c r="I473" t="n">
        <v>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46248</v>
      </c>
      <c r="F474" t="inlineStr">
        <is>
          <t>VÄSTERBOTTENS LÄN</t>
        </is>
      </c>
      <c r="G474" t="inlineStr">
        <is>
          <t>ROBERTSFORS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29272-2026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46202</v>
      </c>
      <c r="E475" s="1" t="n">
        <v>46248</v>
      </c>
      <c r="F475" t="inlineStr">
        <is>
          <t>VÄSTERBOTTENS LÄN</t>
        </is>
      </c>
      <c r="G475" t="inlineStr">
        <is>
          <t>ROBERTSFORS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29600-2026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46248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SCA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46248</v>
      </c>
      <c r="F477" t="inlineStr">
        <is>
          <t>VÄSTERBOTTENS LÄN</t>
        </is>
      </c>
      <c r="G477" t="inlineStr">
        <is>
          <t>ROBERTSFORS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62084-2022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44919</v>
      </c>
      <c r="E478" s="1" t="n">
        <v>46248</v>
      </c>
      <c r="F478" t="inlineStr">
        <is>
          <t>VÄSTERBOTTENS LÄN</t>
        </is>
      </c>
      <c r="G478" t="inlineStr">
        <is>
          <t>ROBERTSFORS</t>
        </is>
      </c>
      <c r="I478" t="n">
        <v>64.7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46248</v>
      </c>
      <c r="F479" t="inlineStr">
        <is>
          <t>VÄSTERBOTTENS LÄN</t>
        </is>
      </c>
      <c r="G479" t="inlineStr">
        <is>
          <t>ROBERTSFORS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29958-2026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46205</v>
      </c>
      <c r="E480" s="1" t="n">
        <v>46248</v>
      </c>
      <c r="F480" t="inlineStr">
        <is>
          <t>VÄSTERBOTTENS LÄN</t>
        </is>
      </c>
      <c r="G480" t="inlineStr">
        <is>
          <t>ROBERTSFORS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46248</v>
      </c>
      <c r="F481" t="inlineStr">
        <is>
          <t>VÄSTERBOTTENS LÄN</t>
        </is>
      </c>
      <c r="G481" t="inlineStr">
        <is>
          <t>ROBERTSFORS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46042</v>
      </c>
      <c r="E482" s="1" t="n">
        <v>46248</v>
      </c>
      <c r="F482" t="inlineStr">
        <is>
          <t>VÄSTERBOTTENS LÄN</t>
        </is>
      </c>
      <c r="G482" t="inlineStr">
        <is>
          <t>ROBERTSFORS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3590-2026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46042</v>
      </c>
      <c r="E483" s="1" t="n">
        <v>46248</v>
      </c>
      <c r="F483" t="inlineStr">
        <is>
          <t>VÄSTERBOTTENS LÄN</t>
        </is>
      </c>
      <c r="G483" t="inlineStr">
        <is>
          <t>ROBERTSFORS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46248</v>
      </c>
      <c r="F484" t="inlineStr">
        <is>
          <t>VÄSTERBOTTENS LÄN</t>
        </is>
      </c>
      <c r="G484" t="inlineStr">
        <is>
          <t>ROBERTSFORS</t>
        </is>
      </c>
      <c r="I484" t="n">
        <v>9.9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46248</v>
      </c>
      <c r="F485" t="inlineStr">
        <is>
          <t>VÄSTERBOTTENS LÄN</t>
        </is>
      </c>
      <c r="G485" t="inlineStr">
        <is>
          <t>ROBERTSFORS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46050</v>
      </c>
      <c r="E486" s="1" t="n">
        <v>46248</v>
      </c>
      <c r="F486" t="inlineStr">
        <is>
          <t>VÄSTERBOTTENS LÄN</t>
        </is>
      </c>
      <c r="G486" t="inlineStr">
        <is>
          <t>ROBERTSFORS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46050</v>
      </c>
      <c r="E487" s="1" t="n">
        <v>46248</v>
      </c>
      <c r="F487" t="inlineStr">
        <is>
          <t>VÄSTERBOTTENS LÄN</t>
        </is>
      </c>
      <c r="G487" t="inlineStr">
        <is>
          <t>ROBERTSFORS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46248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46248</v>
      </c>
      <c r="F489" t="inlineStr">
        <is>
          <t>VÄSTERBOTTENS LÄN</t>
        </is>
      </c>
      <c r="G489" t="inlineStr">
        <is>
          <t>ROBERTSFORS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46248</v>
      </c>
      <c r="F490" t="inlineStr">
        <is>
          <t>VÄSTERBOTTENS LÄN</t>
        </is>
      </c>
      <c r="G490" t="inlineStr">
        <is>
          <t>ROBERTSFORS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8090-2026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46248</v>
      </c>
      <c r="F491" t="inlineStr">
        <is>
          <t>VÄSTERBOTTENS LÄN</t>
        </is>
      </c>
      <c r="G491" t="inlineStr">
        <is>
          <t>ROBERTSFORS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46065</v>
      </c>
      <c r="E492" s="1" t="n">
        <v>46248</v>
      </c>
      <c r="F492" t="inlineStr">
        <is>
          <t>VÄSTERBOTTENS LÄN</t>
        </is>
      </c>
      <c r="G492" t="inlineStr">
        <is>
          <t>ROBERTSFORS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46248</v>
      </c>
      <c r="F493" t="inlineStr">
        <is>
          <t>VÄSTERBOTTENS LÄN</t>
        </is>
      </c>
      <c r="G493" t="inlineStr">
        <is>
          <t>ROBERTSFORS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45678</v>
      </c>
      <c r="E494" s="1" t="n">
        <v>46248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8.9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10258-2026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46076</v>
      </c>
      <c r="E495" s="1" t="n">
        <v>46248</v>
      </c>
      <c r="F495" t="inlineStr">
        <is>
          <t>VÄSTERBOTTENS LÄN</t>
        </is>
      </c>
      <c r="G495" t="inlineStr">
        <is>
          <t>ROBERTSFORS</t>
        </is>
      </c>
      <c r="I495" t="n">
        <v>10.8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11421-2026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46083</v>
      </c>
      <c r="E496" s="1" t="n">
        <v>46248</v>
      </c>
      <c r="F496" t="inlineStr">
        <is>
          <t>VÄSTERBOTTENS LÄN</t>
        </is>
      </c>
      <c r="G496" t="inlineStr">
        <is>
          <t>ROBERTSFORS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13397-2026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46248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14096-2026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46248</v>
      </c>
      <c r="F498" t="inlineStr">
        <is>
          <t>VÄSTERBOTTENS LÄN</t>
        </is>
      </c>
      <c r="G498" t="inlineStr">
        <is>
          <t>ROBERTSFORS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14098-2026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46099</v>
      </c>
      <c r="E499" s="1" t="n">
        <v>46248</v>
      </c>
      <c r="F499" t="inlineStr">
        <is>
          <t>VÄSTERBOTTENS LÄN</t>
        </is>
      </c>
      <c r="G499" t="inlineStr">
        <is>
          <t>ROBERTSFORS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15015-2026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46104</v>
      </c>
      <c r="E500" s="1" t="n">
        <v>46248</v>
      </c>
      <c r="F500" t="inlineStr">
        <is>
          <t>VÄSTERBOTTENS LÄN</t>
        </is>
      </c>
      <c r="G500" t="inlineStr">
        <is>
          <t>ROBERTSFORS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15302-2026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46105</v>
      </c>
      <c r="E501" s="1" t="n">
        <v>46248</v>
      </c>
      <c r="F501" t="inlineStr">
        <is>
          <t>VÄSTERBOTTENS LÄN</t>
        </is>
      </c>
      <c r="G501" t="inlineStr">
        <is>
          <t>ROBERTSFORS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16482-2026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46112</v>
      </c>
      <c r="E502" s="1" t="n">
        <v>46248</v>
      </c>
      <c r="F502" t="inlineStr">
        <is>
          <t>VÄSTERBOTTENS LÄN</t>
        </is>
      </c>
      <c r="G502" t="inlineStr">
        <is>
          <t>ROBERTSFORS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46122</v>
      </c>
      <c r="E503" s="1" t="n">
        <v>46248</v>
      </c>
      <c r="F503" t="inlineStr">
        <is>
          <t>VÄSTERBOTTENS LÄN</t>
        </is>
      </c>
      <c r="G503" t="inlineStr">
        <is>
          <t>ROBERTSFORS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17780-2026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46248</v>
      </c>
      <c r="F504" t="inlineStr">
        <is>
          <t>VÄSTERBOTTENS LÄN</t>
        </is>
      </c>
      <c r="G504" t="inlineStr">
        <is>
          <t>ROBERTSFORS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17753-2026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46248</v>
      </c>
      <c r="F505" t="inlineStr">
        <is>
          <t>VÄSTERBOTTENS LÄN</t>
        </is>
      </c>
      <c r="G505" t="inlineStr">
        <is>
          <t>ROBERTSFORS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46126</v>
      </c>
      <c r="E506" s="1" t="n">
        <v>46248</v>
      </c>
      <c r="F506" t="inlineStr">
        <is>
          <t>VÄSTERBOTTENS LÄN</t>
        </is>
      </c>
      <c r="G506" t="inlineStr">
        <is>
          <t>ROBERTSFORS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18289-2026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46126</v>
      </c>
      <c r="E507" s="1" t="n">
        <v>46248</v>
      </c>
      <c r="F507" t="inlineStr">
        <is>
          <t>VÄSTERBOTTENS LÄN</t>
        </is>
      </c>
      <c r="G507" t="inlineStr">
        <is>
          <t>ROBERTSFORS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18294-2026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46126</v>
      </c>
      <c r="E508" s="1" t="n">
        <v>46248</v>
      </c>
      <c r="F508" t="inlineStr">
        <is>
          <t>VÄSTERBOTTENS LÄN</t>
        </is>
      </c>
      <c r="G508" t="inlineStr">
        <is>
          <t>ROBERTSFORS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46133</v>
      </c>
      <c r="E509" s="1" t="n">
        <v>46248</v>
      </c>
      <c r="F509" t="inlineStr">
        <is>
          <t>VÄSTERBOTTENS LÄN</t>
        </is>
      </c>
      <c r="G509" t="inlineStr">
        <is>
          <t>ROBERTSFORS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46132</v>
      </c>
      <c r="E510" s="1" t="n">
        <v>46248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19077-2026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46132</v>
      </c>
      <c r="E511" s="1" t="n">
        <v>46248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46248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19732-2026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46135</v>
      </c>
      <c r="E513" s="1" t="n">
        <v>46248</v>
      </c>
      <c r="F513" t="inlineStr">
        <is>
          <t>VÄSTERBOTTENS LÄN</t>
        </is>
      </c>
      <c r="G513" t="inlineStr">
        <is>
          <t>ROBERTSFORS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19828-2026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46135</v>
      </c>
      <c r="E514" s="1" t="n">
        <v>46248</v>
      </c>
      <c r="F514" t="inlineStr">
        <is>
          <t>VÄSTERBOTTENS LÄN</t>
        </is>
      </c>
      <c r="G514" t="inlineStr">
        <is>
          <t>ROBERTSFORS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19730-2026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46135</v>
      </c>
      <c r="E515" s="1" t="n">
        <v>46248</v>
      </c>
      <c r="F515" t="inlineStr">
        <is>
          <t>VÄSTERBOTTENS LÄN</t>
        </is>
      </c>
      <c r="G515" t="inlineStr">
        <is>
          <t>ROBERTSFORS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46135</v>
      </c>
      <c r="E516" s="1" t="n">
        <v>46248</v>
      </c>
      <c r="F516" t="inlineStr">
        <is>
          <t>VÄSTERBOTTENS LÄN</t>
        </is>
      </c>
      <c r="G516" t="inlineStr">
        <is>
          <t>ROBERTSFORS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45502</v>
      </c>
      <c r="E517" s="1" t="n">
        <v>46248</v>
      </c>
      <c r="F517" t="inlineStr">
        <is>
          <t>VÄSTERBOTTENS LÄN</t>
        </is>
      </c>
      <c r="G517" t="inlineStr">
        <is>
          <t>ROBERTSFORS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45145</v>
      </c>
      <c r="E518" s="1" t="n">
        <v>46248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20355-2026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46139</v>
      </c>
      <c r="E519" s="1" t="n">
        <v>46248</v>
      </c>
      <c r="F519" t="inlineStr">
        <is>
          <t>VÄSTERBOTTENS LÄN</t>
        </is>
      </c>
      <c r="G519" t="inlineStr">
        <is>
          <t>ROBERTSFORS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29939-2025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45826</v>
      </c>
      <c r="E520" s="1" t="n">
        <v>46248</v>
      </c>
      <c r="F520" t="inlineStr">
        <is>
          <t>VÄSTERBOTTENS LÄN</t>
        </is>
      </c>
      <c r="G520" t="inlineStr">
        <is>
          <t>ROBERTSFORS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47413-2025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45930</v>
      </c>
      <c r="E521" s="1" t="n">
        <v>46248</v>
      </c>
      <c r="F521" t="inlineStr">
        <is>
          <t>VÄSTERBOTTENS LÄN</t>
        </is>
      </c>
      <c r="G521" t="inlineStr">
        <is>
          <t>ROBERTSFORS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46248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46248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46248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46248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46248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46248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46248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46248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2026-08-14T01:52:04Z</dcterms:created>
  <dcterms:modified xmlns:dcterms="http://purl.org/dc/terms/" xmlns:xsi="http://www.w3.org/2001/XMLSchema-instance" xsi:type="dcterms:W3CDTF">2026-08-14T01:52:05Z</dcterms:modified>
</cp:coreProperties>
</file>