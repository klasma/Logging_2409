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46256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46256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46256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46256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46256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46256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46256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46256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46256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33347-2025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45841</v>
      </c>
      <c r="E20" s="1" t="n">
        <v>46256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2.9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Lunglav
Stuplav</t>
        </is>
      </c>
      <c r="W20">
        <f>HYPERLINK("https://klasma.github.io/Logging_2409/artfynd/A 33347-2025 artfynd.xlsx", "A 33347-2025")</f>
        <v/>
      </c>
      <c r="X20">
        <f>HYPERLINK("https://klasma.github.io/Logging_2409/kartor/A 33347-2025 karta.png", "A 33347-2025")</f>
        <v/>
      </c>
      <c r="Y20">
        <f>HYPERLINK("https://klasma.github.io/Logging_2409/kartor_geotiff/A 33347-2025 georefererad karta.tif", "A 33347-2025")</f>
        <v/>
      </c>
      <c r="AA20">
        <f>HYPERLINK("https://klasma.github.io/Logging_2409/klagomål/A 33347-2025 FSC-klagomål.docx", "A 33347-2025")</f>
        <v/>
      </c>
      <c r="AB20">
        <f>HYPERLINK("https://klasma.github.io/Logging_2409/klagomålsmail/A 33347-2025 FSC-klagomål mail.docx", "A 33347-2025")</f>
        <v/>
      </c>
      <c r="AC20">
        <f>HYPERLINK("https://klasma.github.io/Logging_2409/tillsyn/A 33347-2025 tillsynsbegäran.docx", "A 33347-2025")</f>
        <v/>
      </c>
      <c r="AD20">
        <f>HYPERLINK("https://klasma.github.io/Logging_2409/tillsynsmail/A 33347-2025 tillsynsbegäran mail.docx", "A 33347-2025")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46256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46256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46256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41962-2023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45177</v>
      </c>
      <c r="E25" s="1" t="n">
        <v>46256</v>
      </c>
      <c r="F25" t="inlineStr">
        <is>
          <t>VÄSTERBOTTENS LÄN</t>
        </is>
      </c>
      <c r="G25" t="inlineStr">
        <is>
          <t>ROBERTSFORS</t>
        </is>
      </c>
      <c r="I25" t="n">
        <v>0.3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Ullticka
Vedticka</t>
        </is>
      </c>
      <c r="W25">
        <f>HYPERLINK("https://klasma.github.io/Logging_2409/artfynd/A 41962-2023 artfynd.xlsx", "A 41962-2023")</f>
        <v/>
      </c>
      <c r="X25">
        <f>HYPERLINK("https://klasma.github.io/Logging_2409/kartor/A 41962-2023 karta.png", "A 41962-2023")</f>
        <v/>
      </c>
      <c r="Y25">
        <f>HYPERLINK("https://klasma.github.io/Logging_2409/kartor_geotiff/A 41962-2023 georefererad karta.tif", "A 41962-2023")</f>
        <v/>
      </c>
      <c r="AA25">
        <f>HYPERLINK("https://klasma.github.io/Logging_2409/klagomål/A 41962-2023 FSC-klagomål.docx", "A 41962-2023")</f>
        <v/>
      </c>
      <c r="AB25">
        <f>HYPERLINK("https://klasma.github.io/Logging_2409/klagomålsmail/A 41962-2023 FSC-klagomål mail.docx", "A 41962-2023")</f>
        <v/>
      </c>
      <c r="AC25">
        <f>HYPERLINK("https://klasma.github.io/Logging_2409/tillsyn/A 41962-2023 tillsynsbegäran.docx", "A 41962-2023")</f>
        <v/>
      </c>
      <c r="AD25">
        <f>HYPERLINK("https://klasma.github.io/Logging_2409/tillsynsmail/A 41962-2023 tillsynsbegäran mail.docx", "A 41962-2023")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46256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31320-2024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46256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4.9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Vedflamlav</t>
        </is>
      </c>
      <c r="W27">
        <f>HYPERLINK("https://klasma.github.io/Logging_2409/artfynd/A 31320-2024 artfynd.xlsx", "A 31320-2024")</f>
        <v/>
      </c>
      <c r="X27">
        <f>HYPERLINK("https://klasma.github.io/Logging_2409/kartor/A 31320-2024 karta.png", "A 31320-2024")</f>
        <v/>
      </c>
      <c r="Y27">
        <f>HYPERLINK("https://klasma.github.io/Logging_2409/kartor_geotiff/A 31320-2024 georefererad karta.tif", "A 31320-2024")</f>
        <v/>
      </c>
      <c r="AA27">
        <f>HYPERLINK("https://klasma.github.io/Logging_2409/klagomål/A 31320-2024 FSC-klagomål.docx", "A 31320-2024")</f>
        <v/>
      </c>
      <c r="AB27">
        <f>HYPERLINK("https://klasma.github.io/Logging_2409/klagomålsmail/A 31320-2024 FSC-klagomål mail.docx", "A 31320-2024")</f>
        <v/>
      </c>
      <c r="AC27">
        <f>HYPERLINK("https://klasma.github.io/Logging_2409/tillsyn/A 31320-2024 tillsynsbegäran.docx", "A 31320-2024")</f>
        <v/>
      </c>
      <c r="AD27">
        <f>HYPERLINK("https://klasma.github.io/Logging_2409/tillsynsmail/A 31320-2024 tillsynsbegäran mail.docx", "A 31320-2024")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46256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46256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26204-2024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45468</v>
      </c>
      <c r="E30" s="1" t="n">
        <v>46256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3.9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8</v>
      </c>
      <c r="U30" t="n">
        <v>8</v>
      </c>
      <c r="V30" s="2" t="inlineStr">
        <is>
          <t>Tjäder
Orre</t>
        </is>
      </c>
      <c r="W30">
        <f>HYPERLINK("https://klasma.github.io/Logging_2409/artfynd/A 26204-2024 artfynd.xlsx", "A 26204-2024")</f>
        <v/>
      </c>
      <c r="X30">
        <f>HYPERLINK("https://klasma.github.io/Logging_2409/kartor/A 26204-2024 karta.png", "A 26204-2024")</f>
        <v/>
      </c>
      <c r="Y30">
        <f>HYPERLINK("https://klasma.github.io/Logging_2409/kartor_geotiff/A 26204-2024 georefererad karta.tif", "A 26204-2024")</f>
        <v/>
      </c>
      <c r="AA30">
        <f>HYPERLINK("https://klasma.github.io/Logging_2409/klagomål/A 26204-2024 FSC-klagomål.docx", "A 26204-2024")</f>
        <v/>
      </c>
      <c r="AB30">
        <f>HYPERLINK("https://klasma.github.io/Logging_2409/klagomålsmail/A 26204-2024 FSC-klagomål mail.docx", "A 26204-2024")</f>
        <v/>
      </c>
      <c r="AC30">
        <f>HYPERLINK("https://klasma.github.io/Logging_2409/tillsyn/A 26204-2024 tillsynsbegäran.docx", "A 26204-2024")</f>
        <v/>
      </c>
      <c r="AD30">
        <f>HYPERLINK("https://klasma.github.io/Logging_2409/tillsynsmail/A 26204-2024 tillsynsbegäran mail.docx", "A 26204-2024")</f>
        <v/>
      </c>
      <c r="AE30">
        <f>HYPERLINK("https://klasma.github.io/Logging_2409/fåglar/A 26204-2024 prioriterade fågelarter.docx", "A 26204-2024")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46256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46256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46256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46256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46256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46256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46256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46256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57284-2023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45245</v>
      </c>
      <c r="E42" s="1" t="n">
        <v>46256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6.8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HYPERLINK("https://klasma.github.io/Logging_2409/artfynd/A 57284-2023 artfynd.xlsx", "A 57284-2023")</f>
        <v/>
      </c>
      <c r="X42">
        <f>HYPERLINK("https://klasma.github.io/Logging_2409/kartor/A 57284-2023 karta.png", "A 57284-2023")</f>
        <v/>
      </c>
      <c r="Y42">
        <f>HYPERLINK("https://klasma.github.io/Logging_2409/kartor_geotiff/A 57284-2023 georefererad karta.tif", "A 57284-2023")</f>
        <v/>
      </c>
      <c r="AA42">
        <f>HYPERLINK("https://klasma.github.io/Logging_2409/klagomål/A 57284-2023 FSC-klagomål.docx", "A 57284-2023")</f>
        <v/>
      </c>
      <c r="AB42">
        <f>HYPERLINK("https://klasma.github.io/Logging_2409/klagomålsmail/A 57284-2023 FSC-klagomål mail.docx", "A 57284-2023")</f>
        <v/>
      </c>
      <c r="AC42">
        <f>HYPERLINK("https://klasma.github.io/Logging_2409/tillsyn/A 57284-2023 tillsynsbegäran.docx", "A 57284-2023")</f>
        <v/>
      </c>
      <c r="AD42">
        <f>HYPERLINK("https://klasma.github.io/Logging_2409/tillsynsmail/A 57284-2023 tillsynsbegäran mail.docx", "A 57284-2023")</f>
        <v/>
      </c>
    </row>
    <row r="43" ht="15" customHeight="1">
      <c r="A43" t="inlineStr">
        <is>
          <t>A 32023-2024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45510</v>
      </c>
      <c r="E43" s="1" t="n">
        <v>46256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Dropptaggsvamp</t>
        </is>
      </c>
      <c r="W43">
        <f>HYPERLINK("https://klasma.github.io/Logging_2409/artfynd/A 32023-2024 artfynd.xlsx", "A 32023-2024")</f>
        <v/>
      </c>
      <c r="X43">
        <f>HYPERLINK("https://klasma.github.io/Logging_2409/kartor/A 32023-2024 karta.png", "A 32023-2024")</f>
        <v/>
      </c>
      <c r="Y43">
        <f>HYPERLINK("https://klasma.github.io/Logging_2409/kartor_geotiff/A 32023-2024 georefererad karta.tif", "A 32023-2024")</f>
        <v/>
      </c>
      <c r="AA43">
        <f>HYPERLINK("https://klasma.github.io/Logging_2409/klagomål/A 32023-2024 FSC-klagomål.docx", "A 32023-2024")</f>
        <v/>
      </c>
      <c r="AB43">
        <f>HYPERLINK("https://klasma.github.io/Logging_2409/klagomålsmail/A 32023-2024 FSC-klagomål mail.docx", "A 32023-2024")</f>
        <v/>
      </c>
      <c r="AC43">
        <f>HYPERLINK("https://klasma.github.io/Logging_2409/tillsyn/A 32023-2024 tillsynsbegäran.docx", "A 32023-2024")</f>
        <v/>
      </c>
      <c r="AD43">
        <f>HYPERLINK("https://klasma.github.io/Logging_2409/tillsynsmail/A 32023-2024 tillsynsbegäran mail.docx", "A 32023-2024")</f>
        <v/>
      </c>
    </row>
    <row r="44" ht="15" customHeight="1">
      <c r="A44" t="inlineStr">
        <is>
          <t>A 40600-2022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46256</v>
      </c>
      <c r="F44" t="inlineStr">
        <is>
          <t>VÄSTERBOTTENS LÄN</t>
        </is>
      </c>
      <c r="G44" t="inlineStr">
        <is>
          <t>ROBERTSFORS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HYPERLINK("https://klasma.github.io/Logging_2409/artfynd/A 40600-2022 artfynd.xlsx", "A 40600-2022")</f>
        <v/>
      </c>
      <c r="X44">
        <f>HYPERLINK("https://klasma.github.io/Logging_2409/kartor/A 40600-2022 karta.png", "A 40600-2022")</f>
        <v/>
      </c>
      <c r="Y44">
        <f>HYPERLINK("https://klasma.github.io/Logging_2409/kartor_geotiff/A 40600-2022 georefererad karta.tif", "A 40600-2022")</f>
        <v/>
      </c>
      <c r="AA44">
        <f>HYPERLINK("https://klasma.github.io/Logging_2409/klagomål/A 40600-2022 FSC-klagomål.docx", "A 40600-2022")</f>
        <v/>
      </c>
      <c r="AB44">
        <f>HYPERLINK("https://klasma.github.io/Logging_2409/klagomålsmail/A 40600-2022 FSC-klagomål mail.docx", "A 40600-2022")</f>
        <v/>
      </c>
      <c r="AC44">
        <f>HYPERLINK("https://klasma.github.io/Logging_2409/tillsyn/A 40600-2022 tillsynsbegäran.docx", "A 40600-2022")</f>
        <v/>
      </c>
      <c r="AD44">
        <f>HYPERLINK("https://klasma.github.io/Logging_2409/tillsynsmail/A 40600-2022 tillsynsbegäran mail.docx", "A 40600-2022")</f>
        <v/>
      </c>
      <c r="AE44">
        <f>HYPERLINK("https://klasma.github.io/Logging_2409/fåglar/A 40600-2022 prioriterade fågelarter.docx", "A 40600-2022")</f>
        <v/>
      </c>
    </row>
    <row r="45" ht="15" customHeight="1">
      <c r="A45" t="inlineStr">
        <is>
          <t>A 30344-2025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45827</v>
      </c>
      <c r="E45" s="1" t="n">
        <v>46256</v>
      </c>
      <c r="F45" t="inlineStr">
        <is>
          <t>VÄSTERBOTTENS LÄN</t>
        </is>
      </c>
      <c r="G45" t="inlineStr">
        <is>
          <t>ROBERTSFORS</t>
        </is>
      </c>
      <c r="I45" t="n">
        <v>22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HYPERLINK("https://klasma.github.io/Logging_2409/artfynd/A 30344-2025 artfynd.xlsx", "A 30344-2025")</f>
        <v/>
      </c>
      <c r="X45">
        <f>HYPERLINK("https://klasma.github.io/Logging_2409/kartor/A 30344-2025 karta.png", "A 30344-2025")</f>
        <v/>
      </c>
      <c r="Y45">
        <f>HYPERLINK("https://klasma.github.io/Logging_2409/kartor_geotiff/A 30344-2025 georefererad karta.tif", "A 30344-2025")</f>
        <v/>
      </c>
      <c r="AA45">
        <f>HYPERLINK("https://klasma.github.io/Logging_2409/klagomål/A 30344-2025 FSC-klagomål.docx", "A 30344-2025")</f>
        <v/>
      </c>
      <c r="AB45">
        <f>HYPERLINK("https://klasma.github.io/Logging_2409/klagomålsmail/A 30344-2025 FSC-klagomål mail.docx", "A 30344-2025")</f>
        <v/>
      </c>
      <c r="AC45">
        <f>HYPERLINK("https://klasma.github.io/Logging_2409/tillsyn/A 30344-2025 tillsynsbegäran.docx", "A 30344-2025")</f>
        <v/>
      </c>
      <c r="AD45">
        <f>HYPERLINK("https://klasma.github.io/Logging_2409/tillsynsmail/A 30344-2025 tillsynsbegäran mail.docx", "A 30344-2025")</f>
        <v/>
      </c>
      <c r="AE45">
        <f>HYPERLINK("https://klasma.github.io/Logging_2409/fåglar/A 30344-2025 prioriterade fågelarter.docx", "A 30344-2025")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46256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HYPERLINK("https://klasma.github.io/Logging_2409/artfynd/A 32263-2025 artfynd.xlsx", "A 32263-2025")</f>
        <v/>
      </c>
      <c r="X46">
        <f>HYPERLINK("https://klasma.github.io/Logging_2409/kartor/A 32263-2025 karta.png", "A 32263-2025")</f>
        <v/>
      </c>
      <c r="Y46">
        <f>HYPERLINK("https://klasma.github.io/Logging_2409/kartor_geotiff/A 32263-2025 georefererad karta.tif", "A 32263-2025")</f>
        <v/>
      </c>
      <c r="AA46">
        <f>HYPERLINK("https://klasma.github.io/Logging_2409/klagomål/A 32263-2025 FSC-klagomål.docx", "A 32263-2025")</f>
        <v/>
      </c>
      <c r="AB46">
        <f>HYPERLINK("https://klasma.github.io/Logging_2409/klagomålsmail/A 32263-2025 FSC-klagomål mail.docx", "A 32263-2025")</f>
        <v/>
      </c>
      <c r="AC46">
        <f>HYPERLINK("https://klasma.github.io/Logging_2409/tillsyn/A 32263-2025 tillsynsbegäran.docx", "A 32263-2025")</f>
        <v/>
      </c>
      <c r="AD46">
        <f>HYPERLINK("https://klasma.github.io/Logging_2409/tillsynsmail/A 32263-2025 tillsynsbegäran mail.docx", "A 32263-2025")</f>
        <v/>
      </c>
    </row>
    <row r="47" ht="15" customHeight="1">
      <c r="A47" t="inlineStr">
        <is>
          <t>A 49086-2023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46256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8.300000000000001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HYPERLINK("https://klasma.github.io/Logging_2409/artfynd/A 49086-2023 artfynd.xlsx", "A 49086-2023")</f>
        <v/>
      </c>
      <c r="X47">
        <f>HYPERLINK("https://klasma.github.io/Logging_2409/kartor/A 49086-2023 karta.png", "A 49086-2023")</f>
        <v/>
      </c>
      <c r="Y47">
        <f>HYPERLINK("https://klasma.github.io/Logging_2409/kartor_geotiff/A 49086-2023 georefererad karta.tif", "A 49086-2023")</f>
        <v/>
      </c>
      <c r="AA47">
        <f>HYPERLINK("https://klasma.github.io/Logging_2409/klagomål/A 49086-2023 FSC-klagomål.docx", "A 49086-2023")</f>
        <v/>
      </c>
      <c r="AB47">
        <f>HYPERLINK("https://klasma.github.io/Logging_2409/klagomålsmail/A 49086-2023 FSC-klagomål mail.docx", "A 49086-2023")</f>
        <v/>
      </c>
      <c r="AC47">
        <f>HYPERLINK("https://klasma.github.io/Logging_2409/tillsyn/A 49086-2023 tillsynsbegäran.docx", "A 49086-2023")</f>
        <v/>
      </c>
      <c r="AD47">
        <f>HYPERLINK("https://klasma.github.io/Logging_2409/tillsynsmail/A 49086-2023 tillsynsbegäran mail.docx", "A 49086-2023")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46256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32876-2023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45124</v>
      </c>
      <c r="E49" s="1" t="n">
        <v>46256</v>
      </c>
      <c r="F49" t="inlineStr">
        <is>
          <t>VÄSTERBOTTENS LÄN</t>
        </is>
      </c>
      <c r="G49" t="inlineStr">
        <is>
          <t>ROBERTSFORS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HYPERLINK("https://klasma.github.io/Logging_2409/artfynd/A 32876-2023 artfynd.xlsx", "A 32876-2023")</f>
        <v/>
      </c>
      <c r="X49">
        <f>HYPERLINK("https://klasma.github.io/Logging_2409/kartor/A 32876-2023 karta.png", "A 32876-2023")</f>
        <v/>
      </c>
      <c r="Y49">
        <f>HYPERLINK("https://klasma.github.io/Logging_2409/kartor_geotiff/A 32876-2023 georefererad karta.tif", "A 32876-2023")</f>
        <v/>
      </c>
      <c r="AA49">
        <f>HYPERLINK("https://klasma.github.io/Logging_2409/klagomål/A 32876-2023 FSC-klagomål.docx", "A 32876-2023")</f>
        <v/>
      </c>
      <c r="AB49">
        <f>HYPERLINK("https://klasma.github.io/Logging_2409/klagomålsmail/A 32876-2023 FSC-klagomål mail.docx", "A 32876-2023")</f>
        <v/>
      </c>
      <c r="AC49">
        <f>HYPERLINK("https://klasma.github.io/Logging_2409/tillsyn/A 32876-2023 tillsynsbegäran.docx", "A 32876-2023")</f>
        <v/>
      </c>
      <c r="AD49">
        <f>HYPERLINK("https://klasma.github.io/Logging_2409/tillsynsmail/A 32876-2023 tillsynsbegäran mail.docx", "A 32876-2023")</f>
        <v/>
      </c>
    </row>
    <row r="50" ht="15" customHeight="1">
      <c r="A50" t="inlineStr">
        <is>
          <t>A 34007-2025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45844</v>
      </c>
      <c r="E50" s="1" t="n">
        <v>46256</v>
      </c>
      <c r="F50" t="inlineStr">
        <is>
          <t>VÄSTERBOTTENS LÄN</t>
        </is>
      </c>
      <c r="G50" t="inlineStr">
        <is>
          <t>ROBERTSFORS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Harticka</t>
        </is>
      </c>
      <c r="W50">
        <f>HYPERLINK("https://klasma.github.io/Logging_2409/artfynd/A 34007-2025 artfynd.xlsx", "A 34007-2025")</f>
        <v/>
      </c>
      <c r="X50">
        <f>HYPERLINK("https://klasma.github.io/Logging_2409/kartor/A 34007-2025 karta.png", "A 34007-2025")</f>
        <v/>
      </c>
      <c r="Y50">
        <f>HYPERLINK("https://klasma.github.io/Logging_2409/kartor_geotiff/A 34007-2025 georefererad karta.tif", "A 34007-2025")</f>
        <v/>
      </c>
      <c r="AA50">
        <f>HYPERLINK("https://klasma.github.io/Logging_2409/klagomål/A 34007-2025 FSC-klagomål.docx", "A 34007-2025")</f>
        <v/>
      </c>
      <c r="AB50">
        <f>HYPERLINK("https://klasma.github.io/Logging_2409/klagomålsmail/A 34007-2025 FSC-klagomål mail.docx", "A 34007-2025")</f>
        <v/>
      </c>
      <c r="AC50">
        <f>HYPERLINK("https://klasma.github.io/Logging_2409/tillsyn/A 34007-2025 tillsynsbegäran.docx", "A 34007-2025")</f>
        <v/>
      </c>
      <c r="AD50">
        <f>HYPERLINK("https://klasma.github.io/Logging_2409/tillsynsmail/A 34007-2025 tillsynsbegäran mail.docx", "A 34007-2025")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46256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57653-2024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45630</v>
      </c>
      <c r="E52" s="1" t="n">
        <v>46256</v>
      </c>
      <c r="F52" t="inlineStr">
        <is>
          <t>VÄSTERBOTTENS LÄN</t>
        </is>
      </c>
      <c r="G52" t="inlineStr">
        <is>
          <t>ROBERTSFORS</t>
        </is>
      </c>
      <c r="I52" t="n">
        <v>6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Blå kärrhök</t>
        </is>
      </c>
      <c r="W52">
        <f>HYPERLINK("https://klasma.github.io/Logging_2409/artfynd/A 57653-2024 artfynd.xlsx", "A 57653-2024")</f>
        <v/>
      </c>
      <c r="X52">
        <f>HYPERLINK("https://klasma.github.io/Logging_2409/kartor/A 57653-2024 karta.png", "A 57653-2024")</f>
        <v/>
      </c>
      <c r="Y52">
        <f>HYPERLINK("https://klasma.github.io/Logging_2409/kartor_geotiff/A 57653-2024 georefererad karta.tif", "A 57653-2024")</f>
        <v/>
      </c>
      <c r="AA52">
        <f>HYPERLINK("https://klasma.github.io/Logging_2409/klagomål/A 57653-2024 FSC-klagomål.docx", "A 57653-2024")</f>
        <v/>
      </c>
      <c r="AB52">
        <f>HYPERLINK("https://klasma.github.io/Logging_2409/klagomålsmail/A 57653-2024 FSC-klagomål mail.docx", "A 57653-2024")</f>
        <v/>
      </c>
      <c r="AC52">
        <f>HYPERLINK("https://klasma.github.io/Logging_2409/tillsyn/A 57653-2024 tillsynsbegäran.docx", "A 57653-2024")</f>
        <v/>
      </c>
      <c r="AD52">
        <f>HYPERLINK("https://klasma.github.io/Logging_2409/tillsynsmail/A 57653-2024 tillsynsbegäran mail.docx", "A 57653-2024")</f>
        <v/>
      </c>
      <c r="AE52">
        <f>HYPERLINK("https://klasma.github.io/Logging_2409/fåglar/A 57653-2024 prioriterade fågelarter.docx", "A 57653-2024")</f>
        <v/>
      </c>
    </row>
    <row r="53" ht="15" customHeight="1">
      <c r="A53" t="inlineStr">
        <is>
          <t>A 36703-2023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45153</v>
      </c>
      <c r="E53" s="1" t="n">
        <v>46256</v>
      </c>
      <c r="F53" t="inlineStr">
        <is>
          <t>VÄSTERBOTTENS LÄN</t>
        </is>
      </c>
      <c r="G53" t="inlineStr">
        <is>
          <t>ROBERTSFORS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Tallkötticka</t>
        </is>
      </c>
      <c r="W53">
        <f>HYPERLINK("https://klasma.github.io/Logging_2409/artfynd/A 36703-2023 artfynd.xlsx", "A 36703-2023")</f>
        <v/>
      </c>
      <c r="X53">
        <f>HYPERLINK("https://klasma.github.io/Logging_2409/kartor/A 36703-2023 karta.png", "A 36703-2023")</f>
        <v/>
      </c>
      <c r="Y53">
        <f>HYPERLINK("https://klasma.github.io/Logging_2409/kartor_geotiff/A 36703-2023 georefererad karta.tif", "A 36703-2023")</f>
        <v/>
      </c>
      <c r="AA53">
        <f>HYPERLINK("https://klasma.github.io/Logging_2409/klagomål/A 36703-2023 FSC-klagomål.docx", "A 36703-2023")</f>
        <v/>
      </c>
      <c r="AB53">
        <f>HYPERLINK("https://klasma.github.io/Logging_2409/klagomålsmail/A 36703-2023 FSC-klagomål mail.docx", "A 36703-2023")</f>
        <v/>
      </c>
      <c r="AC53">
        <f>HYPERLINK("https://klasma.github.io/Logging_2409/tillsyn/A 36703-2023 tillsynsbegäran.docx", "A 36703-2023")</f>
        <v/>
      </c>
      <c r="AD53">
        <f>HYPERLINK("https://klasma.github.io/Logging_2409/tillsynsmail/A 36703-2023 tillsynsbegäran mail.docx", "A 36703-2023")</f>
        <v/>
      </c>
    </row>
    <row r="54" ht="15" customHeight="1">
      <c r="A54" t="inlineStr">
        <is>
          <t>A 54484-2023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46256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Sveaskog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1</v>
      </c>
      <c r="V54" s="2" t="inlineStr">
        <is>
          <t>Dropptaggsvamp</t>
        </is>
      </c>
      <c r="W54">
        <f>HYPERLINK("https://klasma.github.io/Logging_2409/artfynd/A 54484-2023 artfynd.xlsx", "A 54484-2023")</f>
        <v/>
      </c>
      <c r="X54">
        <f>HYPERLINK("https://klasma.github.io/Logging_2409/kartor/A 54484-2023 karta.png", "A 54484-2023")</f>
        <v/>
      </c>
      <c r="Y54">
        <f>HYPERLINK("https://klasma.github.io/Logging_2409/kartor_geotiff/A 54484-2023 georefererad karta.tif", "A 54484-2023")</f>
        <v/>
      </c>
      <c r="AA54">
        <f>HYPERLINK("https://klasma.github.io/Logging_2409/klagomål/A 54484-2023 FSC-klagomål.docx", "A 54484-2023")</f>
        <v/>
      </c>
      <c r="AB54">
        <f>HYPERLINK("https://klasma.github.io/Logging_2409/klagomålsmail/A 54484-2023 FSC-klagomål mail.docx", "A 54484-2023")</f>
        <v/>
      </c>
      <c r="AC54">
        <f>HYPERLINK("https://klasma.github.io/Logging_2409/tillsyn/A 54484-2023 tillsynsbegäran.docx", "A 54484-2023")</f>
        <v/>
      </c>
      <c r="AD54">
        <f>HYPERLINK("https://klasma.github.io/Logging_2409/tillsynsmail/A 54484-2023 tillsynsbegäran mail.docx", "A 54484-2023")</f>
        <v/>
      </c>
    </row>
    <row r="55" ht="15" customHeight="1">
      <c r="A55" t="inlineStr">
        <is>
          <t>A 57270-2023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46256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57270-2023 artfynd.xlsx", "A 57270-2023")</f>
        <v/>
      </c>
      <c r="X55">
        <f>HYPERLINK("https://klasma.github.io/Logging_2409/kartor/A 57270-2023 karta.png", "A 57270-2023")</f>
        <v/>
      </c>
      <c r="Y55">
        <f>HYPERLINK("https://klasma.github.io/Logging_2409/kartor_geotiff/A 57270-2023 georefererad karta.tif", "A 57270-2023")</f>
        <v/>
      </c>
      <c r="AA55">
        <f>HYPERLINK("https://klasma.github.io/Logging_2409/klagomål/A 57270-2023 FSC-klagomål.docx", "A 57270-2023")</f>
        <v/>
      </c>
      <c r="AB55">
        <f>HYPERLINK("https://klasma.github.io/Logging_2409/klagomålsmail/A 57270-2023 FSC-klagomål mail.docx", "A 57270-2023")</f>
        <v/>
      </c>
      <c r="AC55">
        <f>HYPERLINK("https://klasma.github.io/Logging_2409/tillsyn/A 57270-2023 tillsynsbegäran.docx", "A 57270-2023")</f>
        <v/>
      </c>
      <c r="AD55">
        <f>HYPERLINK("https://klasma.github.io/Logging_2409/tillsynsmail/A 57270-2023 tillsynsbegäran mail.docx", "A 57270-2023")</f>
        <v/>
      </c>
    </row>
    <row r="56" ht="15" customHeight="1">
      <c r="A56" t="inlineStr">
        <is>
          <t>A 5285-2026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46256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HYPERLINK("https://klasma.github.io/Logging_2409/artfynd/A 5285-2026 artfynd.xlsx", "A 5285-2026")</f>
        <v/>
      </c>
      <c r="X56">
        <f>HYPERLINK("https://klasma.github.io/Logging_2409/kartor/A 5285-2026 karta.png", "A 5285-2026")</f>
        <v/>
      </c>
      <c r="Y56">
        <f>HYPERLINK("https://klasma.github.io/Logging_2409/kartor_geotiff/A 5285-2026 georefererad karta.tif", "A 5285-2026")</f>
        <v/>
      </c>
      <c r="AA56">
        <f>HYPERLINK("https://klasma.github.io/Logging_2409/klagomål/A 5285-2026 FSC-klagomål.docx", "A 5285-2026")</f>
        <v/>
      </c>
      <c r="AB56">
        <f>HYPERLINK("https://klasma.github.io/Logging_2409/klagomålsmail/A 5285-2026 FSC-klagomål mail.docx", "A 5285-2026")</f>
        <v/>
      </c>
      <c r="AC56">
        <f>HYPERLINK("https://klasma.github.io/Logging_2409/tillsyn/A 5285-2026 tillsynsbegäran.docx", "A 5285-2026")</f>
        <v/>
      </c>
      <c r="AD56">
        <f>HYPERLINK("https://klasma.github.io/Logging_2409/tillsynsmail/A 5285-2026 tillsynsbegäran mail.docx", "A 5285-2026")</f>
        <v/>
      </c>
      <c r="AE56">
        <f>HYPERLINK("https://klasma.github.io/Logging_2409/fåglar/A 5285-2026 prioriterade fågelarter.docx", "A 5285-2026")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46256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46256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46256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46256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46256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46256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46256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46256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35551-2025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45856</v>
      </c>
      <c r="E65" s="1" t="n">
        <v>46256</v>
      </c>
      <c r="F65" t="inlineStr">
        <is>
          <t>VÄSTERBOTTENS LÄN</t>
        </is>
      </c>
      <c r="G65" t="inlineStr">
        <is>
          <t>ROBERTSFORS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HYPERLINK("https://klasma.github.io/Logging_2409/artfynd/A 35551-2025 artfynd.xlsx", "A 35551-2025")</f>
        <v/>
      </c>
      <c r="X65">
        <f>HYPERLINK("https://klasma.github.io/Logging_2409/kartor/A 35551-2025 karta.png", "A 35551-2025")</f>
        <v/>
      </c>
      <c r="Y65">
        <f>HYPERLINK("https://klasma.github.io/Logging_2409/kartor_geotiff/A 35551-2025 georefererad karta.tif", "A 35551-2025")</f>
        <v/>
      </c>
      <c r="AA65">
        <f>HYPERLINK("https://klasma.github.io/Logging_2409/klagomål/A 35551-2025 FSC-klagomål.docx", "A 35551-2025")</f>
        <v/>
      </c>
      <c r="AB65">
        <f>HYPERLINK("https://klasma.github.io/Logging_2409/klagomålsmail/A 35551-2025 FSC-klagomål mail.docx", "A 35551-2025")</f>
        <v/>
      </c>
      <c r="AC65">
        <f>HYPERLINK("https://klasma.github.io/Logging_2409/tillsyn/A 35551-2025 tillsynsbegäran.docx", "A 35551-2025")</f>
        <v/>
      </c>
      <c r="AD65">
        <f>HYPERLINK("https://klasma.github.io/Logging_2409/tillsynsmail/A 35551-2025 tillsynsbegäran mail.docx", "A 35551-2025")</f>
        <v/>
      </c>
      <c r="AE65">
        <f>HYPERLINK("https://klasma.github.io/Logging_2409/fåglar/A 35551-2025 prioriterade fågelarter.docx", "A 35551-2025")</f>
        <v/>
      </c>
    </row>
    <row r="66" ht="15" customHeight="1">
      <c r="A66" t="inlineStr">
        <is>
          <t>A 41767-2023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46256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0.8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41767-2023 artfynd.xlsx", "A 41767-2023")</f>
        <v/>
      </c>
      <c r="X66">
        <f>HYPERLINK("https://klasma.github.io/Logging_2409/kartor/A 41767-2023 karta.png", "A 41767-2023")</f>
        <v/>
      </c>
      <c r="Y66">
        <f>HYPERLINK("https://klasma.github.io/Logging_2409/kartor_geotiff/A 41767-2023 georefererad karta.tif", "A 41767-2023")</f>
        <v/>
      </c>
      <c r="AA66">
        <f>HYPERLINK("https://klasma.github.io/Logging_2409/klagomål/A 41767-2023 FSC-klagomål.docx", "A 41767-2023")</f>
        <v/>
      </c>
      <c r="AB66">
        <f>HYPERLINK("https://klasma.github.io/Logging_2409/klagomålsmail/A 41767-2023 FSC-klagomål mail.docx", "A 41767-2023")</f>
        <v/>
      </c>
      <c r="AC66">
        <f>HYPERLINK("https://klasma.github.io/Logging_2409/tillsyn/A 41767-2023 tillsynsbegäran.docx", "A 41767-2023")</f>
        <v/>
      </c>
      <c r="AD66">
        <f>HYPERLINK("https://klasma.github.io/Logging_2409/tillsynsmail/A 41767-2023 tillsynsbegäran mail.docx", "A 41767-2023")</f>
        <v/>
      </c>
    </row>
    <row r="67" ht="15" customHeight="1">
      <c r="A67" t="inlineStr">
        <is>
          <t>A 42891-2023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46256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3.8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HYPERLINK("https://klasma.github.io/Logging_2409/artfynd/A 42891-2023 artfynd.xlsx", "A 42891-2023")</f>
        <v/>
      </c>
      <c r="X67">
        <f>HYPERLINK("https://klasma.github.io/Logging_2409/kartor/A 42891-2023 karta.png", "A 42891-2023")</f>
        <v/>
      </c>
      <c r="Y67">
        <f>HYPERLINK("https://klasma.github.io/Logging_2409/kartor_geotiff/A 42891-2023 georefererad karta.tif", "A 42891-2023")</f>
        <v/>
      </c>
      <c r="AA67">
        <f>HYPERLINK("https://klasma.github.io/Logging_2409/klagomål/A 42891-2023 FSC-klagomål.docx", "A 42891-2023")</f>
        <v/>
      </c>
      <c r="AB67">
        <f>HYPERLINK("https://klasma.github.io/Logging_2409/klagomålsmail/A 42891-2023 FSC-klagomål mail.docx", "A 42891-2023")</f>
        <v/>
      </c>
      <c r="AC67">
        <f>HYPERLINK("https://klasma.github.io/Logging_2409/tillsyn/A 42891-2023 tillsynsbegäran.docx", "A 42891-2023")</f>
        <v/>
      </c>
      <c r="AD67">
        <f>HYPERLINK("https://klasma.github.io/Logging_2409/tillsynsmail/A 42891-2023 tillsynsbegäran mail.docx", "A 42891-2023")</f>
        <v/>
      </c>
    </row>
    <row r="68" ht="15" customHeight="1">
      <c r="A68" t="inlineStr">
        <is>
          <t>A 10145-2025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46256</v>
      </c>
      <c r="F68" t="inlineStr">
        <is>
          <t>VÄSTERBOTTENS LÄN</t>
        </is>
      </c>
      <c r="G68" t="inlineStr">
        <is>
          <t>ROBERTSFORS</t>
        </is>
      </c>
      <c r="I68" t="n">
        <v>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HYPERLINK("https://klasma.github.io/Logging_2409/artfynd/A 10145-2025 artfynd.xlsx", "A 10145-2025")</f>
        <v/>
      </c>
      <c r="X68">
        <f>HYPERLINK("https://klasma.github.io/Logging_2409/kartor/A 10145-2025 karta.png", "A 10145-2025")</f>
        <v/>
      </c>
      <c r="Y68">
        <f>HYPERLINK("https://klasma.github.io/Logging_2409/kartor_geotiff/A 10145-2025 georefererad karta.tif", "A 10145-2025")</f>
        <v/>
      </c>
      <c r="AA68">
        <f>HYPERLINK("https://klasma.github.io/Logging_2409/klagomål/A 10145-2025 FSC-klagomål.docx", "A 10145-2025")</f>
        <v/>
      </c>
      <c r="AB68">
        <f>HYPERLINK("https://klasma.github.io/Logging_2409/klagomålsmail/A 10145-2025 FSC-klagomål mail.docx", "A 10145-2025")</f>
        <v/>
      </c>
      <c r="AC68">
        <f>HYPERLINK("https://klasma.github.io/Logging_2409/tillsyn/A 10145-2025 tillsynsbegäran.docx", "A 10145-2025")</f>
        <v/>
      </c>
      <c r="AD68">
        <f>HYPERLINK("https://klasma.github.io/Logging_2409/tillsynsmail/A 10145-2025 tillsynsbegäran mail.docx", "A 10145-2025")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46256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46256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46256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46256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46256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46256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46256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46256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46256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46256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46256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46256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46256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46256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46256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46256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46256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46256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46256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46256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46256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46256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46256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46256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46256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46256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46256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46256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46256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46256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46256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46256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46256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46256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46256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46256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46256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46256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46256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46256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46256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46256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46256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46256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46256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46256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46256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46256</v>
      </c>
      <c r="F118" t="inlineStr">
        <is>
          <t>VÄSTERBOTTENS LÄN</t>
        </is>
      </c>
      <c r="G118" t="inlineStr">
        <is>
          <t>ROBERTSFORS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45653</v>
      </c>
      <c r="E119" s="1" t="n">
        <v>46256</v>
      </c>
      <c r="F119" t="inlineStr">
        <is>
          <t>VÄSTERBOTTENS LÄN</t>
        </is>
      </c>
      <c r="G119" t="inlineStr">
        <is>
          <t>ROBERTSFORS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44641</v>
      </c>
      <c r="E120" s="1" t="n">
        <v>46256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46256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46256</v>
      </c>
      <c r="F122" t="inlineStr">
        <is>
          <t>VÄSTERBOTTENS LÄN</t>
        </is>
      </c>
      <c r="G122" t="inlineStr">
        <is>
          <t>ROBERTSFORS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45800</v>
      </c>
      <c r="E123" s="1" t="n">
        <v>46256</v>
      </c>
      <c r="F123" t="inlineStr">
        <is>
          <t>VÄSTERBOTTENS LÄN</t>
        </is>
      </c>
      <c r="G123" t="inlineStr">
        <is>
          <t>ROBERTSFORS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46256</v>
      </c>
      <c r="F124" t="inlineStr">
        <is>
          <t>VÄSTERBOTTENS LÄN</t>
        </is>
      </c>
      <c r="G124" t="inlineStr">
        <is>
          <t>ROBERTSFORS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46256</v>
      </c>
      <c r="F125" t="inlineStr">
        <is>
          <t>VÄSTERBOTTENS LÄN</t>
        </is>
      </c>
      <c r="G125" t="inlineStr">
        <is>
          <t>ROBERTSFORS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46256</v>
      </c>
      <c r="F126" t="inlineStr">
        <is>
          <t>VÄSTERBOTTENS LÄN</t>
        </is>
      </c>
      <c r="G126" t="inlineStr">
        <is>
          <t>ROBERTSFORS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46256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57979-2021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44487</v>
      </c>
      <c r="E128" s="1" t="n">
        <v>46256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46256</v>
      </c>
      <c r="F129" t="inlineStr">
        <is>
          <t>VÄSTERBOTTENS LÄN</t>
        </is>
      </c>
      <c r="G129" t="inlineStr">
        <is>
          <t>ROBERTSFORS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46256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46256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SCA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46256</v>
      </c>
      <c r="F132" t="inlineStr">
        <is>
          <t>VÄSTERBOTTENS LÄN</t>
        </is>
      </c>
      <c r="G132" t="inlineStr">
        <is>
          <t>ROBERTSFORS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46256</v>
      </c>
      <c r="F133" t="inlineStr">
        <is>
          <t>VÄSTERBOTTENS LÄN</t>
        </is>
      </c>
      <c r="G133" t="inlineStr">
        <is>
          <t>ROBERTSFORS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46256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12.7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46256</v>
      </c>
      <c r="F135" t="inlineStr">
        <is>
          <t>VÄSTERBOTTENS LÄN</t>
        </is>
      </c>
      <c r="G135" t="inlineStr">
        <is>
          <t>ROBERTSFORS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46256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46256</v>
      </c>
      <c r="F137" t="inlineStr">
        <is>
          <t>VÄSTERBOTTENS LÄN</t>
        </is>
      </c>
      <c r="G137" t="inlineStr">
        <is>
          <t>ROBERTSFORS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44488</v>
      </c>
      <c r="E138" s="1" t="n">
        <v>46256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46256</v>
      </c>
      <c r="F139" t="inlineStr">
        <is>
          <t>VÄSTERBOTTENS LÄN</t>
        </is>
      </c>
      <c r="G139" t="inlineStr">
        <is>
          <t>ROBERTSFORS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44627</v>
      </c>
      <c r="E140" s="1" t="n">
        <v>46256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46256</v>
      </c>
      <c r="F141" t="inlineStr">
        <is>
          <t>VÄSTERBOTTENS LÄN</t>
        </is>
      </c>
      <c r="G141" t="inlineStr">
        <is>
          <t>ROBERTSFORS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46256</v>
      </c>
      <c r="F142" t="inlineStr">
        <is>
          <t>VÄSTERBOTTENS LÄN</t>
        </is>
      </c>
      <c r="G142" t="inlineStr">
        <is>
          <t>ROBERTSFORS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45335</v>
      </c>
      <c r="E143" s="1" t="n">
        <v>46256</v>
      </c>
      <c r="F143" t="inlineStr">
        <is>
          <t>VÄSTERBOTTENS LÄN</t>
        </is>
      </c>
      <c r="G143" t="inlineStr">
        <is>
          <t>ROBERTSFORS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46256</v>
      </c>
      <c r="F144" t="inlineStr">
        <is>
          <t>VÄSTERBOTTENS LÄN</t>
        </is>
      </c>
      <c r="G144" t="inlineStr">
        <is>
          <t>ROBERTSFORS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46256</v>
      </c>
      <c r="F145" t="inlineStr">
        <is>
          <t>VÄSTERBOTTENS LÄN</t>
        </is>
      </c>
      <c r="G145" t="inlineStr">
        <is>
          <t>ROBERTSFORS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46256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46256</v>
      </c>
      <c r="F147" t="inlineStr">
        <is>
          <t>VÄSTERBOTTENS LÄN</t>
        </is>
      </c>
      <c r="G147" t="inlineStr">
        <is>
          <t>ROBERTSFORS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46256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46256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28330-2025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45818</v>
      </c>
      <c r="E150" s="1" t="n">
        <v>46256</v>
      </c>
      <c r="F150" t="inlineStr">
        <is>
          <t>VÄSTERBOTTENS LÄN</t>
        </is>
      </c>
      <c r="G150" t="inlineStr">
        <is>
          <t>ROBERTSFORS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46256</v>
      </c>
      <c r="F151" t="inlineStr">
        <is>
          <t>VÄSTERBOTTENS LÄN</t>
        </is>
      </c>
      <c r="G151" t="inlineStr">
        <is>
          <t>ROBERTSFORS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46256</v>
      </c>
      <c r="F152" t="inlineStr">
        <is>
          <t>VÄSTERBOTTENS LÄN</t>
        </is>
      </c>
      <c r="G152" t="inlineStr">
        <is>
          <t>ROBERTSFORS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46256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46256</v>
      </c>
      <c r="F154" t="inlineStr">
        <is>
          <t>VÄSTERBOTTENS LÄN</t>
        </is>
      </c>
      <c r="G154" t="inlineStr">
        <is>
          <t>ROBERTSFORS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45625</v>
      </c>
      <c r="E155" s="1" t="n">
        <v>46256</v>
      </c>
      <c r="F155" t="inlineStr">
        <is>
          <t>VÄSTERBOTTENS LÄN</t>
        </is>
      </c>
      <c r="G155" t="inlineStr">
        <is>
          <t>ROBERTSFORS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46256</v>
      </c>
      <c r="F156" t="inlineStr">
        <is>
          <t>VÄSTERBOTTENS LÄN</t>
        </is>
      </c>
      <c r="G156" t="inlineStr">
        <is>
          <t>ROBERTSFORS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46256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46256</v>
      </c>
      <c r="F158" t="inlineStr">
        <is>
          <t>VÄSTERBOTTENS LÄN</t>
        </is>
      </c>
      <c r="G158" t="inlineStr">
        <is>
          <t>ROBERTSFORS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46256</v>
      </c>
      <c r="F159" t="inlineStr">
        <is>
          <t>VÄSTERBOTTENS LÄN</t>
        </is>
      </c>
      <c r="G159" t="inlineStr">
        <is>
          <t>ROBERTSFORS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46256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44580</v>
      </c>
      <c r="E161" s="1" t="n">
        <v>46256</v>
      </c>
      <c r="F161" t="inlineStr">
        <is>
          <t>VÄSTERBOTTENS LÄN</t>
        </is>
      </c>
      <c r="G161" t="inlineStr">
        <is>
          <t>ROBERTSFORS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46256</v>
      </c>
      <c r="F162" t="inlineStr">
        <is>
          <t>VÄSTERBOTTENS LÄN</t>
        </is>
      </c>
      <c r="G162" t="inlineStr">
        <is>
          <t>ROBERTSFORS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45020</v>
      </c>
      <c r="E163" s="1" t="n">
        <v>46256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46256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45537</v>
      </c>
      <c r="E165" s="1" t="n">
        <v>46256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46256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46256</v>
      </c>
      <c r="F167" t="inlineStr">
        <is>
          <t>VÄSTERBOTTENS LÄN</t>
        </is>
      </c>
      <c r="G167" t="inlineStr">
        <is>
          <t>ROBERTSFORS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62187-2021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46256</v>
      </c>
      <c r="F168" t="inlineStr">
        <is>
          <t>VÄSTERBOTTENS LÄN</t>
        </is>
      </c>
      <c r="G168" t="inlineStr">
        <is>
          <t>ROBERTSFORS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46256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45048</v>
      </c>
      <c r="E170" s="1" t="n">
        <v>46256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46256</v>
      </c>
      <c r="F171" t="inlineStr">
        <is>
          <t>VÄSTERBOTTENS LÄN</t>
        </is>
      </c>
      <c r="G171" t="inlineStr">
        <is>
          <t>ROBERTSFORS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46256</v>
      </c>
      <c r="F172" t="inlineStr">
        <is>
          <t>VÄSTERBOTTENS LÄN</t>
        </is>
      </c>
      <c r="G172" t="inlineStr">
        <is>
          <t>ROBERTSFORS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46388-2023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45197</v>
      </c>
      <c r="E173" s="1" t="n">
        <v>46256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46256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46256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44130-2025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45915</v>
      </c>
      <c r="E176" s="1" t="n">
        <v>46256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46256</v>
      </c>
      <c r="F177" t="inlineStr">
        <is>
          <t>VÄSTERBOTTENS LÄN</t>
        </is>
      </c>
      <c r="G177" t="inlineStr">
        <is>
          <t>ROBERTSFORS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46256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46256</v>
      </c>
      <c r="F179" t="inlineStr">
        <is>
          <t>VÄSTERBOTTENS LÄN</t>
        </is>
      </c>
      <c r="G179" t="inlineStr">
        <is>
          <t>ROBERTSFORS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46256</v>
      </c>
      <c r="F180" t="inlineStr">
        <is>
          <t>VÄSTERBOTTENS LÄN</t>
        </is>
      </c>
      <c r="G180" t="inlineStr">
        <is>
          <t>ROBERTSFORS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15294-2023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45019</v>
      </c>
      <c r="E181" s="1" t="n">
        <v>46256</v>
      </c>
      <c r="F181" t="inlineStr">
        <is>
          <t>VÄSTERBOTTENS LÄN</t>
        </is>
      </c>
      <c r="G181" t="inlineStr">
        <is>
          <t>ROBERTSFORS</t>
        </is>
      </c>
      <c r="I181" t="n">
        <v>9.9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46256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45617</v>
      </c>
      <c r="E183" s="1" t="n">
        <v>46256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46168-2025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45924</v>
      </c>
      <c r="E184" s="1" t="n">
        <v>46256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46256</v>
      </c>
      <c r="F185" t="inlineStr">
        <is>
          <t>VÄSTERBOTTENS LÄN</t>
        </is>
      </c>
      <c r="G185" t="inlineStr">
        <is>
          <t>ROBERTSFORS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46256</v>
      </c>
      <c r="F186" t="inlineStr">
        <is>
          <t>VÄSTERBOTTENS LÄN</t>
        </is>
      </c>
      <c r="G186" t="inlineStr">
        <is>
          <t>ROBERTSFORS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46256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46256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46256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45510</v>
      </c>
      <c r="E190" s="1" t="n">
        <v>46256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46256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30722-2024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45496</v>
      </c>
      <c r="E192" s="1" t="n">
        <v>46256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46256</v>
      </c>
      <c r="F193" t="inlineStr">
        <is>
          <t>VÄSTERBOTTENS LÄN</t>
        </is>
      </c>
      <c r="G193" t="inlineStr">
        <is>
          <t>ROBERTSFORS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46256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46256</v>
      </c>
      <c r="F195" t="inlineStr">
        <is>
          <t>VÄSTERBOTTENS LÄN</t>
        </is>
      </c>
      <c r="G195" t="inlineStr">
        <is>
          <t>ROBERTSFORS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46256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46256</v>
      </c>
      <c r="F197" t="inlineStr">
        <is>
          <t>VÄSTERBOTTENS LÄN</t>
        </is>
      </c>
      <c r="G197" t="inlineStr">
        <is>
          <t>ROBERTSFORS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45357</v>
      </c>
      <c r="E198" s="1" t="n">
        <v>46256</v>
      </c>
      <c r="F198" t="inlineStr">
        <is>
          <t>VÄSTERBOTTENS LÄN</t>
        </is>
      </c>
      <c r="G198" t="inlineStr">
        <is>
          <t>ROBERTSFORS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46256</v>
      </c>
      <c r="F199" t="inlineStr">
        <is>
          <t>VÄSTERBOTTENS LÄN</t>
        </is>
      </c>
      <c r="G199" t="inlineStr">
        <is>
          <t>ROBERTSFORS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46256</v>
      </c>
      <c r="F200" t="inlineStr">
        <is>
          <t>VÄSTERBOTTENS LÄN</t>
        </is>
      </c>
      <c r="G200" t="inlineStr">
        <is>
          <t>ROBERTSFORS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46256</v>
      </c>
      <c r="F201" t="inlineStr">
        <is>
          <t>VÄSTERBOTTENS LÄN</t>
        </is>
      </c>
      <c r="G201" t="inlineStr">
        <is>
          <t>ROBERTSFORS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46256</v>
      </c>
      <c r="F202" t="inlineStr">
        <is>
          <t>VÄSTERBOTTENS LÄN</t>
        </is>
      </c>
      <c r="G202" t="inlineStr">
        <is>
          <t>ROBERTSFORS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46256</v>
      </c>
      <c r="F203" t="inlineStr">
        <is>
          <t>VÄSTERBOTTENS LÄN</t>
        </is>
      </c>
      <c r="G203" t="inlineStr">
        <is>
          <t>ROBERTSFORS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46256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46256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46256</v>
      </c>
      <c r="F206" t="inlineStr">
        <is>
          <t>VÄSTERBOTTENS LÄN</t>
        </is>
      </c>
      <c r="G206" t="inlineStr">
        <is>
          <t>ROBERTSFORS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46256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46256</v>
      </c>
      <c r="F208" t="inlineStr">
        <is>
          <t>VÄSTERBOTTENS LÄN</t>
        </is>
      </c>
      <c r="G208" t="inlineStr">
        <is>
          <t>ROBERTSFORS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46256</v>
      </c>
      <c r="F209" t="inlineStr">
        <is>
          <t>VÄSTERBOTTENS LÄN</t>
        </is>
      </c>
      <c r="G209" t="inlineStr">
        <is>
          <t>ROBERTSFORS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45013</v>
      </c>
      <c r="E210" s="1" t="n">
        <v>46256</v>
      </c>
      <c r="F210" t="inlineStr">
        <is>
          <t>VÄSTERBOTTENS LÄN</t>
        </is>
      </c>
      <c r="G210" t="inlineStr">
        <is>
          <t>ROBERTSFORS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46256</v>
      </c>
      <c r="F211" t="inlineStr">
        <is>
          <t>VÄSTERBOTTENS LÄN</t>
        </is>
      </c>
      <c r="G211" t="inlineStr">
        <is>
          <t>ROBERTSFORS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46256</v>
      </c>
      <c r="F212" t="inlineStr">
        <is>
          <t>VÄSTERBOTTENS LÄN</t>
        </is>
      </c>
      <c r="G212" t="inlineStr">
        <is>
          <t>ROBERTSFORS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45042</v>
      </c>
      <c r="E213" s="1" t="n">
        <v>46256</v>
      </c>
      <c r="F213" t="inlineStr">
        <is>
          <t>VÄSTERBOTTENS LÄN</t>
        </is>
      </c>
      <c r="G213" t="inlineStr">
        <is>
          <t>ROBERTSFORS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46256</v>
      </c>
      <c r="F214" t="inlineStr">
        <is>
          <t>VÄSTERBOTTENS LÄN</t>
        </is>
      </c>
      <c r="G214" t="inlineStr">
        <is>
          <t>ROBERTSFORS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46256</v>
      </c>
      <c r="F215" t="inlineStr">
        <is>
          <t>VÄSTERBOTTENS LÄN</t>
        </is>
      </c>
      <c r="G215" t="inlineStr">
        <is>
          <t>ROBERTSFORS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44467</v>
      </c>
      <c r="E216" s="1" t="n">
        <v>46256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46256</v>
      </c>
      <c r="F217" t="inlineStr">
        <is>
          <t>VÄSTERBOTTENS LÄN</t>
        </is>
      </c>
      <c r="G217" t="inlineStr">
        <is>
          <t>ROBERTSFORS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46256</v>
      </c>
      <c r="F218" t="inlineStr">
        <is>
          <t>VÄSTERBOTTENS LÄN</t>
        </is>
      </c>
      <c r="G218" t="inlineStr">
        <is>
          <t>ROBERTSFORS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46256</v>
      </c>
      <c r="F219" t="inlineStr">
        <is>
          <t>VÄSTERBOTTENS LÄN</t>
        </is>
      </c>
      <c r="G219" t="inlineStr">
        <is>
          <t>ROBERTSFORS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45947</v>
      </c>
      <c r="E220" s="1" t="n">
        <v>46256</v>
      </c>
      <c r="F220" t="inlineStr">
        <is>
          <t>VÄSTERBOTTENS LÄN</t>
        </is>
      </c>
      <c r="G220" t="inlineStr">
        <is>
          <t>ROBERTSFORS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46256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46256</v>
      </c>
      <c r="F222" t="inlineStr">
        <is>
          <t>VÄSTERBOTTENS LÄN</t>
        </is>
      </c>
      <c r="G222" t="inlineStr">
        <is>
          <t>ROBERTSFORS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45659</v>
      </c>
      <c r="E223" s="1" t="n">
        <v>46256</v>
      </c>
      <c r="F223" t="inlineStr">
        <is>
          <t>VÄSTERBOTTENS LÄN</t>
        </is>
      </c>
      <c r="G223" t="inlineStr">
        <is>
          <t>ROBERTSFORS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46256</v>
      </c>
      <c r="F224" t="inlineStr">
        <is>
          <t>VÄSTERBOTTENS LÄN</t>
        </is>
      </c>
      <c r="G224" t="inlineStr">
        <is>
          <t>ROBERTSFORS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52934-2025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46256</v>
      </c>
      <c r="F225" t="inlineStr">
        <is>
          <t>VÄSTERBOTTENS LÄN</t>
        </is>
      </c>
      <c r="G225" t="inlineStr">
        <is>
          <t>ROBERTSFORS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45461</v>
      </c>
      <c r="E226" s="1" t="n">
        <v>46256</v>
      </c>
      <c r="F226" t="inlineStr">
        <is>
          <t>VÄSTERBOTTENS LÄN</t>
        </is>
      </c>
      <c r="G226" t="inlineStr">
        <is>
          <t>ROBERTSFORS</t>
        </is>
      </c>
      <c r="I226" t="n">
        <v>14.3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44734</v>
      </c>
      <c r="E227" s="1" t="n">
        <v>46256</v>
      </c>
      <c r="F227" t="inlineStr">
        <is>
          <t>VÄSTERBOTTENS LÄN</t>
        </is>
      </c>
      <c r="G227" t="inlineStr">
        <is>
          <t>ROBERTSFORS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46256</v>
      </c>
      <c r="F228" t="inlineStr">
        <is>
          <t>VÄSTERBOTTENS LÄN</t>
        </is>
      </c>
      <c r="G228" t="inlineStr">
        <is>
          <t>ROBERTSFORS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33368-2025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45841</v>
      </c>
      <c r="E229" s="1" t="n">
        <v>46256</v>
      </c>
      <c r="F229" t="inlineStr">
        <is>
          <t>VÄSTERBOTTENS LÄN</t>
        </is>
      </c>
      <c r="G229" t="inlineStr">
        <is>
          <t>ROBERTSFORS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46256</v>
      </c>
      <c r="F230" t="inlineStr">
        <is>
          <t>VÄSTERBOTTENS LÄN</t>
        </is>
      </c>
      <c r="G230" t="inlineStr">
        <is>
          <t>ROBERTSFORS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33375-2025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45841</v>
      </c>
      <c r="E231" s="1" t="n">
        <v>46256</v>
      </c>
      <c r="F231" t="inlineStr">
        <is>
          <t>VÄSTERBOTTENS LÄN</t>
        </is>
      </c>
      <c r="G231" t="inlineStr">
        <is>
          <t>ROBERTSFORS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46256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45959</v>
      </c>
      <c r="E233" s="1" t="n">
        <v>46256</v>
      </c>
      <c r="F233" t="inlineStr">
        <is>
          <t>VÄSTERBOTTENS LÄN</t>
        </is>
      </c>
      <c r="G233" t="inlineStr">
        <is>
          <t>ROBERTSFORS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46256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46256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46256</v>
      </c>
      <c r="F236" t="inlineStr">
        <is>
          <t>VÄSTERBOTTENS LÄN</t>
        </is>
      </c>
      <c r="G236" t="inlineStr">
        <is>
          <t>ROBERTSFORS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46256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46256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46256</v>
      </c>
      <c r="F239" t="inlineStr">
        <is>
          <t>VÄSTERBOTTENS LÄN</t>
        </is>
      </c>
      <c r="G239" t="inlineStr">
        <is>
          <t>ROBERTSFORS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45020</v>
      </c>
      <c r="E240" s="1" t="n">
        <v>46256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Sveaskog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46256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55469-2021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44475</v>
      </c>
      <c r="E242" s="1" t="n">
        <v>46256</v>
      </c>
      <c r="F242" t="inlineStr">
        <is>
          <t>VÄSTERBOTTENS LÄN</t>
        </is>
      </c>
      <c r="G242" t="inlineStr">
        <is>
          <t>ROBERTSFORS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46256</v>
      </c>
      <c r="F243" t="inlineStr">
        <is>
          <t>VÄSTERBOTTENS LÄN</t>
        </is>
      </c>
      <c r="G243" t="inlineStr">
        <is>
          <t>ROBERTSFORS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46256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46256</v>
      </c>
      <c r="F245" t="inlineStr">
        <is>
          <t>VÄSTERBOTTENS LÄN</t>
        </is>
      </c>
      <c r="G245" t="inlineStr">
        <is>
          <t>ROBERTSFORS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46256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46256</v>
      </c>
      <c r="F247" t="inlineStr">
        <is>
          <t>VÄSTERBOTTENS LÄN</t>
        </is>
      </c>
      <c r="G247" t="inlineStr">
        <is>
          <t>ROBERTSFORS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46256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46256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46256</v>
      </c>
      <c r="F250" t="inlineStr">
        <is>
          <t>VÄSTERBOTTENS LÄN</t>
        </is>
      </c>
      <c r="G250" t="inlineStr">
        <is>
          <t>ROBERTSFORS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44913</v>
      </c>
      <c r="E251" s="1" t="n">
        <v>46256</v>
      </c>
      <c r="F251" t="inlineStr">
        <is>
          <t>VÄSTERBOTTENS LÄN</t>
        </is>
      </c>
      <c r="G251" t="inlineStr">
        <is>
          <t>ROBERTSFORS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46256</v>
      </c>
      <c r="F252" t="inlineStr">
        <is>
          <t>VÄSTERBOTTENS LÄN</t>
        </is>
      </c>
      <c r="G252" t="inlineStr">
        <is>
          <t>ROBERTSFORS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46256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45002</v>
      </c>
      <c r="E254" s="1" t="n">
        <v>46256</v>
      </c>
      <c r="F254" t="inlineStr">
        <is>
          <t>VÄSTERBOTTENS LÄN</t>
        </is>
      </c>
      <c r="G254" t="inlineStr">
        <is>
          <t>ROBERTSFORS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46256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46256</v>
      </c>
      <c r="F256" t="inlineStr">
        <is>
          <t>VÄSTERBOTTENS LÄN</t>
        </is>
      </c>
      <c r="G256" t="inlineStr">
        <is>
          <t>ROBERTSFORS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45129</v>
      </c>
      <c r="E257" s="1" t="n">
        <v>46256</v>
      </c>
      <c r="F257" t="inlineStr">
        <is>
          <t>VÄSTERBOTTENS LÄN</t>
        </is>
      </c>
      <c r="G257" t="inlineStr">
        <is>
          <t>ROBERTSFORS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46256</v>
      </c>
      <c r="F258" t="inlineStr">
        <is>
          <t>VÄSTERBOTTENS LÄN</t>
        </is>
      </c>
      <c r="G258" t="inlineStr">
        <is>
          <t>ROBERTSFORS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46256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44902</v>
      </c>
      <c r="E260" s="1" t="n">
        <v>46256</v>
      </c>
      <c r="F260" t="inlineStr">
        <is>
          <t>VÄSTERBOTTENS LÄN</t>
        </is>
      </c>
      <c r="G260" t="inlineStr">
        <is>
          <t>ROBERTSFORS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46256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46256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46256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46256</v>
      </c>
      <c r="F264" t="inlineStr">
        <is>
          <t>VÄSTERBOTTENS LÄN</t>
        </is>
      </c>
      <c r="G264" t="inlineStr">
        <is>
          <t>ROBERTSFORS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45030</v>
      </c>
      <c r="E265" s="1" t="n">
        <v>46256</v>
      </c>
      <c r="F265" t="inlineStr">
        <is>
          <t>VÄSTERBOTTENS LÄN</t>
        </is>
      </c>
      <c r="G265" t="inlineStr">
        <is>
          <t>ROBERTSFORS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44860</v>
      </c>
      <c r="E266" s="1" t="n">
        <v>46256</v>
      </c>
      <c r="F266" t="inlineStr">
        <is>
          <t>VÄSTERBOTTENS LÄN</t>
        </is>
      </c>
      <c r="G266" t="inlineStr">
        <is>
          <t>ROBERTSFORS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46256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45987</v>
      </c>
      <c r="E268" s="1" t="n">
        <v>46256</v>
      </c>
      <c r="F268" t="inlineStr">
        <is>
          <t>VÄSTERBOTTENS LÄN</t>
        </is>
      </c>
      <c r="G268" t="inlineStr">
        <is>
          <t>ROBERTSFORS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46256</v>
      </c>
      <c r="F269" t="inlineStr">
        <is>
          <t>VÄSTERBOTTENS LÄN</t>
        </is>
      </c>
      <c r="G269" t="inlineStr">
        <is>
          <t>ROBERTSFORS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45610</v>
      </c>
      <c r="E270" s="1" t="n">
        <v>46256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SCA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45302</v>
      </c>
      <c r="E271" s="1" t="n">
        <v>46256</v>
      </c>
      <c r="F271" t="inlineStr">
        <is>
          <t>VÄSTERBOTTENS LÄN</t>
        </is>
      </c>
      <c r="G271" t="inlineStr">
        <is>
          <t>ROBERTSFORS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46256</v>
      </c>
      <c r="F272" t="inlineStr">
        <is>
          <t>VÄSTERBOTTENS LÄN</t>
        </is>
      </c>
      <c r="G272" t="inlineStr">
        <is>
          <t>ROBERTSFORS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46256</v>
      </c>
      <c r="F273" t="inlineStr">
        <is>
          <t>VÄSTERBOTTENS LÄN</t>
        </is>
      </c>
      <c r="G273" t="inlineStr">
        <is>
          <t>ROBERTSFORS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46256</v>
      </c>
      <c r="F274" t="inlineStr">
        <is>
          <t>VÄSTERBOTTENS LÄN</t>
        </is>
      </c>
      <c r="G274" t="inlineStr">
        <is>
          <t>ROBERTSFORS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46256</v>
      </c>
      <c r="F275" t="inlineStr">
        <is>
          <t>VÄSTERBOTTENS LÄN</t>
        </is>
      </c>
      <c r="G275" t="inlineStr">
        <is>
          <t>ROBERTSFORS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46256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44805</v>
      </c>
      <c r="E277" s="1" t="n">
        <v>46256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45610</v>
      </c>
      <c r="E278" s="1" t="n">
        <v>46256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SCA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46256</v>
      </c>
      <c r="F279" t="inlineStr">
        <is>
          <t>VÄSTERBOTTENS LÄN</t>
        </is>
      </c>
      <c r="G279" t="inlineStr">
        <is>
          <t>ROBERTSFORS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45635</v>
      </c>
      <c r="E280" s="1" t="n">
        <v>46256</v>
      </c>
      <c r="F280" t="inlineStr">
        <is>
          <t>VÄSTERBOTTENS LÄN</t>
        </is>
      </c>
      <c r="G280" t="inlineStr">
        <is>
          <t>ROBERTSFORS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45458</v>
      </c>
      <c r="E281" s="1" t="n">
        <v>46256</v>
      </c>
      <c r="F281" t="inlineStr">
        <is>
          <t>VÄSTERBOTTENS LÄN</t>
        </is>
      </c>
      <c r="G281" t="inlineStr">
        <is>
          <t>ROBERTSFORS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46256</v>
      </c>
      <c r="F282" t="inlineStr">
        <is>
          <t>VÄSTERBOTTENS LÄN</t>
        </is>
      </c>
      <c r="G282" t="inlineStr">
        <is>
          <t>ROBERTSFORS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46256</v>
      </c>
      <c r="F283" t="inlineStr">
        <is>
          <t>VÄSTERBOTTENS LÄN</t>
        </is>
      </c>
      <c r="G283" t="inlineStr">
        <is>
          <t>ROBERTSFORS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45856</v>
      </c>
      <c r="E284" s="1" t="n">
        <v>46256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45856</v>
      </c>
      <c r="E285" s="1" t="n">
        <v>46256</v>
      </c>
      <c r="F285" t="inlineStr">
        <is>
          <t>VÄSTERBOTTENS LÄN</t>
        </is>
      </c>
      <c r="G285" t="inlineStr">
        <is>
          <t>ROBERTSFORS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45856</v>
      </c>
      <c r="E286" s="1" t="n">
        <v>46256</v>
      </c>
      <c r="F286" t="inlineStr">
        <is>
          <t>VÄSTERBOTTENS LÄN</t>
        </is>
      </c>
      <c r="G286" t="inlineStr">
        <is>
          <t>ROBERTSFORS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46256</v>
      </c>
      <c r="F287" t="inlineStr">
        <is>
          <t>VÄSTERBOTTENS LÄN</t>
        </is>
      </c>
      <c r="G287" t="inlineStr">
        <is>
          <t>ROBERTSFORS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46256</v>
      </c>
      <c r="F288" t="inlineStr">
        <is>
          <t>VÄSTERBOTTENS LÄN</t>
        </is>
      </c>
      <c r="G288" t="inlineStr">
        <is>
          <t>ROBERTSFORS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46256</v>
      </c>
      <c r="F289" t="inlineStr">
        <is>
          <t>VÄSTERBOTTENS LÄN</t>
        </is>
      </c>
      <c r="G289" t="inlineStr">
        <is>
          <t>ROBERTSFORS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46256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46256</v>
      </c>
      <c r="F291" t="inlineStr">
        <is>
          <t>VÄSTERBOTTENS LÄN</t>
        </is>
      </c>
      <c r="G291" t="inlineStr">
        <is>
          <t>ROBERTSFORS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46256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45149</v>
      </c>
      <c r="E293" s="1" t="n">
        <v>46256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45133</v>
      </c>
      <c r="E294" s="1" t="n">
        <v>46256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45458</v>
      </c>
      <c r="E295" s="1" t="n">
        <v>46256</v>
      </c>
      <c r="F295" t="inlineStr">
        <is>
          <t>VÄSTERBOTTENS LÄN</t>
        </is>
      </c>
      <c r="G295" t="inlineStr">
        <is>
          <t>ROBERTSFORS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46256</v>
      </c>
      <c r="F296" t="inlineStr">
        <is>
          <t>VÄSTERBOTTENS LÄN</t>
        </is>
      </c>
      <c r="G296" t="inlineStr">
        <is>
          <t>ROBERTSFORS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46256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46256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46256</v>
      </c>
      <c r="F299" t="inlineStr">
        <is>
          <t>VÄSTERBOTTENS LÄN</t>
        </is>
      </c>
      <c r="G299" t="inlineStr">
        <is>
          <t>ROBERTSFORS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46256</v>
      </c>
      <c r="F300" t="inlineStr">
        <is>
          <t>VÄSTERBOTTENS LÄN</t>
        </is>
      </c>
      <c r="G300" t="inlineStr">
        <is>
          <t>ROBERTSFORS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46256</v>
      </c>
      <c r="F301" t="inlineStr">
        <is>
          <t>VÄSTERBOTTENS LÄN</t>
        </is>
      </c>
      <c r="G301" t="inlineStr">
        <is>
          <t>ROBERTSFORS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46256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46256</v>
      </c>
      <c r="F303" t="inlineStr">
        <is>
          <t>VÄSTERBOTTENS LÄN</t>
        </is>
      </c>
      <c r="G303" t="inlineStr">
        <is>
          <t>ROBERTSFORS</t>
        </is>
      </c>
      <c r="I303" t="n">
        <v>12.1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46256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46256</v>
      </c>
      <c r="F305" t="inlineStr">
        <is>
          <t>VÄSTERBOTTENS LÄN</t>
        </is>
      </c>
      <c r="G305" t="inlineStr">
        <is>
          <t>ROBERTSFORS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45458</v>
      </c>
      <c r="E306" s="1" t="n">
        <v>46256</v>
      </c>
      <c r="F306" t="inlineStr">
        <is>
          <t>VÄSTERBOTTENS LÄN</t>
        </is>
      </c>
      <c r="G306" t="inlineStr">
        <is>
          <t>ROBERTSFORS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45470</v>
      </c>
      <c r="E307" s="1" t="n">
        <v>46256</v>
      </c>
      <c r="F307" t="inlineStr">
        <is>
          <t>VÄSTERBOTTENS LÄN</t>
        </is>
      </c>
      <c r="G307" t="inlineStr">
        <is>
          <t>ROBERTSFORS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46256</v>
      </c>
      <c r="F308" t="inlineStr">
        <is>
          <t>VÄSTERBOTTENS LÄN</t>
        </is>
      </c>
      <c r="G308" t="inlineStr">
        <is>
          <t>ROBERTSFORS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46256</v>
      </c>
      <c r="F309" t="inlineStr">
        <is>
          <t>VÄSTERBOTTENS LÄN</t>
        </is>
      </c>
      <c r="G309" t="inlineStr">
        <is>
          <t>ROBERTSFORS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45712</v>
      </c>
      <c r="E310" s="1" t="n">
        <v>46256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46256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46256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46256</v>
      </c>
      <c r="F313" t="inlineStr">
        <is>
          <t>VÄSTERBOTTENS LÄN</t>
        </is>
      </c>
      <c r="G313" t="inlineStr">
        <is>
          <t>ROBERTSFORS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46256</v>
      </c>
      <c r="F314" t="inlineStr">
        <is>
          <t>VÄSTERBOTTENS LÄN</t>
        </is>
      </c>
      <c r="G314" t="inlineStr">
        <is>
          <t>ROBERTSFORS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45870</v>
      </c>
      <c r="E315" s="1" t="n">
        <v>46256</v>
      </c>
      <c r="F315" t="inlineStr">
        <is>
          <t>VÄSTERBOTTENS LÄN</t>
        </is>
      </c>
      <c r="G315" t="inlineStr">
        <is>
          <t>ROBERTSFORS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46256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65771-2021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44516</v>
      </c>
      <c r="E317" s="1" t="n">
        <v>46256</v>
      </c>
      <c r="F317" t="inlineStr">
        <is>
          <t>VÄSTERBOTTENS LÄN</t>
        </is>
      </c>
      <c r="G317" t="inlineStr">
        <is>
          <t>ROBERTSFORS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45480</v>
      </c>
      <c r="E318" s="1" t="n">
        <v>46256</v>
      </c>
      <c r="F318" t="inlineStr">
        <is>
          <t>VÄSTERBOTTENS LÄN</t>
        </is>
      </c>
      <c r="G318" t="inlineStr">
        <is>
          <t>ROBERTSFORS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45176</v>
      </c>
      <c r="E319" s="1" t="n">
        <v>46256</v>
      </c>
      <c r="F319" t="inlineStr">
        <is>
          <t>VÄSTERBOTTENS LÄN</t>
        </is>
      </c>
      <c r="G319" t="inlineStr">
        <is>
          <t>ROBERTSFORS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45661</v>
      </c>
      <c r="E320" s="1" t="n">
        <v>46256</v>
      </c>
      <c r="F320" t="inlineStr">
        <is>
          <t>VÄSTERBOTTENS LÄN</t>
        </is>
      </c>
      <c r="G320" t="inlineStr">
        <is>
          <t>ROBERTSFORS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46256</v>
      </c>
      <c r="F321" t="inlineStr">
        <is>
          <t>VÄSTERBOTTENS LÄN</t>
        </is>
      </c>
      <c r="G321" t="inlineStr">
        <is>
          <t>ROBERTSFORS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65772-2021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44516</v>
      </c>
      <c r="E322" s="1" t="n">
        <v>46256</v>
      </c>
      <c r="F322" t="inlineStr">
        <is>
          <t>VÄSTERBOTTENS LÄN</t>
        </is>
      </c>
      <c r="G322" t="inlineStr">
        <is>
          <t>ROBERTSFORS</t>
        </is>
      </c>
      <c r="I322" t="n">
        <v>18.2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46256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64625-2023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45281</v>
      </c>
      <c r="E324" s="1" t="n">
        <v>46256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46256</v>
      </c>
      <c r="F325" t="inlineStr">
        <is>
          <t>VÄSTERBOTTENS LÄN</t>
        </is>
      </c>
      <c r="G325" t="inlineStr">
        <is>
          <t>ROBERTSFORS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46256</v>
      </c>
      <c r="F326" t="inlineStr">
        <is>
          <t>VÄSTERBOTTENS LÄN</t>
        </is>
      </c>
      <c r="G326" t="inlineStr">
        <is>
          <t>ROBERTSFORS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46256</v>
      </c>
      <c r="F327" t="inlineStr">
        <is>
          <t>VÄSTERBOTTENS LÄN</t>
        </is>
      </c>
      <c r="G327" t="inlineStr">
        <is>
          <t>ROBERTSFORS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45512</v>
      </c>
      <c r="E328" s="1" t="n">
        <v>46256</v>
      </c>
      <c r="F328" t="inlineStr">
        <is>
          <t>VÄSTERBOTTENS LÄN</t>
        </is>
      </c>
      <c r="G328" t="inlineStr">
        <is>
          <t>ROBERTSFORS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45568</v>
      </c>
      <c r="E329" s="1" t="n">
        <v>46256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44783</v>
      </c>
      <c r="E330" s="1" t="n">
        <v>46256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46256</v>
      </c>
      <c r="F331" t="inlineStr">
        <is>
          <t>VÄSTERBOTTENS LÄN</t>
        </is>
      </c>
      <c r="G331" t="inlineStr">
        <is>
          <t>ROBERTSFORS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44026-2022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44838</v>
      </c>
      <c r="E332" s="1" t="n">
        <v>46256</v>
      </c>
      <c r="F332" t="inlineStr">
        <is>
          <t>VÄSTERBOTTENS LÄN</t>
        </is>
      </c>
      <c r="G332" t="inlineStr">
        <is>
          <t>ROBERTSFORS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46256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46256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SCA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46256</v>
      </c>
      <c r="F335" t="inlineStr">
        <is>
          <t>VÄSTERBOTTENS LÄN</t>
        </is>
      </c>
      <c r="G335" t="inlineStr">
        <is>
          <t>ROBERTSFORS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46256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46256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46256</v>
      </c>
      <c r="F338" t="inlineStr">
        <is>
          <t>VÄSTERBOTTENS LÄN</t>
        </is>
      </c>
      <c r="G338" t="inlineStr">
        <is>
          <t>ROBERTSFORS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46256</v>
      </c>
      <c r="F339" t="inlineStr">
        <is>
          <t>VÄSTERBOTTENS LÄN</t>
        </is>
      </c>
      <c r="G339" t="inlineStr">
        <is>
          <t>ROBERTSFORS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36818-2025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46256</v>
      </c>
      <c r="F340" t="inlineStr">
        <is>
          <t>VÄSTERBOTTENS LÄN</t>
        </is>
      </c>
      <c r="G340" t="inlineStr">
        <is>
          <t>ROBERTSFORS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46256</v>
      </c>
      <c r="F341" t="inlineStr">
        <is>
          <t>VÄSTERBOTTENS LÄN</t>
        </is>
      </c>
      <c r="G341" t="inlineStr">
        <is>
          <t>ROBERTSFORS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46256</v>
      </c>
      <c r="F342" t="inlineStr">
        <is>
          <t>VÄSTERBOTTENS LÄN</t>
        </is>
      </c>
      <c r="G342" t="inlineStr">
        <is>
          <t>ROBERTSFORS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46256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46256</v>
      </c>
      <c r="F344" t="inlineStr">
        <is>
          <t>VÄSTERBOTTENS LÄN</t>
        </is>
      </c>
      <c r="G344" t="inlineStr">
        <is>
          <t>ROBERTSFORS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46256</v>
      </c>
      <c r="F345" t="inlineStr">
        <is>
          <t>VÄSTERBOTTENS LÄN</t>
        </is>
      </c>
      <c r="G345" t="inlineStr">
        <is>
          <t>ROBERTSFORS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46256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24647-2026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46171</v>
      </c>
      <c r="E347" s="1" t="n">
        <v>46256</v>
      </c>
      <c r="F347" t="inlineStr">
        <is>
          <t>VÄSTERBOTTENS LÄN</t>
        </is>
      </c>
      <c r="G347" t="inlineStr">
        <is>
          <t>ROBERTSFORS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46256</v>
      </c>
      <c r="F348" t="inlineStr">
        <is>
          <t>VÄSTERBOTTENS LÄN</t>
        </is>
      </c>
      <c r="G348" t="inlineStr">
        <is>
          <t>ROBERTSFORS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46256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45386</v>
      </c>
      <c r="E350" s="1" t="n">
        <v>46256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44876</v>
      </c>
      <c r="E351" s="1" t="n">
        <v>46256</v>
      </c>
      <c r="F351" t="inlineStr">
        <is>
          <t>VÄSTERBOTTENS LÄN</t>
        </is>
      </c>
      <c r="G351" t="inlineStr">
        <is>
          <t>ROBERTSFORS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7170-2026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46256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46256</v>
      </c>
      <c r="F353" t="inlineStr">
        <is>
          <t>VÄSTERBOTTENS LÄN</t>
        </is>
      </c>
      <c r="G353" t="inlineStr">
        <is>
          <t>ROBERTSFORS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46171</v>
      </c>
      <c r="E354" s="1" t="n">
        <v>46256</v>
      </c>
      <c r="F354" t="inlineStr">
        <is>
          <t>VÄSTERBOTTENS LÄN</t>
        </is>
      </c>
      <c r="G354" t="inlineStr">
        <is>
          <t>ROBERTSFORS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46256</v>
      </c>
      <c r="F355" t="inlineStr">
        <is>
          <t>VÄSTERBOTTENS LÄN</t>
        </is>
      </c>
      <c r="G355" t="inlineStr">
        <is>
          <t>ROBERTSFORS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46256</v>
      </c>
      <c r="F356" t="inlineStr">
        <is>
          <t>VÄSTERBOTTENS LÄN</t>
        </is>
      </c>
      <c r="G356" t="inlineStr">
        <is>
          <t>ROBERTSFORS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46256</v>
      </c>
      <c r="F357" t="inlineStr">
        <is>
          <t>VÄSTERBOTTENS LÄN</t>
        </is>
      </c>
      <c r="G357" t="inlineStr">
        <is>
          <t>ROBERTSFORS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45029</v>
      </c>
      <c r="E358" s="1" t="n">
        <v>46256</v>
      </c>
      <c r="F358" t="inlineStr">
        <is>
          <t>VÄSTERBOTTENS LÄN</t>
        </is>
      </c>
      <c r="G358" t="inlineStr">
        <is>
          <t>ROBERTSFORS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46256</v>
      </c>
      <c r="F359" t="inlineStr">
        <is>
          <t>VÄSTERBOTTENS LÄN</t>
        </is>
      </c>
      <c r="G359" t="inlineStr">
        <is>
          <t>ROBERTSFORS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46256</v>
      </c>
      <c r="F360" t="inlineStr">
        <is>
          <t>VÄSTERBOTTENS LÄN</t>
        </is>
      </c>
      <c r="G360" t="inlineStr">
        <is>
          <t>ROBERTSFORS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46256</v>
      </c>
      <c r="F361" t="inlineStr">
        <is>
          <t>VÄSTERBOTTENS LÄN</t>
        </is>
      </c>
      <c r="G361" t="inlineStr">
        <is>
          <t>ROBERTSFORS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46256</v>
      </c>
      <c r="F362" t="inlineStr">
        <is>
          <t>VÄSTERBOTTENS LÄN</t>
        </is>
      </c>
      <c r="G362" t="inlineStr">
        <is>
          <t>ROBERTSFORS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46256</v>
      </c>
      <c r="F363" t="inlineStr">
        <is>
          <t>VÄSTERBOTTENS LÄN</t>
        </is>
      </c>
      <c r="G363" t="inlineStr">
        <is>
          <t>ROBERTSFORS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45454</v>
      </c>
      <c r="E364" s="1" t="n">
        <v>46256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46256</v>
      </c>
      <c r="F365" t="inlineStr">
        <is>
          <t>VÄSTERBOTTENS LÄN</t>
        </is>
      </c>
      <c r="G365" t="inlineStr">
        <is>
          <t>ROBERTSFORS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45565</v>
      </c>
      <c r="E366" s="1" t="n">
        <v>46256</v>
      </c>
      <c r="F366" t="inlineStr">
        <is>
          <t>VÄSTERBOTTENS LÄN</t>
        </is>
      </c>
      <c r="G366" t="inlineStr">
        <is>
          <t>ROBERTSFORS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45627</v>
      </c>
      <c r="E367" s="1" t="n">
        <v>46256</v>
      </c>
      <c r="F367" t="inlineStr">
        <is>
          <t>VÄSTERBOTTENS LÄN</t>
        </is>
      </c>
      <c r="G367" t="inlineStr">
        <is>
          <t>ROBERTSFORS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46256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8.9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50187-2023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46256</v>
      </c>
      <c r="F369" t="inlineStr">
        <is>
          <t>VÄSTERBOTTENS LÄN</t>
        </is>
      </c>
      <c r="G369" t="inlineStr">
        <is>
          <t>ROBERTSFORS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46256</v>
      </c>
      <c r="F370" t="inlineStr">
        <is>
          <t>VÄSTERBOTTENS LÄN</t>
        </is>
      </c>
      <c r="G370" t="inlineStr">
        <is>
          <t>ROBERTSFORS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46256</v>
      </c>
      <c r="F371" t="inlineStr">
        <is>
          <t>VÄSTERBOTTENS LÄN</t>
        </is>
      </c>
      <c r="G371" t="inlineStr">
        <is>
          <t>ROBERTSFORS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46256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46256</v>
      </c>
      <c r="F373" t="inlineStr">
        <is>
          <t>VÄSTERBOTTENS LÄN</t>
        </is>
      </c>
      <c r="G373" t="inlineStr">
        <is>
          <t>ROBERTSFORS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58426-2022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44901</v>
      </c>
      <c r="E374" s="1" t="n">
        <v>46256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46256</v>
      </c>
      <c r="F375" t="inlineStr">
        <is>
          <t>VÄSTERBOTTENS LÄN</t>
        </is>
      </c>
      <c r="G375" t="inlineStr">
        <is>
          <t>ROBERTSFORS</t>
        </is>
      </c>
      <c r="I375" t="n">
        <v>15.3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45600</v>
      </c>
      <c r="E376" s="1" t="n">
        <v>46256</v>
      </c>
      <c r="F376" t="inlineStr">
        <is>
          <t>VÄSTERBOTTENS LÄN</t>
        </is>
      </c>
      <c r="G376" t="inlineStr">
        <is>
          <t>ROBERTSFORS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46225</v>
      </c>
      <c r="E377" s="1" t="n">
        <v>46256</v>
      </c>
      <c r="F377" t="inlineStr">
        <is>
          <t>VÄSTERBOTTENS LÄN</t>
        </is>
      </c>
      <c r="G377" t="inlineStr">
        <is>
          <t>ROBERTSFORS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46256</v>
      </c>
      <c r="F378" t="inlineStr">
        <is>
          <t>VÄSTERBOTTENS LÄN</t>
        </is>
      </c>
      <c r="G378" t="inlineStr">
        <is>
          <t>ROBERTSFORS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46225</v>
      </c>
      <c r="E379" s="1" t="n">
        <v>46256</v>
      </c>
      <c r="F379" t="inlineStr">
        <is>
          <t>VÄSTERBOTTENS LÄN</t>
        </is>
      </c>
      <c r="G379" t="inlineStr">
        <is>
          <t>ROBERTSFORS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46256</v>
      </c>
      <c r="F380" t="inlineStr">
        <is>
          <t>VÄSTERBOTTENS LÄN</t>
        </is>
      </c>
      <c r="G380" t="inlineStr">
        <is>
          <t>ROBERTSFORS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46256</v>
      </c>
      <c r="F381" t="inlineStr">
        <is>
          <t>VÄSTERBOTTENS LÄN</t>
        </is>
      </c>
      <c r="G381" t="inlineStr">
        <is>
          <t>ROBERTSFORS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46256</v>
      </c>
      <c r="F382" t="inlineStr">
        <is>
          <t>VÄSTERBOTTENS LÄN</t>
        </is>
      </c>
      <c r="G382" t="inlineStr">
        <is>
          <t>ROBERTSFORS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46256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SCA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46256</v>
      </c>
      <c r="F384" t="inlineStr">
        <is>
          <t>VÄSTERBOTTENS LÄN</t>
        </is>
      </c>
      <c r="G384" t="inlineStr">
        <is>
          <t>ROBERTSFORS</t>
        </is>
      </c>
      <c r="I384" t="n">
        <v>9.6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31806-2026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46256</v>
      </c>
      <c r="F385" t="inlineStr">
        <is>
          <t>VÄSTERBOTTENS LÄN</t>
        </is>
      </c>
      <c r="G385" t="inlineStr">
        <is>
          <t>ROBERTSFORS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46256</v>
      </c>
      <c r="F386" t="inlineStr">
        <is>
          <t>VÄSTERBOTTENS LÄN</t>
        </is>
      </c>
      <c r="G386" t="inlineStr">
        <is>
          <t>ROBERTSFORS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46256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977-2022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44571</v>
      </c>
      <c r="E388" s="1" t="n">
        <v>46256</v>
      </c>
      <c r="F388" t="inlineStr">
        <is>
          <t>VÄSTERBOTTENS LÄN</t>
        </is>
      </c>
      <c r="G388" t="inlineStr">
        <is>
          <t>ROBERTSFORS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46256</v>
      </c>
      <c r="F389" t="inlineStr">
        <is>
          <t>VÄSTERBOTTENS LÄN</t>
        </is>
      </c>
      <c r="G389" t="inlineStr">
        <is>
          <t>ROBERTSFORS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44895</v>
      </c>
      <c r="E390" s="1" t="n">
        <v>46256</v>
      </c>
      <c r="F390" t="inlineStr">
        <is>
          <t>VÄSTERBOTTENS LÄN</t>
        </is>
      </c>
      <c r="G390" t="inlineStr">
        <is>
          <t>ROBERTSFORS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46256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46256</v>
      </c>
      <c r="F392" t="inlineStr">
        <is>
          <t>VÄSTERBOTTENS LÄN</t>
        </is>
      </c>
      <c r="G392" t="inlineStr">
        <is>
          <t>ROBERTSFORS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46256</v>
      </c>
      <c r="F393" t="inlineStr">
        <is>
          <t>VÄSTERBOTTENS LÄN</t>
        </is>
      </c>
      <c r="G393" t="inlineStr">
        <is>
          <t>ROBERTSFORS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46256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46256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46256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45468</v>
      </c>
      <c r="E397" s="1" t="n">
        <v>46256</v>
      </c>
      <c r="F397" t="inlineStr">
        <is>
          <t>VÄSTERBOTTENS LÄN</t>
        </is>
      </c>
      <c r="G397" t="inlineStr">
        <is>
          <t>ROBERTSFORS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38120-2024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45545</v>
      </c>
      <c r="E398" s="1" t="n">
        <v>46256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45664</v>
      </c>
      <c r="E399" s="1" t="n">
        <v>46256</v>
      </c>
      <c r="F399" t="inlineStr">
        <is>
          <t>VÄSTERBOTTENS LÄN</t>
        </is>
      </c>
      <c r="G399" t="inlineStr">
        <is>
          <t>ROBERTSFORS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46256</v>
      </c>
      <c r="F400" t="inlineStr">
        <is>
          <t>VÄSTERBOTTENS LÄN</t>
        </is>
      </c>
      <c r="G400" t="inlineStr">
        <is>
          <t>ROBERTSFORS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46256</v>
      </c>
      <c r="F401" t="inlineStr">
        <is>
          <t>VÄSTERBOTTENS LÄN</t>
        </is>
      </c>
      <c r="G401" t="inlineStr">
        <is>
          <t>ROBERTSFORS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45708</v>
      </c>
      <c r="E402" s="1" t="n">
        <v>46256</v>
      </c>
      <c r="F402" t="inlineStr">
        <is>
          <t>VÄSTERBOTTENS LÄN</t>
        </is>
      </c>
      <c r="G402" t="inlineStr">
        <is>
          <t>ROBERTSFORS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46256</v>
      </c>
      <c r="F403" t="inlineStr">
        <is>
          <t>VÄSTERBOTTENS LÄN</t>
        </is>
      </c>
      <c r="G403" t="inlineStr">
        <is>
          <t>ROBERTSFORS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46191</v>
      </c>
      <c r="E404" s="1" t="n">
        <v>46256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45496</v>
      </c>
      <c r="E405" s="1" t="n">
        <v>46256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10173-2022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44622</v>
      </c>
      <c r="E406" s="1" t="n">
        <v>46256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46256</v>
      </c>
      <c r="F407" t="inlineStr">
        <is>
          <t>VÄSTERBOTTENS LÄN</t>
        </is>
      </c>
      <c r="G407" t="inlineStr">
        <is>
          <t>ROBERTSFORS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25572-2023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45082</v>
      </c>
      <c r="E408" s="1" t="n">
        <v>46256</v>
      </c>
      <c r="F408" t="inlineStr">
        <is>
          <t>VÄSTERBOTTENS LÄN</t>
        </is>
      </c>
      <c r="G408" t="inlineStr">
        <is>
          <t>ROBERTSFORS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45620</v>
      </c>
      <c r="E409" s="1" t="n">
        <v>46256</v>
      </c>
      <c r="F409" t="inlineStr">
        <is>
          <t>VÄSTERBOTTENS LÄN</t>
        </is>
      </c>
      <c r="G409" t="inlineStr">
        <is>
          <t>ROBERTSFORS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45644</v>
      </c>
      <c r="E410" s="1" t="n">
        <v>46256</v>
      </c>
      <c r="F410" t="inlineStr">
        <is>
          <t>VÄSTERBOTTENS LÄN</t>
        </is>
      </c>
      <c r="G410" t="inlineStr">
        <is>
          <t>ROBERTSFORS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44952</v>
      </c>
      <c r="E411" s="1" t="n">
        <v>46256</v>
      </c>
      <c r="F411" t="inlineStr">
        <is>
          <t>VÄSTERBOTTENS LÄN</t>
        </is>
      </c>
      <c r="G411" t="inlineStr">
        <is>
          <t>ROBERTSFORS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32512-2026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46239</v>
      </c>
      <c r="E412" s="1" t="n">
        <v>46256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46256</v>
      </c>
      <c r="F413" t="inlineStr">
        <is>
          <t>VÄSTERBOTTENS LÄN</t>
        </is>
      </c>
      <c r="G413" t="inlineStr">
        <is>
          <t>ROBERTSFORS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46239</v>
      </c>
      <c r="E414" s="1" t="n">
        <v>46256</v>
      </c>
      <c r="F414" t="inlineStr">
        <is>
          <t>VÄSTERBOTTENS LÄN</t>
        </is>
      </c>
      <c r="G414" t="inlineStr">
        <is>
          <t>ROBERTSFORS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46256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46256</v>
      </c>
      <c r="F416" t="inlineStr">
        <is>
          <t>VÄSTERBOTTENS LÄN</t>
        </is>
      </c>
      <c r="G416" t="inlineStr">
        <is>
          <t>ROBERTSFORS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46239</v>
      </c>
      <c r="E417" s="1" t="n">
        <v>46256</v>
      </c>
      <c r="F417" t="inlineStr">
        <is>
          <t>VÄSTERBOTTENS LÄN</t>
        </is>
      </c>
      <c r="G417" t="inlineStr">
        <is>
          <t>ROBERTSFORS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46256</v>
      </c>
      <c r="F418" t="inlineStr">
        <is>
          <t>VÄSTERBOTTENS LÄN</t>
        </is>
      </c>
      <c r="G418" t="inlineStr">
        <is>
          <t>ROBERTSFORS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46256</v>
      </c>
      <c r="F419" t="inlineStr">
        <is>
          <t>VÄSTERBOTTENS LÄN</t>
        </is>
      </c>
      <c r="G419" t="inlineStr">
        <is>
          <t>ROBERTSFORS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46256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46240</v>
      </c>
      <c r="E421" s="1" t="n">
        <v>46256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46256</v>
      </c>
      <c r="F422" t="inlineStr">
        <is>
          <t>VÄSTERBOTTENS LÄN</t>
        </is>
      </c>
      <c r="G422" t="inlineStr">
        <is>
          <t>ROBERTSFORS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45708</v>
      </c>
      <c r="E423" s="1" t="n">
        <v>46256</v>
      </c>
      <c r="F423" t="inlineStr">
        <is>
          <t>VÄSTERBOTTENS LÄN</t>
        </is>
      </c>
      <c r="G423" t="inlineStr">
        <is>
          <t>ROBERTSFORS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46256</v>
      </c>
      <c r="F424" t="inlineStr">
        <is>
          <t>VÄSTERBOTTENS LÄN</t>
        </is>
      </c>
      <c r="G424" t="inlineStr">
        <is>
          <t>ROBERTSFORS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46256</v>
      </c>
      <c r="F425" t="inlineStr">
        <is>
          <t>VÄSTERBOTTENS LÄN</t>
        </is>
      </c>
      <c r="G425" t="inlineStr">
        <is>
          <t>ROBERTSFORS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46256</v>
      </c>
      <c r="F426" t="inlineStr">
        <is>
          <t>VÄSTERBOTTENS LÄN</t>
        </is>
      </c>
      <c r="G426" t="inlineStr">
        <is>
          <t>ROBERTSFORS</t>
        </is>
      </c>
      <c r="I426" t="n">
        <v>11.3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46256</v>
      </c>
      <c r="F427" t="inlineStr">
        <is>
          <t>VÄSTERBOTTENS LÄN</t>
        </is>
      </c>
      <c r="G427" t="inlineStr">
        <is>
          <t>ROBERTSFORS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46256</v>
      </c>
      <c r="F428" t="inlineStr">
        <is>
          <t>VÄSTERBOTTENS LÄN</t>
        </is>
      </c>
      <c r="G428" t="inlineStr">
        <is>
          <t>ROBERTSFORS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46256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45184</v>
      </c>
      <c r="E430" s="1" t="n">
        <v>46256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46256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46256</v>
      </c>
      <c r="F432" t="inlineStr">
        <is>
          <t>VÄSTERBOTTENS LÄN</t>
        </is>
      </c>
      <c r="G432" t="inlineStr">
        <is>
          <t>ROBERTSFORS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46126</v>
      </c>
      <c r="E433" s="1" t="n">
        <v>46256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46256</v>
      </c>
      <c r="F434" t="inlineStr">
        <is>
          <t>VÄSTERBOTTENS LÄN</t>
        </is>
      </c>
      <c r="G434" t="inlineStr">
        <is>
          <t>ROBERTSFORS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46256</v>
      </c>
      <c r="F435" t="inlineStr">
        <is>
          <t>VÄSTERBOTTENS LÄN</t>
        </is>
      </c>
      <c r="G435" t="inlineStr">
        <is>
          <t>ROBERTSFORS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46256</v>
      </c>
      <c r="F436" t="inlineStr">
        <is>
          <t>VÄSTERBOTTENS LÄN</t>
        </is>
      </c>
      <c r="G436" t="inlineStr">
        <is>
          <t>ROBERTSFORS</t>
        </is>
      </c>
      <c r="I436" t="n">
        <v>16.1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18294-2026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46126</v>
      </c>
      <c r="E437" s="1" t="n">
        <v>46256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46256</v>
      </c>
      <c r="F438" t="inlineStr">
        <is>
          <t>VÄSTERBOTTENS LÄN</t>
        </is>
      </c>
      <c r="G438" t="inlineStr">
        <is>
          <t>ROBERTSFORS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46256</v>
      </c>
      <c r="F439" t="inlineStr">
        <is>
          <t>VÄSTERBOTTENS LÄN</t>
        </is>
      </c>
      <c r="G439" t="inlineStr">
        <is>
          <t>ROBERTSFORS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46256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46256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45659</v>
      </c>
      <c r="E442" s="1" t="n">
        <v>46256</v>
      </c>
      <c r="F442" t="inlineStr">
        <is>
          <t>VÄSTERBOTTENS LÄN</t>
        </is>
      </c>
      <c r="G442" t="inlineStr">
        <is>
          <t>ROBERTSFORS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46256</v>
      </c>
      <c r="F443" t="inlineStr">
        <is>
          <t>VÄSTERBOTTENS LÄN</t>
        </is>
      </c>
      <c r="G443" t="inlineStr">
        <is>
          <t>ROBERTSFORS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46256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46256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46256</v>
      </c>
      <c r="F446" t="inlineStr">
        <is>
          <t>VÄSTERBOTTENS LÄN</t>
        </is>
      </c>
      <c r="G446" t="inlineStr">
        <is>
          <t>ROBERTSFORS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46256</v>
      </c>
      <c r="F447" t="inlineStr">
        <is>
          <t>VÄSTERBOTTENS LÄN</t>
        </is>
      </c>
      <c r="G447" t="inlineStr">
        <is>
          <t>ROBERTSFORS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46256</v>
      </c>
      <c r="F448" t="inlineStr">
        <is>
          <t>VÄSTERBOTTENS LÄN</t>
        </is>
      </c>
      <c r="G448" t="inlineStr">
        <is>
          <t>ROBERTSFORS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58030-2024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46256</v>
      </c>
      <c r="F449" t="inlineStr">
        <is>
          <t>VÄSTERBOTTENS LÄN</t>
        </is>
      </c>
      <c r="G449" t="inlineStr">
        <is>
          <t>ROBERTSFORS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46256</v>
      </c>
      <c r="F450" t="inlineStr">
        <is>
          <t>VÄSTERBOTTENS LÄN</t>
        </is>
      </c>
      <c r="G450" t="inlineStr">
        <is>
          <t>ROBERTSFORS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46256</v>
      </c>
      <c r="F451" t="inlineStr">
        <is>
          <t>VÄSTERBOTTENS LÄN</t>
        </is>
      </c>
      <c r="G451" t="inlineStr">
        <is>
          <t>ROBERTSFORS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46256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46256</v>
      </c>
      <c r="F453" t="inlineStr">
        <is>
          <t>VÄSTERBOTTENS LÄN</t>
        </is>
      </c>
      <c r="G453" t="inlineStr">
        <is>
          <t>ROBERTSFORS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45502</v>
      </c>
      <c r="E454" s="1" t="n">
        <v>46256</v>
      </c>
      <c r="F454" t="inlineStr">
        <is>
          <t>VÄSTERBOTTENS LÄN</t>
        </is>
      </c>
      <c r="G454" t="inlineStr">
        <is>
          <t>ROBERTSFORS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46256</v>
      </c>
      <c r="F455" t="inlineStr">
        <is>
          <t>VÄSTERBOTTENS LÄN</t>
        </is>
      </c>
      <c r="G455" t="inlineStr">
        <is>
          <t>ROBERTSFORS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46256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46256</v>
      </c>
      <c r="F457" t="inlineStr">
        <is>
          <t>VÄSTERBOTTENS LÄN</t>
        </is>
      </c>
      <c r="G457" t="inlineStr">
        <is>
          <t>ROBERTSFORS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34029-2023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45135</v>
      </c>
      <c r="E458" s="1" t="n">
        <v>46256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46256</v>
      </c>
      <c r="F459" t="inlineStr">
        <is>
          <t>VÄSTERBOTTENS LÄN</t>
        </is>
      </c>
      <c r="G459" t="inlineStr">
        <is>
          <t>ROBERTSFORS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46256</v>
      </c>
      <c r="F460" t="inlineStr">
        <is>
          <t>VÄSTERBOTTENS LÄN</t>
        </is>
      </c>
      <c r="G460" t="inlineStr">
        <is>
          <t>ROBERTSFORS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46256</v>
      </c>
      <c r="F461" t="inlineStr">
        <is>
          <t>VÄSTERBOTTENS LÄN</t>
        </is>
      </c>
      <c r="G461" t="inlineStr">
        <is>
          <t>ROBERTSFORS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45826</v>
      </c>
      <c r="E462" s="1" t="n">
        <v>46256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46256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46256</v>
      </c>
      <c r="F464" t="inlineStr">
        <is>
          <t>VÄSTERBOTTENS LÄN</t>
        </is>
      </c>
      <c r="G464" t="inlineStr">
        <is>
          <t>ROBERTSFORS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46256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46256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45901</v>
      </c>
      <c r="E467" s="1" t="n">
        <v>46256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44683</v>
      </c>
      <c r="E468" s="1" t="n">
        <v>46256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46256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45530</v>
      </c>
      <c r="E470" s="1" t="n">
        <v>46256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44960</v>
      </c>
      <c r="E471" s="1" t="n">
        <v>46256</v>
      </c>
      <c r="F471" t="inlineStr">
        <is>
          <t>VÄSTERBOTTENS LÄN</t>
        </is>
      </c>
      <c r="G471" t="inlineStr">
        <is>
          <t>ROBERTSFORS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44588</v>
      </c>
      <c r="E472" s="1" t="n">
        <v>46256</v>
      </c>
      <c r="F472" t="inlineStr">
        <is>
          <t>VÄSTERBOTTENS LÄN</t>
        </is>
      </c>
      <c r="G472" t="inlineStr">
        <is>
          <t>ROBERTSFORS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46256</v>
      </c>
      <c r="F473" t="inlineStr">
        <is>
          <t>VÄSTERBOTTENS LÄN</t>
        </is>
      </c>
      <c r="G473" t="inlineStr">
        <is>
          <t>ROBERTSFORS</t>
        </is>
      </c>
      <c r="I473" t="n">
        <v>24.4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46256</v>
      </c>
      <c r="F474" t="inlineStr">
        <is>
          <t>VÄSTERBOTTENS LÄN</t>
        </is>
      </c>
      <c r="G474" t="inlineStr">
        <is>
          <t>ROBERTSFORS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41914-2024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45561</v>
      </c>
      <c r="E475" s="1" t="n">
        <v>46256</v>
      </c>
      <c r="F475" t="inlineStr">
        <is>
          <t>VÄSTERBOTTENS LÄN</t>
        </is>
      </c>
      <c r="G475" t="inlineStr">
        <is>
          <t>ROBERTSFORS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46256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46256</v>
      </c>
      <c r="F477" t="inlineStr">
        <is>
          <t>VÄSTERBOTTENS LÄN</t>
        </is>
      </c>
      <c r="G477" t="inlineStr">
        <is>
          <t>ROBERTSFORS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46256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46140</v>
      </c>
      <c r="E479" s="1" t="n">
        <v>46256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46256</v>
      </c>
      <c r="F480" t="inlineStr">
        <is>
          <t>VÄSTERBOTTENS LÄN</t>
        </is>
      </c>
      <c r="G480" t="inlineStr">
        <is>
          <t>ROBERTSFORS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46256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45659</v>
      </c>
      <c r="E482" s="1" t="n">
        <v>46256</v>
      </c>
      <c r="F482" t="inlineStr">
        <is>
          <t>VÄSTERBOTTENS LÄN</t>
        </is>
      </c>
      <c r="G482" t="inlineStr">
        <is>
          <t>ROBERTSFORS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46256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45692</v>
      </c>
      <c r="E484" s="1" t="n">
        <v>46256</v>
      </c>
      <c r="F484" t="inlineStr">
        <is>
          <t>VÄSTERBOTTENS LÄN</t>
        </is>
      </c>
      <c r="G484" t="inlineStr">
        <is>
          <t>ROBERTSFORS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46256</v>
      </c>
      <c r="F485" t="inlineStr">
        <is>
          <t>VÄSTERBOTTENS LÄN</t>
        </is>
      </c>
      <c r="G485" t="inlineStr">
        <is>
          <t>ROBERTSFORS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73557-2021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44551</v>
      </c>
      <c r="E486" s="1" t="n">
        <v>46256</v>
      </c>
      <c r="F486" t="inlineStr">
        <is>
          <t>VÄSTERBOTTENS LÄN</t>
        </is>
      </c>
      <c r="G486" t="inlineStr">
        <is>
          <t>ROBERTSFORS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55417-2023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46256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44732</v>
      </c>
      <c r="E488" s="1" t="n">
        <v>46256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46256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35313-2023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45146</v>
      </c>
      <c r="E490" s="1" t="n">
        <v>46256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46256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59833-2022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46256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46256</v>
      </c>
      <c r="F493" t="inlineStr">
        <is>
          <t>VÄSTERBOTTENS LÄN</t>
        </is>
      </c>
      <c r="G493" t="inlineStr">
        <is>
          <t>ROBERTSFORS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46256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46256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46256</v>
      </c>
      <c r="F496" t="inlineStr">
        <is>
          <t>VÄSTERBOTTENS LÄN</t>
        </is>
      </c>
      <c r="G496" t="inlineStr">
        <is>
          <t>ROBERTSFORS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46256</v>
      </c>
      <c r="F497" t="inlineStr">
        <is>
          <t>VÄSTERBOTTENS LÄN</t>
        </is>
      </c>
      <c r="G497" t="inlineStr">
        <is>
          <t>ROBERTSFORS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46256</v>
      </c>
      <c r="F498" t="inlineStr">
        <is>
          <t>VÄSTERBOTTENS LÄN</t>
        </is>
      </c>
      <c r="G498" t="inlineStr">
        <is>
          <t>ROBERTSFORS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46256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46256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46256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46256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46256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46256</v>
      </c>
      <c r="F504" t="inlineStr">
        <is>
          <t>VÄSTERBOTTENS LÄN</t>
        </is>
      </c>
      <c r="G504" t="inlineStr">
        <is>
          <t>ROBERTSFORS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46256</v>
      </c>
      <c r="F505" t="inlineStr">
        <is>
          <t>VÄSTERBOTTENS LÄN</t>
        </is>
      </c>
      <c r="G505" t="inlineStr">
        <is>
          <t>ROBERTSFORS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46256</v>
      </c>
      <c r="F506" t="inlineStr">
        <is>
          <t>VÄSTERBOTTENS LÄN</t>
        </is>
      </c>
      <c r="G506" t="inlineStr">
        <is>
          <t>ROBERTSFORS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46256</v>
      </c>
      <c r="F507" t="inlineStr">
        <is>
          <t>VÄSTERBOTTENS LÄN</t>
        </is>
      </c>
      <c r="G507" t="inlineStr">
        <is>
          <t>ROBERTSFORS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46256</v>
      </c>
      <c r="F508" t="inlineStr">
        <is>
          <t>VÄSTERBOTTENS LÄN</t>
        </is>
      </c>
      <c r="G508" t="inlineStr">
        <is>
          <t>ROBERTSFORS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46256</v>
      </c>
      <c r="F509" t="inlineStr">
        <is>
          <t>VÄSTERBOTTENS LÄN</t>
        </is>
      </c>
      <c r="G509" t="inlineStr">
        <is>
          <t>ROBERTSFORS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46256</v>
      </c>
      <c r="F510" t="inlineStr">
        <is>
          <t>VÄSTERBOTTENS LÄN</t>
        </is>
      </c>
      <c r="G510" t="inlineStr">
        <is>
          <t>ROBERTSFORS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46256</v>
      </c>
      <c r="F511" t="inlineStr">
        <is>
          <t>VÄSTERBOTTENS LÄN</t>
        </is>
      </c>
      <c r="G511" t="inlineStr">
        <is>
          <t>ROBERTSFORS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60570-2024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46256</v>
      </c>
      <c r="F512" t="inlineStr">
        <is>
          <t>VÄSTERBOTTENS LÄN</t>
        </is>
      </c>
      <c r="G512" t="inlineStr">
        <is>
          <t>ROBERTSFORS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46256</v>
      </c>
      <c r="F513" t="inlineStr">
        <is>
          <t>VÄSTERBOTTENS LÄN</t>
        </is>
      </c>
      <c r="G513" t="inlineStr">
        <is>
          <t>ROBERTSFORS</t>
        </is>
      </c>
      <c r="I513" t="n">
        <v>12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45502</v>
      </c>
      <c r="E514" s="1" t="n">
        <v>46256</v>
      </c>
      <c r="F514" t="inlineStr">
        <is>
          <t>VÄSTERBOTTENS LÄN</t>
        </is>
      </c>
      <c r="G514" t="inlineStr">
        <is>
          <t>ROBERTSFORS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46256</v>
      </c>
      <c r="F515" t="inlineStr">
        <is>
          <t>VÄSTERBOTTENS LÄN</t>
        </is>
      </c>
      <c r="G515" t="inlineStr">
        <is>
          <t>ROBERTSFORS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46256</v>
      </c>
      <c r="F516" t="inlineStr">
        <is>
          <t>VÄSTERBOTTENS LÄN</t>
        </is>
      </c>
      <c r="G516" t="inlineStr">
        <is>
          <t>ROBERTSFORS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46256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46256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60225-2024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46256</v>
      </c>
      <c r="F519" t="inlineStr">
        <is>
          <t>VÄSTERBOTTENS LÄN</t>
        </is>
      </c>
      <c r="G519" t="inlineStr">
        <is>
          <t>ROBERTSFORS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44372-2023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45188</v>
      </c>
      <c r="E520" s="1" t="n">
        <v>46256</v>
      </c>
      <c r="F520" t="inlineStr">
        <is>
          <t>VÄSTERBOTTENS LÄN</t>
        </is>
      </c>
      <c r="G520" t="inlineStr">
        <is>
          <t>ROBERTSFORS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45792</v>
      </c>
      <c r="E521" s="1" t="n">
        <v>46256</v>
      </c>
      <c r="F521" t="inlineStr">
        <is>
          <t>VÄSTERBOTTENS LÄN</t>
        </is>
      </c>
      <c r="G521" t="inlineStr">
        <is>
          <t>ROBERTSFORS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45792</v>
      </c>
      <c r="E522" s="1" t="n">
        <v>46256</v>
      </c>
      <c r="F522" t="inlineStr">
        <is>
          <t>VÄSTERBOTTENS LÄN</t>
        </is>
      </c>
      <c r="G522" t="inlineStr">
        <is>
          <t>ROBERTSFORS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45794</v>
      </c>
      <c r="E523" s="1" t="n">
        <v>46256</v>
      </c>
      <c r="F523" t="inlineStr">
        <is>
          <t>VÄSTERBOTTENS LÄN</t>
        </is>
      </c>
      <c r="G523" t="inlineStr">
        <is>
          <t>ROBERTSFORS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46256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2849-2022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44707</v>
      </c>
      <c r="E525" s="1" t="n">
        <v>46256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8592-2021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44501</v>
      </c>
      <c r="E526" s="1" t="n">
        <v>46256</v>
      </c>
      <c r="F526" t="inlineStr">
        <is>
          <t>VÄSTERBOTTENS LÄN</t>
        </is>
      </c>
      <c r="G526" t="inlineStr">
        <is>
          <t>ROBERTSFORS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1034-2025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45747</v>
      </c>
      <c r="E527" s="1" t="n">
        <v>46256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Sveaskog</t>
        </is>
      </c>
      <c r="I527" t="n">
        <v>14.9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1249-2025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45762</v>
      </c>
      <c r="E528" s="1" t="n">
        <v>46256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175.8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702-2026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46092</v>
      </c>
      <c r="E529" s="1" t="n">
        <v>46256</v>
      </c>
      <c r="F529" t="inlineStr">
        <is>
          <t>VÄSTERBOTTENS LÄN</t>
        </is>
      </c>
      <c r="G529" t="inlineStr">
        <is>
          <t>ROBERTSFORS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1273-2026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46147</v>
      </c>
      <c r="E530" s="1" t="n">
        <v>46256</v>
      </c>
      <c r="F530" t="inlineStr">
        <is>
          <t>VÄSTERBOTTENS LÄN</t>
        </is>
      </c>
      <c r="G530" t="inlineStr">
        <is>
          <t>ROBERTSFORS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1322-2026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46149</v>
      </c>
      <c r="E531" s="1" t="n">
        <v>46256</v>
      </c>
      <c r="F531" t="inlineStr">
        <is>
          <t>VÄSTERBOTTENS LÄN</t>
        </is>
      </c>
      <c r="G531" t="inlineStr">
        <is>
          <t>ROBERTSFORS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1416-2026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46155</v>
      </c>
      <c r="E532" s="1" t="n">
        <v>46256</v>
      </c>
      <c r="F532" t="inlineStr">
        <is>
          <t>VÄSTERBOTTENS LÄN</t>
        </is>
      </c>
      <c r="G532" t="inlineStr">
        <is>
          <t>ROBERTSFORS</t>
        </is>
      </c>
      <c r="I532" t="n">
        <v>32.7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2026-08-22T01:51:37Z</dcterms:created>
  <dcterms:modified xmlns:dcterms="http://purl.org/dc/terms/" xmlns:xsi="http://www.w3.org/2001/XMLSchema-instance" xsi:type="dcterms:W3CDTF">2026-08-22T01:51:37Z</dcterms:modified>
</cp:coreProperties>
</file>